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87" documentId="11_A979DD328400E7713DB39DAFC77D6D7DD0B2F151" xr6:coauthVersionLast="47" xr6:coauthVersionMax="47" xr10:uidLastSave="{E3EE7C56-2629-43B0-B10C-029C3CEBF935}"/>
  <bookViews>
    <workbookView xWindow="0" yWindow="0" windowWidth="0" windowHeight="0" firstSheet="1" activeTab="1" xr2:uid="{00000000-000D-0000-FFFF-FFFF00000000}"/>
  </bookViews>
  <sheets>
    <sheet name="Dashboard" sheetId="1" r:id="rId1"/>
    <sheet name="Client Needs Tracker" sheetId="2" r:id="rId2"/>
    <sheet name="Sheet1" sheetId="3" r:id="rId3"/>
    <sheet name="Client Status Board" sheetId="4" r:id="rId4"/>
    <sheet name="Med Reference" sheetId="5" r:id="rId5"/>
    <sheet name="Inventory - P01" sheetId="6" r:id="rId6"/>
    <sheet name="MAR - P01" sheetId="7" r:id="rId7"/>
    <sheet name="Inventory - P02" sheetId="8" r:id="rId8"/>
    <sheet name="MAR - P02" sheetId="9" r:id="rId9"/>
    <sheet name="Inventory - P03" sheetId="10" r:id="rId10"/>
    <sheet name="MAR - P03" sheetId="11" r:id="rId11"/>
    <sheet name="Inventory - P04" sheetId="12" r:id="rId12"/>
    <sheet name="MAR - P04" sheetId="13" r:id="rId13"/>
    <sheet name="Inventory - P05" sheetId="14" r:id="rId14"/>
    <sheet name="MAR - P05" sheetId="15" r:id="rId15"/>
    <sheet name="Inventory - P06" sheetId="16" r:id="rId16"/>
    <sheet name="MAR - P06" sheetId="17" r:id="rId17"/>
    <sheet name="Inventory - P07" sheetId="18" r:id="rId18"/>
    <sheet name="MAR - P07" sheetId="19" r:id="rId19"/>
    <sheet name="Inventory - P08" sheetId="20" r:id="rId20"/>
    <sheet name="MAR - P08" sheetId="21" r:id="rId21"/>
    <sheet name="Inventory - P09" sheetId="22" r:id="rId22"/>
    <sheet name="MAR - P09" sheetId="23" r:id="rId23"/>
    <sheet name="Inventory - P10" sheetId="24" r:id="rId24"/>
    <sheet name="MAR - P10" sheetId="25" r:id="rId25"/>
    <sheet name="Inventory - P11" sheetId="26" r:id="rId26"/>
    <sheet name="MAR - P11" sheetId="27" r:id="rId27"/>
    <sheet name="Inventory - P12" sheetId="28" r:id="rId28"/>
    <sheet name="MAR - P12" sheetId="29" r:id="rId29"/>
    <sheet name="Inventory - P13" sheetId="30" r:id="rId30"/>
    <sheet name="MAR - P13" sheetId="31" r:id="rId31"/>
    <sheet name="Inventory - P14" sheetId="32" r:id="rId32"/>
    <sheet name="MAR - P14" sheetId="33" r:id="rId33"/>
    <sheet name="Inventory - P15" sheetId="34" r:id="rId34"/>
    <sheet name="MAR - P15" sheetId="35" r:id="rId35"/>
    <sheet name="Inventory - P16" sheetId="36" r:id="rId36"/>
    <sheet name="MAR - P16" sheetId="37" r:id="rId37"/>
    <sheet name="Discharge" sheetId="38" r:id="rId38"/>
    <sheet name="Yearly Log" sheetId="39" r:id="rId39"/>
  </sheets>
  <definedNames>
    <definedName name="MG_Alprazolam">'Med Reference'!$G$57:$J$57</definedName>
    <definedName name="MG_Aripiprazole">'Med Reference'!$G$54:$L$54</definedName>
    <definedName name="MG_Bupropion">'Med Reference'!$G$44:$K$44</definedName>
    <definedName name="MG_Buspirone">'Med Reference'!$G$60:$J$60</definedName>
    <definedName name="MG_Carbamazepine">'Med Reference'!$G$56:$I$56</definedName>
    <definedName name="MG_Citalopram">'Med Reference'!$G$43:$I$43</definedName>
    <definedName name="MG_Clonazepam">'Med Reference'!$G$59:$I$59</definedName>
    <definedName name="MG_Diazepam">'Med Reference'!$G$62:$I$62</definedName>
    <definedName name="MG_Divalproex_Valproate">'Med Reference'!$G$50:$I$50</definedName>
    <definedName name="MG_Duloxetine">'Med Reference'!$G$46:$I$46</definedName>
    <definedName name="MG_Escitalopram">'Med Reference'!$G$42:$I$42</definedName>
    <definedName name="MG_Fluoxetine">'Med Reference'!$G$41:$J$41</definedName>
    <definedName name="MG_Hydroxyzine">'Med Reference'!$G$61:$J$61</definedName>
    <definedName name="MG_Lamotrigine">'Med Reference'!$G$51:$K$51</definedName>
    <definedName name="MG_Lithium">'Med Reference'!$G$49:$J$49</definedName>
    <definedName name="MG_Lorazepam">'Med Reference'!$G$58:$I$58</definedName>
    <definedName name="MG_Mirtazapine">'Med Reference'!$G$47:$J$47</definedName>
    <definedName name="MG_Olanzapine">'Med Reference'!$G$53:$L$53</definedName>
    <definedName name="MG_Quetiapine">'Med Reference'!$G$52:$L$52</definedName>
    <definedName name="MG_Risperidone">'Med Reference'!$G$55:$L$55</definedName>
    <definedName name="MG_Sertraline">'Med Reference'!$G$40:$I$40</definedName>
    <definedName name="MG_Trazodone">'Med Reference'!$G$48:$J$48</definedName>
    <definedName name="MG_Venlafaxine">'Med Reference'!$G$45:$J$45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B12" i="4"/>
  <c r="B13" i="4"/>
  <c r="B14" i="4"/>
  <c r="B15" i="4"/>
  <c r="B16" i="4"/>
  <c r="B17" i="4"/>
  <c r="B18" i="4"/>
  <c r="B19" i="4"/>
  <c r="B20" i="4"/>
  <c r="O20" i="4"/>
  <c r="N20" i="4"/>
  <c r="M20" i="4"/>
  <c r="E20" i="4"/>
  <c r="D20" i="4"/>
  <c r="C20" i="4"/>
  <c r="A20" i="4"/>
  <c r="O19" i="4"/>
  <c r="N19" i="4"/>
  <c r="M19" i="4"/>
  <c r="E19" i="4"/>
  <c r="D19" i="4"/>
  <c r="C19" i="4"/>
  <c r="A19" i="4"/>
  <c r="O18" i="4"/>
  <c r="N18" i="4"/>
  <c r="E18" i="4"/>
  <c r="D18" i="4"/>
  <c r="C18" i="4"/>
  <c r="A18" i="4"/>
  <c r="O17" i="4"/>
  <c r="N17" i="4"/>
  <c r="M17" i="4"/>
  <c r="E17" i="4"/>
  <c r="D17" i="4"/>
  <c r="C17" i="4"/>
  <c r="A17" i="4"/>
  <c r="O16" i="4"/>
  <c r="N16" i="4"/>
  <c r="M16" i="4"/>
  <c r="E16" i="4"/>
  <c r="D16" i="4"/>
  <c r="C16" i="4"/>
  <c r="A16" i="4"/>
  <c r="O15" i="4"/>
  <c r="N15" i="4"/>
  <c r="M15" i="4"/>
  <c r="E15" i="4"/>
  <c r="D15" i="4"/>
  <c r="C15" i="4"/>
  <c r="A15" i="4"/>
  <c r="O14" i="4"/>
  <c r="N14" i="4"/>
  <c r="M14" i="4"/>
  <c r="E14" i="4"/>
  <c r="D14" i="4"/>
  <c r="C14" i="4"/>
  <c r="A14" i="4"/>
  <c r="O13" i="4"/>
  <c r="N13" i="4"/>
  <c r="M13" i="4"/>
  <c r="D13" i="4"/>
  <c r="C13" i="4"/>
  <c r="A13" i="4"/>
  <c r="O12" i="4"/>
  <c r="N12" i="4"/>
  <c r="M12" i="4"/>
  <c r="E12" i="4"/>
  <c r="D12" i="4"/>
  <c r="C12" i="4"/>
  <c r="A12" i="4"/>
  <c r="O11" i="4"/>
  <c r="N11" i="4"/>
  <c r="M11" i="4"/>
  <c r="E11" i="4"/>
  <c r="D11" i="4"/>
  <c r="C11" i="4"/>
  <c r="B11" i="4"/>
  <c r="A11" i="4"/>
  <c r="O10" i="4"/>
  <c r="N10" i="4"/>
  <c r="M10" i="4"/>
  <c r="E10" i="4"/>
  <c r="D10" i="4"/>
  <c r="C10" i="4"/>
  <c r="B10" i="4"/>
  <c r="A10" i="4"/>
  <c r="O9" i="4"/>
  <c r="N9" i="4"/>
  <c r="M9" i="4"/>
  <c r="E9" i="4"/>
  <c r="D9" i="4"/>
  <c r="C9" i="4"/>
  <c r="B9" i="4"/>
  <c r="A9" i="4"/>
  <c r="O8" i="4"/>
  <c r="N8" i="4"/>
  <c r="M8" i="4"/>
  <c r="E8" i="4"/>
  <c r="D8" i="4"/>
  <c r="C8" i="4"/>
  <c r="B8" i="4"/>
  <c r="A8" i="4"/>
  <c r="O7" i="4"/>
  <c r="N7" i="4"/>
  <c r="M7" i="4"/>
  <c r="E7" i="4"/>
  <c r="D7" i="4"/>
  <c r="C7" i="4"/>
  <c r="B7" i="4"/>
  <c r="A7" i="4"/>
  <c r="O6" i="4"/>
  <c r="N6" i="4"/>
  <c r="M6" i="4"/>
  <c r="E6" i="4"/>
  <c r="C6" i="4"/>
  <c r="B6" i="4"/>
  <c r="A6" i="4"/>
  <c r="O5" i="4"/>
  <c r="N5" i="4"/>
  <c r="M5" i="4"/>
  <c r="E5" i="4"/>
  <c r="D5" i="4"/>
  <c r="C5" i="4"/>
  <c r="B5" i="4"/>
  <c r="A5" i="4"/>
  <c r="Y114" i="37"/>
  <c r="Y113" i="37"/>
  <c r="Y112" i="37"/>
  <c r="Y111" i="37"/>
  <c r="Y110" i="37"/>
  <c r="Y109" i="37"/>
  <c r="Y108" i="37"/>
  <c r="Y107" i="37"/>
  <c r="Y106" i="37"/>
  <c r="Y105" i="37"/>
  <c r="Y104" i="37"/>
  <c r="Y103" i="37"/>
  <c r="Y102" i="37"/>
  <c r="Y101" i="37"/>
  <c r="Y100" i="37"/>
  <c r="Y99" i="37"/>
  <c r="Y98" i="37"/>
  <c r="Y97" i="37"/>
  <c r="Y96" i="37"/>
  <c r="Y95" i="37"/>
  <c r="Y94" i="37"/>
  <c r="Y93" i="37"/>
  <c r="Y92" i="37"/>
  <c r="Y91" i="37"/>
  <c r="Y90" i="37"/>
  <c r="Y89" i="37"/>
  <c r="Y88" i="37"/>
  <c r="Y87" i="37"/>
  <c r="Y86" i="37"/>
  <c r="Y85" i="37"/>
  <c r="Y84" i="37"/>
  <c r="Y83" i="37"/>
  <c r="Y82" i="37"/>
  <c r="Y81" i="37"/>
  <c r="Y80" i="37"/>
  <c r="Y79" i="37"/>
  <c r="Y78" i="37"/>
  <c r="Y77" i="37"/>
  <c r="Y76" i="37"/>
  <c r="Y75" i="37"/>
  <c r="Y74" i="37"/>
  <c r="Y73" i="37"/>
  <c r="Y72" i="37"/>
  <c r="Y71" i="37"/>
  <c r="Y70" i="37"/>
  <c r="Y69" i="37"/>
  <c r="Y68" i="37"/>
  <c r="Y67" i="37"/>
  <c r="U8" i="37"/>
  <c r="S8" i="37"/>
  <c r="Q8" i="37"/>
  <c r="O8" i="37"/>
  <c r="M8" i="37"/>
  <c r="K8" i="37"/>
  <c r="I8" i="37"/>
  <c r="E6" i="37"/>
  <c r="AG3" i="37"/>
  <c r="AG2" i="37"/>
  <c r="L27" i="36"/>
  <c r="H27" i="36"/>
  <c r="L26" i="36"/>
  <c r="H26" i="36"/>
  <c r="L25" i="36"/>
  <c r="H25" i="36"/>
  <c r="L24" i="36"/>
  <c r="H24" i="36"/>
  <c r="L23" i="36"/>
  <c r="H23" i="36"/>
  <c r="L22" i="36"/>
  <c r="H22" i="36"/>
  <c r="L21" i="36"/>
  <c r="H21" i="36"/>
  <c r="L20" i="36"/>
  <c r="H20" i="36"/>
  <c r="L19" i="36"/>
  <c r="H19" i="36"/>
  <c r="L18" i="36"/>
  <c r="H18" i="36"/>
  <c r="L17" i="36"/>
  <c r="H17" i="36"/>
  <c r="L16" i="36"/>
  <c r="H16" i="36"/>
  <c r="A12" i="36"/>
  <c r="J5" i="37" s="1"/>
  <c r="F10" i="36"/>
  <c r="G5" i="37" s="1"/>
  <c r="A10" i="36"/>
  <c r="D5" i="37" s="1"/>
  <c r="F8" i="36"/>
  <c r="A5" i="37" s="1"/>
  <c r="A8" i="36"/>
  <c r="F6" i="36"/>
  <c r="F3" i="37" s="1"/>
  <c r="A6" i="36"/>
  <c r="A3" i="37" s="1"/>
  <c r="O3" i="36"/>
  <c r="O2" i="36"/>
  <c r="Y114" i="35"/>
  <c r="Y113" i="35"/>
  <c r="Y112" i="35"/>
  <c r="Y111" i="35"/>
  <c r="Y110" i="35"/>
  <c r="Y109" i="35"/>
  <c r="Y108" i="35"/>
  <c r="Y107" i="35"/>
  <c r="Y106" i="35"/>
  <c r="Y105" i="35"/>
  <c r="Y104" i="35"/>
  <c r="Y103" i="35"/>
  <c r="Y102" i="35"/>
  <c r="Y101" i="35"/>
  <c r="Y100" i="35"/>
  <c r="Y99" i="35"/>
  <c r="Y98" i="35"/>
  <c r="Y97" i="35"/>
  <c r="Y96" i="35"/>
  <c r="Y95" i="35"/>
  <c r="Y94" i="35"/>
  <c r="Y93" i="35"/>
  <c r="Y92" i="35"/>
  <c r="Y91" i="35"/>
  <c r="Y90" i="35"/>
  <c r="Y89" i="35"/>
  <c r="Y88" i="35"/>
  <c r="Y87" i="35"/>
  <c r="Y86" i="35"/>
  <c r="Y85" i="35"/>
  <c r="Y84" i="35"/>
  <c r="Y83" i="35"/>
  <c r="Y82" i="35"/>
  <c r="Y81" i="35"/>
  <c r="Y80" i="35"/>
  <c r="Y79" i="35"/>
  <c r="Y78" i="35"/>
  <c r="Y77" i="35"/>
  <c r="Y76" i="35"/>
  <c r="Y75" i="35"/>
  <c r="Y74" i="35"/>
  <c r="Y73" i="35"/>
  <c r="Y72" i="35"/>
  <c r="Y71" i="35"/>
  <c r="Y70" i="35"/>
  <c r="Y69" i="35"/>
  <c r="Y68" i="35"/>
  <c r="Y67" i="35"/>
  <c r="U8" i="35"/>
  <c r="S8" i="35"/>
  <c r="Q8" i="35"/>
  <c r="O8" i="35"/>
  <c r="M8" i="35"/>
  <c r="K8" i="35"/>
  <c r="I8" i="35"/>
  <c r="E6" i="35"/>
  <c r="AG3" i="35"/>
  <c r="AG2" i="35"/>
  <c r="L27" i="34"/>
  <c r="H27" i="34"/>
  <c r="L26" i="34"/>
  <c r="H26" i="34"/>
  <c r="L25" i="34"/>
  <c r="H25" i="34"/>
  <c r="L24" i="34"/>
  <c r="H24" i="34"/>
  <c r="L23" i="34"/>
  <c r="H23" i="34"/>
  <c r="L22" i="34"/>
  <c r="H22" i="34"/>
  <c r="L21" i="34"/>
  <c r="H21" i="34"/>
  <c r="L20" i="34"/>
  <c r="H20" i="34"/>
  <c r="L19" i="34"/>
  <c r="H19" i="34"/>
  <c r="L18" i="34"/>
  <c r="H18" i="34"/>
  <c r="L17" i="34"/>
  <c r="H17" i="34"/>
  <c r="L16" i="34"/>
  <c r="H16" i="34"/>
  <c r="A12" i="34"/>
  <c r="J5" i="35" s="1"/>
  <c r="F10" i="34"/>
  <c r="G5" i="35" s="1"/>
  <c r="A10" i="34"/>
  <c r="D5" i="35" s="1"/>
  <c r="F8" i="34"/>
  <c r="A5" i="35" s="1"/>
  <c r="A8" i="34"/>
  <c r="F6" i="34"/>
  <c r="F3" i="35" s="1"/>
  <c r="A6" i="34"/>
  <c r="A3" i="35" s="1"/>
  <c r="O3" i="34"/>
  <c r="O2" i="34"/>
  <c r="Y114" i="33"/>
  <c r="Y113" i="33"/>
  <c r="Y112" i="33"/>
  <c r="Y111" i="33"/>
  <c r="Y110" i="33"/>
  <c r="Y109" i="33"/>
  <c r="Y108" i="33"/>
  <c r="Y107" i="33"/>
  <c r="Y106" i="33"/>
  <c r="Y105" i="33"/>
  <c r="Y104" i="33"/>
  <c r="Y103" i="33"/>
  <c r="Y102" i="33"/>
  <c r="Y101" i="33"/>
  <c r="Y100" i="33"/>
  <c r="Y99" i="33"/>
  <c r="Y98" i="33"/>
  <c r="Y97" i="33"/>
  <c r="Y96" i="33"/>
  <c r="Y95" i="33"/>
  <c r="Y94" i="33"/>
  <c r="Y93" i="33"/>
  <c r="Y92" i="33"/>
  <c r="Y91" i="33"/>
  <c r="Y90" i="33"/>
  <c r="Y89" i="33"/>
  <c r="Y88" i="33"/>
  <c r="Y87" i="33"/>
  <c r="Y86" i="33"/>
  <c r="Y85" i="33"/>
  <c r="Y84" i="33"/>
  <c r="Y83" i="33"/>
  <c r="Y82" i="33"/>
  <c r="Y81" i="33"/>
  <c r="Y80" i="33"/>
  <c r="Y79" i="33"/>
  <c r="Y78" i="33"/>
  <c r="Y77" i="33"/>
  <c r="Y76" i="33"/>
  <c r="Y75" i="33"/>
  <c r="Y74" i="33"/>
  <c r="Y73" i="33"/>
  <c r="Y72" i="33"/>
  <c r="Y71" i="33"/>
  <c r="Y70" i="33"/>
  <c r="Y69" i="33"/>
  <c r="Y68" i="33"/>
  <c r="Y67" i="33"/>
  <c r="U8" i="33"/>
  <c r="S8" i="33"/>
  <c r="Q8" i="33"/>
  <c r="O8" i="33"/>
  <c r="M8" i="33"/>
  <c r="K8" i="33"/>
  <c r="I8" i="33"/>
  <c r="E6" i="33"/>
  <c r="AG3" i="33"/>
  <c r="AG2" i="33"/>
  <c r="L27" i="32"/>
  <c r="H27" i="32"/>
  <c r="L26" i="32"/>
  <c r="H26" i="32"/>
  <c r="L25" i="32"/>
  <c r="H25" i="32"/>
  <c r="L24" i="32"/>
  <c r="H24" i="32"/>
  <c r="L23" i="32"/>
  <c r="H23" i="32"/>
  <c r="L22" i="32"/>
  <c r="H22" i="32"/>
  <c r="L21" i="32"/>
  <c r="H21" i="32"/>
  <c r="L20" i="32"/>
  <c r="H20" i="32"/>
  <c r="L19" i="32"/>
  <c r="H19" i="32"/>
  <c r="L18" i="32"/>
  <c r="H18" i="32"/>
  <c r="L17" i="32"/>
  <c r="H17" i="32"/>
  <c r="L16" i="32"/>
  <c r="H16" i="32"/>
  <c r="M18" i="4" s="1"/>
  <c r="A12" i="32"/>
  <c r="J5" i="33" s="1"/>
  <c r="F10" i="32"/>
  <c r="G5" i="33" s="1"/>
  <c r="A10" i="32"/>
  <c r="D5" i="33" s="1"/>
  <c r="F8" i="32"/>
  <c r="A5" i="33" s="1"/>
  <c r="A8" i="32"/>
  <c r="F6" i="32"/>
  <c r="F3" i="33" s="1"/>
  <c r="A6" i="32"/>
  <c r="A3" i="33" s="1"/>
  <c r="O3" i="32"/>
  <c r="O2" i="32"/>
  <c r="Y114" i="31"/>
  <c r="Y113" i="31"/>
  <c r="Y112" i="31"/>
  <c r="Y111" i="31"/>
  <c r="Y110" i="31"/>
  <c r="Y109" i="31"/>
  <c r="Y108" i="31"/>
  <c r="Y107" i="31"/>
  <c r="Y106" i="31"/>
  <c r="Y105" i="31"/>
  <c r="Y104" i="31"/>
  <c r="Y103" i="31"/>
  <c r="Y102" i="31"/>
  <c r="Y101" i="31"/>
  <c r="Y100" i="31"/>
  <c r="Y99" i="31"/>
  <c r="Y98" i="31"/>
  <c r="Y97" i="31"/>
  <c r="Y96" i="31"/>
  <c r="Y95" i="31"/>
  <c r="Y94" i="31"/>
  <c r="Y93" i="31"/>
  <c r="Y92" i="31"/>
  <c r="Y91" i="31"/>
  <c r="Y90" i="31"/>
  <c r="Y89" i="31"/>
  <c r="Y88" i="31"/>
  <c r="Y87" i="31"/>
  <c r="Y86" i="31"/>
  <c r="Y85" i="31"/>
  <c r="Y84" i="31"/>
  <c r="Y83" i="31"/>
  <c r="Y82" i="31"/>
  <c r="Y81" i="31"/>
  <c r="Y80" i="31"/>
  <c r="Y79" i="31"/>
  <c r="Y78" i="31"/>
  <c r="Y77" i="31"/>
  <c r="Y76" i="31"/>
  <c r="Y75" i="31"/>
  <c r="Y74" i="31"/>
  <c r="Y73" i="31"/>
  <c r="Y72" i="31"/>
  <c r="Y71" i="31"/>
  <c r="Y70" i="31"/>
  <c r="Y69" i="31"/>
  <c r="Y68" i="31"/>
  <c r="Y67" i="31"/>
  <c r="U8" i="31"/>
  <c r="S8" i="31"/>
  <c r="Q8" i="31"/>
  <c r="O8" i="31"/>
  <c r="M8" i="31"/>
  <c r="K8" i="31"/>
  <c r="I8" i="31"/>
  <c r="E6" i="31"/>
  <c r="AG3" i="31"/>
  <c r="AG2" i="31"/>
  <c r="L27" i="30"/>
  <c r="H27" i="30"/>
  <c r="L26" i="30"/>
  <c r="H26" i="30"/>
  <c r="L25" i="30"/>
  <c r="H25" i="30"/>
  <c r="L24" i="30"/>
  <c r="H24" i="30"/>
  <c r="L23" i="30"/>
  <c r="H23" i="30"/>
  <c r="L22" i="30"/>
  <c r="H22" i="30"/>
  <c r="L21" i="30"/>
  <c r="H21" i="30"/>
  <c r="L20" i="30"/>
  <c r="H20" i="30"/>
  <c r="L19" i="30"/>
  <c r="H19" i="30"/>
  <c r="L18" i="30"/>
  <c r="H18" i="30"/>
  <c r="L17" i="30"/>
  <c r="H17" i="30"/>
  <c r="L16" i="30"/>
  <c r="H16" i="30"/>
  <c r="A12" i="30"/>
  <c r="J5" i="31" s="1"/>
  <c r="F10" i="30"/>
  <c r="G5" i="31" s="1"/>
  <c r="A10" i="30"/>
  <c r="D5" i="31" s="1"/>
  <c r="F8" i="30"/>
  <c r="A5" i="31" s="1"/>
  <c r="A8" i="30"/>
  <c r="F6" i="30"/>
  <c r="F3" i="31" s="1"/>
  <c r="A6" i="30"/>
  <c r="A3" i="31" s="1"/>
  <c r="O3" i="30"/>
  <c r="O2" i="30"/>
  <c r="Y114" i="29"/>
  <c r="Y113" i="29"/>
  <c r="Y112" i="29"/>
  <c r="Y111" i="29"/>
  <c r="Y110" i="29"/>
  <c r="Y109" i="29"/>
  <c r="Y108" i="29"/>
  <c r="Y107" i="29"/>
  <c r="Y106" i="29"/>
  <c r="Y105" i="29"/>
  <c r="Y104" i="29"/>
  <c r="Y103" i="29"/>
  <c r="Y102" i="29"/>
  <c r="Y101" i="29"/>
  <c r="Y100" i="29"/>
  <c r="Y99" i="29"/>
  <c r="Y98" i="29"/>
  <c r="Y97" i="29"/>
  <c r="Y96" i="29"/>
  <c r="Y95" i="29"/>
  <c r="Y94" i="29"/>
  <c r="Y93" i="29"/>
  <c r="Y92" i="29"/>
  <c r="Y91" i="29"/>
  <c r="Y90" i="29"/>
  <c r="Y89" i="29"/>
  <c r="Y88" i="29"/>
  <c r="Y87" i="29"/>
  <c r="Y86" i="29"/>
  <c r="Y85" i="29"/>
  <c r="Y84" i="29"/>
  <c r="Y83" i="29"/>
  <c r="Y82" i="29"/>
  <c r="Y81" i="29"/>
  <c r="Y80" i="29"/>
  <c r="Y79" i="29"/>
  <c r="Y78" i="29"/>
  <c r="Y77" i="29"/>
  <c r="Y76" i="29"/>
  <c r="Y75" i="29"/>
  <c r="Y74" i="29"/>
  <c r="Y73" i="29"/>
  <c r="Y72" i="29"/>
  <c r="Y71" i="29"/>
  <c r="Y70" i="29"/>
  <c r="Y69" i="29"/>
  <c r="Y68" i="29"/>
  <c r="Y67" i="29"/>
  <c r="U8" i="29"/>
  <c r="S8" i="29"/>
  <c r="Q8" i="29"/>
  <c r="O8" i="29"/>
  <c r="M8" i="29"/>
  <c r="K8" i="29"/>
  <c r="I8" i="29"/>
  <c r="E6" i="29"/>
  <c r="AG3" i="29"/>
  <c r="AG2" i="29"/>
  <c r="L27" i="28"/>
  <c r="H27" i="28"/>
  <c r="L26" i="28"/>
  <c r="H26" i="28"/>
  <c r="L25" i="28"/>
  <c r="H25" i="28"/>
  <c r="L24" i="28"/>
  <c r="H24" i="28"/>
  <c r="L23" i="28"/>
  <c r="H23" i="28"/>
  <c r="L22" i="28"/>
  <c r="H22" i="28"/>
  <c r="L21" i="28"/>
  <c r="H21" i="28"/>
  <c r="L20" i="28"/>
  <c r="H20" i="28"/>
  <c r="L19" i="28"/>
  <c r="H19" i="28"/>
  <c r="L18" i="28"/>
  <c r="H18" i="28"/>
  <c r="L17" i="28"/>
  <c r="H17" i="28"/>
  <c r="L16" i="28"/>
  <c r="H16" i="28"/>
  <c r="A12" i="28"/>
  <c r="J5" i="29" s="1"/>
  <c r="F10" i="28"/>
  <c r="G5" i="29" s="1"/>
  <c r="A10" i="28"/>
  <c r="D5" i="29" s="1"/>
  <c r="F8" i="28"/>
  <c r="A5" i="29" s="1"/>
  <c r="A8" i="28"/>
  <c r="F6" i="28"/>
  <c r="F3" i="29" s="1"/>
  <c r="A6" i="28"/>
  <c r="A3" i="29" s="1"/>
  <c r="O3" i="28"/>
  <c r="O2" i="28"/>
  <c r="Y114" i="27"/>
  <c r="Y113" i="27"/>
  <c r="Y112" i="27"/>
  <c r="Y111" i="27"/>
  <c r="Y110" i="27"/>
  <c r="Y109" i="27"/>
  <c r="Y108" i="27"/>
  <c r="Y107" i="27"/>
  <c r="Y106" i="27"/>
  <c r="Y105" i="27"/>
  <c r="Y104" i="27"/>
  <c r="Y103" i="27"/>
  <c r="Y102" i="27"/>
  <c r="Y101" i="27"/>
  <c r="Y100" i="27"/>
  <c r="Y99" i="27"/>
  <c r="Y98" i="27"/>
  <c r="Y97" i="27"/>
  <c r="Y96" i="27"/>
  <c r="Y95" i="27"/>
  <c r="Y94" i="27"/>
  <c r="Y93" i="27"/>
  <c r="Y92" i="27"/>
  <c r="Y91" i="27"/>
  <c r="Y90" i="27"/>
  <c r="Y89" i="27"/>
  <c r="Y88" i="27"/>
  <c r="Y87" i="27"/>
  <c r="Y86" i="27"/>
  <c r="Y85" i="27"/>
  <c r="Y84" i="27"/>
  <c r="Y83" i="27"/>
  <c r="Y82" i="27"/>
  <c r="Y81" i="27"/>
  <c r="Y80" i="27"/>
  <c r="Y79" i="27"/>
  <c r="Y78" i="27"/>
  <c r="Y77" i="27"/>
  <c r="Y76" i="27"/>
  <c r="Y75" i="27"/>
  <c r="Y74" i="27"/>
  <c r="Y73" i="27"/>
  <c r="Y72" i="27"/>
  <c r="Y71" i="27"/>
  <c r="Y70" i="27"/>
  <c r="Y69" i="27"/>
  <c r="Y68" i="27"/>
  <c r="Y67" i="27"/>
  <c r="U8" i="27"/>
  <c r="S8" i="27"/>
  <c r="Q8" i="27"/>
  <c r="O8" i="27"/>
  <c r="M8" i="27"/>
  <c r="K8" i="27"/>
  <c r="I8" i="27"/>
  <c r="E6" i="27"/>
  <c r="AG3" i="27"/>
  <c r="AG2" i="27"/>
  <c r="L27" i="26"/>
  <c r="H27" i="26"/>
  <c r="L26" i="26"/>
  <c r="H26" i="26"/>
  <c r="L25" i="26"/>
  <c r="H25" i="26"/>
  <c r="L24" i="26"/>
  <c r="H24" i="26"/>
  <c r="L23" i="26"/>
  <c r="H23" i="26"/>
  <c r="L22" i="26"/>
  <c r="H22" i="26"/>
  <c r="L21" i="26"/>
  <c r="H21" i="26"/>
  <c r="L20" i="26"/>
  <c r="H20" i="26"/>
  <c r="L19" i="26"/>
  <c r="H19" i="26"/>
  <c r="L18" i="26"/>
  <c r="H18" i="26"/>
  <c r="L17" i="26"/>
  <c r="H17" i="26"/>
  <c r="L16" i="26"/>
  <c r="H16" i="26"/>
  <c r="A12" i="26"/>
  <c r="J5" i="27" s="1"/>
  <c r="F10" i="26"/>
  <c r="G5" i="27" s="1"/>
  <c r="A10" i="26"/>
  <c r="D5" i="27" s="1"/>
  <c r="F8" i="26"/>
  <c r="A5" i="27" s="1"/>
  <c r="A8" i="26"/>
  <c r="F6" i="26"/>
  <c r="F3" i="27" s="1"/>
  <c r="A6" i="26"/>
  <c r="A3" i="27" s="1"/>
  <c r="O3" i="26"/>
  <c r="O2" i="26"/>
  <c r="Y114" i="25"/>
  <c r="Y113" i="25"/>
  <c r="Y112" i="25"/>
  <c r="Y111" i="25"/>
  <c r="Y110" i="25"/>
  <c r="Y109" i="25"/>
  <c r="Y108" i="25"/>
  <c r="Y107" i="25"/>
  <c r="Y106" i="25"/>
  <c r="Y105" i="25"/>
  <c r="Y104" i="25"/>
  <c r="Y103" i="25"/>
  <c r="Y102" i="25"/>
  <c r="Y101" i="25"/>
  <c r="Y100" i="25"/>
  <c r="Y99" i="25"/>
  <c r="Y98" i="25"/>
  <c r="Y97" i="25"/>
  <c r="Y96" i="25"/>
  <c r="Y95" i="25"/>
  <c r="Y94" i="25"/>
  <c r="Y93" i="25"/>
  <c r="Y92" i="25"/>
  <c r="Y91" i="25"/>
  <c r="Y90" i="25"/>
  <c r="Y89" i="25"/>
  <c r="Y88" i="25"/>
  <c r="Y87" i="25"/>
  <c r="Y86" i="25"/>
  <c r="Y85" i="25"/>
  <c r="Y84" i="25"/>
  <c r="Y83" i="25"/>
  <c r="Y82" i="25"/>
  <c r="Y81" i="25"/>
  <c r="Y80" i="25"/>
  <c r="Y79" i="25"/>
  <c r="Y78" i="25"/>
  <c r="Y77" i="25"/>
  <c r="Y76" i="25"/>
  <c r="Y75" i="25"/>
  <c r="Y74" i="25"/>
  <c r="Y73" i="25"/>
  <c r="Y72" i="25"/>
  <c r="Y71" i="25"/>
  <c r="Y70" i="25"/>
  <c r="Y69" i="25"/>
  <c r="Y68" i="25"/>
  <c r="Y67" i="25"/>
  <c r="U8" i="25"/>
  <c r="S8" i="25"/>
  <c r="Q8" i="25"/>
  <c r="O8" i="25"/>
  <c r="M8" i="25"/>
  <c r="K8" i="25"/>
  <c r="I8" i="25"/>
  <c r="E6" i="25"/>
  <c r="AG3" i="25"/>
  <c r="AG2" i="25"/>
  <c r="L27" i="24"/>
  <c r="H27" i="24"/>
  <c r="L26" i="24"/>
  <c r="H26" i="24"/>
  <c r="L25" i="24"/>
  <c r="H25" i="24"/>
  <c r="L24" i="24"/>
  <c r="H24" i="24"/>
  <c r="L23" i="24"/>
  <c r="H23" i="24"/>
  <c r="L22" i="24"/>
  <c r="H22" i="24"/>
  <c r="L21" i="24"/>
  <c r="H21" i="24"/>
  <c r="L20" i="24"/>
  <c r="H20" i="24"/>
  <c r="L19" i="24"/>
  <c r="H19" i="24"/>
  <c r="L18" i="24"/>
  <c r="H18" i="24"/>
  <c r="L17" i="24"/>
  <c r="H17" i="24"/>
  <c r="L16" i="24"/>
  <c r="H16" i="24"/>
  <c r="A12" i="24"/>
  <c r="J5" i="25" s="1"/>
  <c r="F10" i="24"/>
  <c r="G5" i="25" s="1"/>
  <c r="A10" i="24"/>
  <c r="D5" i="25" s="1"/>
  <c r="F8" i="24"/>
  <c r="A5" i="25" s="1"/>
  <c r="A8" i="24"/>
  <c r="F6" i="24"/>
  <c r="F3" i="25" s="1"/>
  <c r="A6" i="24"/>
  <c r="A3" i="25" s="1"/>
  <c r="O3" i="24"/>
  <c r="O2" i="24"/>
  <c r="Y114" i="23"/>
  <c r="Y113" i="23"/>
  <c r="Y112" i="23"/>
  <c r="Y111" i="23"/>
  <c r="Y110" i="23"/>
  <c r="Y109" i="23"/>
  <c r="Y108" i="23"/>
  <c r="Y107" i="23"/>
  <c r="Y106" i="23"/>
  <c r="Y105" i="23"/>
  <c r="Y104" i="23"/>
  <c r="Y103" i="23"/>
  <c r="Y102" i="23"/>
  <c r="Y101" i="23"/>
  <c r="Y100" i="23"/>
  <c r="Y99" i="23"/>
  <c r="Y98" i="23"/>
  <c r="Y97" i="23"/>
  <c r="Y96" i="23"/>
  <c r="Y95" i="23"/>
  <c r="Y94" i="23"/>
  <c r="Y93" i="23"/>
  <c r="Y92" i="23"/>
  <c r="Y91" i="23"/>
  <c r="Y90" i="23"/>
  <c r="Y89" i="23"/>
  <c r="Y88" i="23"/>
  <c r="Y87" i="23"/>
  <c r="Y86" i="23"/>
  <c r="Y85" i="23"/>
  <c r="Y84" i="23"/>
  <c r="Y83" i="23"/>
  <c r="Y82" i="23"/>
  <c r="Y81" i="23"/>
  <c r="Y80" i="23"/>
  <c r="Y79" i="23"/>
  <c r="Y78" i="23"/>
  <c r="Y77" i="23"/>
  <c r="Y76" i="23"/>
  <c r="Y75" i="23"/>
  <c r="Y74" i="23"/>
  <c r="Y73" i="23"/>
  <c r="Y72" i="23"/>
  <c r="Y71" i="23"/>
  <c r="Y70" i="23"/>
  <c r="Y69" i="23"/>
  <c r="Y68" i="23"/>
  <c r="Y67" i="23"/>
  <c r="U8" i="23"/>
  <c r="S8" i="23"/>
  <c r="Q8" i="23"/>
  <c r="O8" i="23"/>
  <c r="M8" i="23"/>
  <c r="K8" i="23"/>
  <c r="I8" i="23"/>
  <c r="E6" i="23"/>
  <c r="AG3" i="23"/>
  <c r="AG2" i="23"/>
  <c r="L27" i="22"/>
  <c r="H27" i="22"/>
  <c r="L26" i="22"/>
  <c r="H26" i="22"/>
  <c r="L25" i="22"/>
  <c r="H25" i="22"/>
  <c r="L24" i="22"/>
  <c r="H24" i="22"/>
  <c r="L23" i="22"/>
  <c r="H23" i="22"/>
  <c r="L22" i="22"/>
  <c r="H22" i="22"/>
  <c r="L21" i="22"/>
  <c r="H21" i="22"/>
  <c r="L20" i="22"/>
  <c r="H20" i="22"/>
  <c r="L19" i="22"/>
  <c r="H19" i="22"/>
  <c r="L18" i="22"/>
  <c r="H18" i="22"/>
  <c r="L17" i="22"/>
  <c r="H17" i="22"/>
  <c r="L16" i="22"/>
  <c r="H16" i="22"/>
  <c r="A12" i="22"/>
  <c r="J5" i="23" s="1"/>
  <c r="F10" i="22"/>
  <c r="G5" i="23" s="1"/>
  <c r="A10" i="22"/>
  <c r="D5" i="23" s="1"/>
  <c r="F8" i="22"/>
  <c r="A5" i="23" s="1"/>
  <c r="A8" i="22"/>
  <c r="F6" i="22"/>
  <c r="F3" i="23" s="1"/>
  <c r="A6" i="22"/>
  <c r="A3" i="23" s="1"/>
  <c r="O3" i="22"/>
  <c r="O2" i="22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100" i="21"/>
  <c r="Y99" i="21"/>
  <c r="Y98" i="21"/>
  <c r="Y97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72" i="21"/>
  <c r="Y71" i="21"/>
  <c r="Y70" i="21"/>
  <c r="Y69" i="21"/>
  <c r="Y68" i="21"/>
  <c r="Y67" i="21"/>
  <c r="U8" i="21"/>
  <c r="S8" i="21"/>
  <c r="Q8" i="21"/>
  <c r="O8" i="21"/>
  <c r="M8" i="21"/>
  <c r="K8" i="21"/>
  <c r="I8" i="21"/>
  <c r="E6" i="21"/>
  <c r="AG3" i="21"/>
  <c r="AG2" i="21"/>
  <c r="L27" i="20"/>
  <c r="H27" i="20"/>
  <c r="L26" i="20"/>
  <c r="H26" i="20"/>
  <c r="L25" i="20"/>
  <c r="H25" i="20"/>
  <c r="L24" i="20"/>
  <c r="H24" i="20"/>
  <c r="L23" i="20"/>
  <c r="H23" i="20"/>
  <c r="L22" i="20"/>
  <c r="H22" i="20"/>
  <c r="L21" i="20"/>
  <c r="H21" i="20"/>
  <c r="L20" i="20"/>
  <c r="H20" i="20"/>
  <c r="L19" i="20"/>
  <c r="H19" i="20"/>
  <c r="L18" i="20"/>
  <c r="H18" i="20"/>
  <c r="L17" i="20"/>
  <c r="H17" i="20"/>
  <c r="L16" i="20"/>
  <c r="H16" i="20"/>
  <c r="A12" i="20"/>
  <c r="J5" i="21" s="1"/>
  <c r="F10" i="20"/>
  <c r="G5" i="21" s="1"/>
  <c r="A10" i="20"/>
  <c r="D5" i="21" s="1"/>
  <c r="F8" i="20"/>
  <c r="A5" i="21" s="1"/>
  <c r="A8" i="20"/>
  <c r="F6" i="20"/>
  <c r="F3" i="21" s="1"/>
  <c r="A6" i="20"/>
  <c r="A3" i="21" s="1"/>
  <c r="O3" i="20"/>
  <c r="O2" i="20"/>
  <c r="Y114" i="19"/>
  <c r="Y113" i="19"/>
  <c r="Y112" i="19"/>
  <c r="Y111" i="19"/>
  <c r="Y110" i="19"/>
  <c r="Y109" i="19"/>
  <c r="Y108" i="19"/>
  <c r="Y107" i="19"/>
  <c r="Y106" i="19"/>
  <c r="Y105" i="19"/>
  <c r="Y104" i="19"/>
  <c r="Y103" i="19"/>
  <c r="Y102" i="19"/>
  <c r="Y101" i="19"/>
  <c r="Y100" i="19"/>
  <c r="Y99" i="19"/>
  <c r="Y98" i="19"/>
  <c r="Y97" i="19"/>
  <c r="Y96" i="19"/>
  <c r="Y95" i="19"/>
  <c r="Y94" i="19"/>
  <c r="Y93" i="19"/>
  <c r="Y92" i="19"/>
  <c r="Y91" i="19"/>
  <c r="Y90" i="19"/>
  <c r="Y89" i="19"/>
  <c r="Y88" i="19"/>
  <c r="Y87" i="19"/>
  <c r="Y86" i="19"/>
  <c r="Y85" i="19"/>
  <c r="Y84" i="19"/>
  <c r="Y83" i="19"/>
  <c r="Y82" i="19"/>
  <c r="Y81" i="19"/>
  <c r="Y80" i="19"/>
  <c r="Y79" i="19"/>
  <c r="Y78" i="19"/>
  <c r="Y77" i="19"/>
  <c r="Y76" i="19"/>
  <c r="Y75" i="19"/>
  <c r="Y74" i="19"/>
  <c r="Y73" i="19"/>
  <c r="Y72" i="19"/>
  <c r="Y71" i="19"/>
  <c r="Y70" i="19"/>
  <c r="Y69" i="19"/>
  <c r="Y68" i="19"/>
  <c r="Y67" i="19"/>
  <c r="U8" i="19"/>
  <c r="S8" i="19"/>
  <c r="Q8" i="19"/>
  <c r="O8" i="19"/>
  <c r="M8" i="19"/>
  <c r="K8" i="19"/>
  <c r="I8" i="19"/>
  <c r="E6" i="19"/>
  <c r="AG3" i="19"/>
  <c r="AG2" i="19"/>
  <c r="L27" i="18"/>
  <c r="H27" i="18"/>
  <c r="L26" i="18"/>
  <c r="H26" i="18"/>
  <c r="L25" i="18"/>
  <c r="H25" i="18"/>
  <c r="L24" i="18"/>
  <c r="H24" i="18"/>
  <c r="L23" i="18"/>
  <c r="H23" i="18"/>
  <c r="L22" i="18"/>
  <c r="H22" i="18"/>
  <c r="L21" i="18"/>
  <c r="H21" i="18"/>
  <c r="L20" i="18"/>
  <c r="H20" i="18"/>
  <c r="L19" i="18"/>
  <c r="H19" i="18"/>
  <c r="L18" i="18"/>
  <c r="H18" i="18"/>
  <c r="L17" i="18"/>
  <c r="H17" i="18"/>
  <c r="L16" i="18"/>
  <c r="H16" i="18"/>
  <c r="A12" i="18"/>
  <c r="J5" i="19" s="1"/>
  <c r="F10" i="18"/>
  <c r="G5" i="19" s="1"/>
  <c r="A10" i="18"/>
  <c r="D5" i="19" s="1"/>
  <c r="F8" i="18"/>
  <c r="A5" i="19" s="1"/>
  <c r="A8" i="18"/>
  <c r="F6" i="18"/>
  <c r="F3" i="19" s="1"/>
  <c r="A6" i="18"/>
  <c r="A3" i="19" s="1"/>
  <c r="O3" i="18"/>
  <c r="O2" i="18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U8" i="17"/>
  <c r="S8" i="17"/>
  <c r="Q8" i="17"/>
  <c r="O8" i="17"/>
  <c r="M8" i="17"/>
  <c r="K8" i="17"/>
  <c r="I8" i="17"/>
  <c r="E6" i="17"/>
  <c r="AG3" i="17"/>
  <c r="AG2" i="17"/>
  <c r="L27" i="16"/>
  <c r="H27" i="16"/>
  <c r="L26" i="16"/>
  <c r="H26" i="16"/>
  <c r="L25" i="16"/>
  <c r="H25" i="16"/>
  <c r="L24" i="16"/>
  <c r="H24" i="16"/>
  <c r="L23" i="16"/>
  <c r="H23" i="16"/>
  <c r="L22" i="16"/>
  <c r="H22" i="16"/>
  <c r="L21" i="16"/>
  <c r="H21" i="16"/>
  <c r="L20" i="16"/>
  <c r="H20" i="16"/>
  <c r="L19" i="16"/>
  <c r="H19" i="16"/>
  <c r="L18" i="16"/>
  <c r="H18" i="16"/>
  <c r="L17" i="16"/>
  <c r="H17" i="16"/>
  <c r="L16" i="16"/>
  <c r="H16" i="16"/>
  <c r="A12" i="16"/>
  <c r="J5" i="17" s="1"/>
  <c r="F10" i="16"/>
  <c r="G5" i="17" s="1"/>
  <c r="A10" i="16"/>
  <c r="D5" i="17" s="1"/>
  <c r="F8" i="16"/>
  <c r="A5" i="17" s="1"/>
  <c r="A8" i="16"/>
  <c r="F6" i="16"/>
  <c r="F3" i="17" s="1"/>
  <c r="A6" i="16"/>
  <c r="A3" i="17" s="1"/>
  <c r="O3" i="16"/>
  <c r="O2" i="16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U8" i="15"/>
  <c r="S8" i="15"/>
  <c r="Q8" i="15"/>
  <c r="O8" i="15"/>
  <c r="M8" i="15"/>
  <c r="K8" i="15"/>
  <c r="I8" i="15"/>
  <c r="E6" i="15"/>
  <c r="AG3" i="15"/>
  <c r="AG2" i="15"/>
  <c r="L27" i="14"/>
  <c r="H27" i="14"/>
  <c r="L26" i="14"/>
  <c r="H26" i="14"/>
  <c r="L25" i="14"/>
  <c r="H25" i="14"/>
  <c r="L24" i="14"/>
  <c r="H24" i="14"/>
  <c r="L23" i="14"/>
  <c r="H23" i="14"/>
  <c r="L22" i="14"/>
  <c r="H22" i="14"/>
  <c r="L21" i="14"/>
  <c r="H21" i="14"/>
  <c r="L20" i="14"/>
  <c r="H20" i="14"/>
  <c r="L19" i="14"/>
  <c r="H19" i="14"/>
  <c r="L18" i="14"/>
  <c r="H18" i="14"/>
  <c r="L17" i="14"/>
  <c r="H17" i="14"/>
  <c r="L16" i="14"/>
  <c r="H16" i="14"/>
  <c r="A12" i="14"/>
  <c r="J5" i="15" s="1"/>
  <c r="F10" i="14"/>
  <c r="G5" i="15" s="1"/>
  <c r="A10" i="14"/>
  <c r="D5" i="15" s="1"/>
  <c r="F8" i="14"/>
  <c r="A5" i="15" s="1"/>
  <c r="A8" i="14"/>
  <c r="F6" i="14"/>
  <c r="F3" i="15" s="1"/>
  <c r="A6" i="14"/>
  <c r="A3" i="15" s="1"/>
  <c r="O3" i="14"/>
  <c r="O2" i="14"/>
  <c r="Y114" i="13"/>
  <c r="Y113" i="13"/>
  <c r="Y112" i="13"/>
  <c r="Y111" i="13"/>
  <c r="Y110" i="13"/>
  <c r="Y109" i="13"/>
  <c r="Y108" i="13"/>
  <c r="Y107" i="13"/>
  <c r="Y106" i="13"/>
  <c r="Y105" i="13"/>
  <c r="Y104" i="13"/>
  <c r="Y103" i="13"/>
  <c r="Y102" i="13"/>
  <c r="Y101" i="13"/>
  <c r="Y100" i="13"/>
  <c r="Y99" i="13"/>
  <c r="Y98" i="13"/>
  <c r="Y97" i="13"/>
  <c r="Y96" i="13"/>
  <c r="Y95" i="13"/>
  <c r="Y94" i="13"/>
  <c r="Y93" i="13"/>
  <c r="Y92" i="13"/>
  <c r="Y91" i="13"/>
  <c r="Y90" i="13"/>
  <c r="Y89" i="13"/>
  <c r="Y88" i="13"/>
  <c r="Y87" i="13"/>
  <c r="Y86" i="13"/>
  <c r="Y85" i="13"/>
  <c r="Y84" i="13"/>
  <c r="Y83" i="13"/>
  <c r="Y82" i="13"/>
  <c r="Y81" i="13"/>
  <c r="Y80" i="13"/>
  <c r="Y79" i="13"/>
  <c r="Y78" i="13"/>
  <c r="Y77" i="13"/>
  <c r="Y76" i="13"/>
  <c r="Y75" i="13"/>
  <c r="Y74" i="13"/>
  <c r="Y73" i="13"/>
  <c r="Y72" i="13"/>
  <c r="Y71" i="13"/>
  <c r="Y70" i="13"/>
  <c r="Y69" i="13"/>
  <c r="Y68" i="13"/>
  <c r="Y67" i="13"/>
  <c r="U8" i="13"/>
  <c r="S8" i="13"/>
  <c r="Q8" i="13"/>
  <c r="O8" i="13"/>
  <c r="M8" i="13"/>
  <c r="K8" i="13"/>
  <c r="I8" i="13"/>
  <c r="E6" i="13"/>
  <c r="AG3" i="13"/>
  <c r="AG2" i="13"/>
  <c r="L27" i="12"/>
  <c r="H27" i="12"/>
  <c r="L26" i="12"/>
  <c r="H26" i="12"/>
  <c r="L25" i="12"/>
  <c r="H25" i="12"/>
  <c r="L24" i="12"/>
  <c r="H24" i="12"/>
  <c r="L23" i="12"/>
  <c r="H23" i="12"/>
  <c r="L22" i="12"/>
  <c r="H22" i="12"/>
  <c r="L21" i="12"/>
  <c r="H21" i="12"/>
  <c r="L20" i="12"/>
  <c r="H20" i="12"/>
  <c r="L19" i="12"/>
  <c r="H19" i="12"/>
  <c r="L18" i="12"/>
  <c r="H18" i="12"/>
  <c r="L17" i="12"/>
  <c r="H17" i="12"/>
  <c r="L16" i="12"/>
  <c r="H16" i="12"/>
  <c r="A12" i="12"/>
  <c r="J5" i="13" s="1"/>
  <c r="F10" i="12"/>
  <c r="G5" i="13" s="1"/>
  <c r="A10" i="12"/>
  <c r="D5" i="13" s="1"/>
  <c r="F8" i="12"/>
  <c r="A5" i="13" s="1"/>
  <c r="A8" i="12"/>
  <c r="F6" i="12"/>
  <c r="F3" i="13" s="1"/>
  <c r="A6" i="12"/>
  <c r="A3" i="13" s="1"/>
  <c r="O3" i="12"/>
  <c r="O2" i="12"/>
  <c r="Y114" i="11"/>
  <c r="Y113" i="11"/>
  <c r="Y112" i="11"/>
  <c r="Y111" i="11"/>
  <c r="Y110" i="11"/>
  <c r="Y109" i="11"/>
  <c r="Y108" i="11"/>
  <c r="Y107" i="11"/>
  <c r="Y106" i="11"/>
  <c r="Y105" i="11"/>
  <c r="Y104" i="11"/>
  <c r="Y103" i="11"/>
  <c r="Y102" i="11"/>
  <c r="Y101" i="11"/>
  <c r="Y100" i="11"/>
  <c r="Y99" i="11"/>
  <c r="Y98" i="11"/>
  <c r="Y97" i="11"/>
  <c r="Y96" i="11"/>
  <c r="Y95" i="11"/>
  <c r="Y94" i="11"/>
  <c r="Y93" i="11"/>
  <c r="Y92" i="11"/>
  <c r="Y91" i="11"/>
  <c r="Y90" i="11"/>
  <c r="Y89" i="11"/>
  <c r="Y88" i="11"/>
  <c r="Y87" i="11"/>
  <c r="Y86" i="11"/>
  <c r="Y85" i="11"/>
  <c r="Y84" i="11"/>
  <c r="Y83" i="11"/>
  <c r="Y82" i="11"/>
  <c r="Y81" i="11"/>
  <c r="Y80" i="11"/>
  <c r="Y79" i="11"/>
  <c r="Y78" i="11"/>
  <c r="Y77" i="11"/>
  <c r="Y76" i="11"/>
  <c r="Y75" i="11"/>
  <c r="Y74" i="11"/>
  <c r="Y73" i="11"/>
  <c r="Y72" i="11"/>
  <c r="Y71" i="11"/>
  <c r="Y70" i="11"/>
  <c r="Y69" i="11"/>
  <c r="Y68" i="11"/>
  <c r="Y67" i="11"/>
  <c r="U8" i="11"/>
  <c r="S8" i="11"/>
  <c r="Q8" i="11"/>
  <c r="O8" i="11"/>
  <c r="M8" i="11"/>
  <c r="K8" i="11"/>
  <c r="I8" i="11"/>
  <c r="E6" i="11"/>
  <c r="AG3" i="11"/>
  <c r="AG2" i="11"/>
  <c r="L27" i="10"/>
  <c r="H27" i="10"/>
  <c r="L26" i="10"/>
  <c r="H26" i="10"/>
  <c r="L25" i="10"/>
  <c r="H25" i="10"/>
  <c r="L24" i="10"/>
  <c r="H24" i="10"/>
  <c r="L23" i="10"/>
  <c r="H23" i="10"/>
  <c r="L22" i="10"/>
  <c r="H22" i="10"/>
  <c r="L21" i="10"/>
  <c r="H21" i="10"/>
  <c r="L20" i="10"/>
  <c r="H20" i="10"/>
  <c r="L19" i="10"/>
  <c r="H19" i="10"/>
  <c r="L18" i="10"/>
  <c r="H18" i="10"/>
  <c r="L17" i="10"/>
  <c r="H17" i="10"/>
  <c r="L16" i="10"/>
  <c r="H16" i="10"/>
  <c r="A12" i="10"/>
  <c r="J5" i="11" s="1"/>
  <c r="F10" i="10"/>
  <c r="G5" i="11" s="1"/>
  <c r="A10" i="10"/>
  <c r="D5" i="11" s="1"/>
  <c r="F8" i="10"/>
  <c r="A5" i="11" s="1"/>
  <c r="A8" i="10"/>
  <c r="F6" i="10"/>
  <c r="F3" i="11" s="1"/>
  <c r="A6" i="10"/>
  <c r="A3" i="11" s="1"/>
  <c r="O3" i="10"/>
  <c r="O2" i="10"/>
  <c r="Y114" i="9"/>
  <c r="Y113" i="9"/>
  <c r="Y112" i="9"/>
  <c r="Y111" i="9"/>
  <c r="Y110" i="9"/>
  <c r="Y109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4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Y67" i="9"/>
  <c r="U8" i="9"/>
  <c r="S8" i="9"/>
  <c r="Q8" i="9"/>
  <c r="O8" i="9"/>
  <c r="M8" i="9"/>
  <c r="K8" i="9"/>
  <c r="I8" i="9"/>
  <c r="E6" i="9"/>
  <c r="AG3" i="9"/>
  <c r="AG2" i="9"/>
  <c r="L27" i="8"/>
  <c r="H27" i="8"/>
  <c r="L26" i="8"/>
  <c r="H26" i="8"/>
  <c r="L25" i="8"/>
  <c r="H25" i="8"/>
  <c r="L24" i="8"/>
  <c r="H24" i="8"/>
  <c r="L23" i="8"/>
  <c r="H23" i="8"/>
  <c r="L22" i="8"/>
  <c r="H22" i="8"/>
  <c r="L21" i="8"/>
  <c r="H21" i="8"/>
  <c r="L20" i="8"/>
  <c r="H20" i="8"/>
  <c r="L19" i="8"/>
  <c r="H19" i="8"/>
  <c r="L18" i="8"/>
  <c r="H18" i="8"/>
  <c r="L17" i="8"/>
  <c r="H17" i="8"/>
  <c r="H16" i="8"/>
  <c r="A12" i="8"/>
  <c r="J5" i="9" s="1"/>
  <c r="F10" i="8"/>
  <c r="G5" i="9" s="1"/>
  <c r="A10" i="8"/>
  <c r="D5" i="9" s="1"/>
  <c r="F8" i="8"/>
  <c r="A5" i="9" s="1"/>
  <c r="A8" i="8"/>
  <c r="F6" i="8"/>
  <c r="F3" i="9" s="1"/>
  <c r="A6" i="8"/>
  <c r="A3" i="9" s="1"/>
  <c r="O3" i="8"/>
  <c r="O2" i="8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U8" i="7"/>
  <c r="S8" i="7"/>
  <c r="Q8" i="7"/>
  <c r="O8" i="7"/>
  <c r="M8" i="7"/>
  <c r="K8" i="7"/>
  <c r="I8" i="7"/>
  <c r="E6" i="7"/>
  <c r="AG3" i="7"/>
  <c r="AG2" i="7"/>
  <c r="L27" i="6"/>
  <c r="H27" i="6"/>
  <c r="L26" i="6"/>
  <c r="H26" i="6"/>
  <c r="L25" i="6"/>
  <c r="H25" i="6"/>
  <c r="L24" i="6"/>
  <c r="H24" i="6"/>
  <c r="L23" i="6"/>
  <c r="H23" i="6"/>
  <c r="L22" i="6"/>
  <c r="H22" i="6"/>
  <c r="L21" i="6"/>
  <c r="H21" i="6"/>
  <c r="L20" i="6"/>
  <c r="H20" i="6"/>
  <c r="L19" i="6"/>
  <c r="H19" i="6"/>
  <c r="L18" i="6"/>
  <c r="H18" i="6"/>
  <c r="L17" i="6"/>
  <c r="H17" i="6"/>
  <c r="H16" i="6"/>
  <c r="A12" i="6"/>
  <c r="J5" i="7" s="1"/>
  <c r="F10" i="6"/>
  <c r="A10" i="6"/>
  <c r="G2" i="7" s="1"/>
  <c r="F8" i="6"/>
  <c r="G6" i="7" s="1"/>
  <c r="A8" i="6"/>
  <c r="F6" i="6"/>
  <c r="F3" i="7" s="1"/>
  <c r="A6" i="6"/>
  <c r="A3" i="7" s="1"/>
  <c r="O3" i="6"/>
  <c r="O2" i="6"/>
  <c r="B45" i="2"/>
  <c r="B44" i="2"/>
  <c r="B41" i="2"/>
  <c r="B40" i="2"/>
  <c r="B39" i="2"/>
  <c r="B38" i="2"/>
  <c r="B35" i="2"/>
  <c r="B34" i="2"/>
  <c r="B33" i="2"/>
  <c r="C30" i="2"/>
  <c r="B30" i="2"/>
  <c r="C29" i="2"/>
  <c r="B29" i="2"/>
  <c r="C28" i="2"/>
  <c r="B28" i="2"/>
  <c r="C27" i="2"/>
  <c r="B27" i="2"/>
  <c r="C26" i="2"/>
  <c r="B26" i="2"/>
  <c r="C25" i="2"/>
  <c r="B25" i="2"/>
  <c r="D5" i="2"/>
  <c r="O2" i="1"/>
  <c r="C45" i="1" l="1"/>
  <c r="C44" i="1"/>
  <c r="C43" i="1"/>
  <c r="C42" i="1"/>
  <c r="C41" i="1"/>
  <c r="C40" i="1"/>
  <c r="C39" i="1"/>
  <c r="C38" i="1"/>
  <c r="C37" i="1"/>
  <c r="C36" i="1"/>
  <c r="C35" i="1"/>
  <c r="C34" i="1"/>
  <c r="D25" i="1"/>
  <c r="B25" i="1"/>
  <c r="L21" i="1"/>
  <c r="L20" i="1"/>
  <c r="G20" i="1"/>
  <c r="C20" i="1"/>
  <c r="L19" i="1"/>
  <c r="G19" i="1"/>
  <c r="C19" i="1"/>
  <c r="L18" i="1"/>
  <c r="C18" i="1"/>
  <c r="L17" i="1"/>
  <c r="C17" i="1"/>
  <c r="L16" i="1"/>
  <c r="G16" i="1"/>
  <c r="C16" i="1"/>
  <c r="L15" i="1"/>
  <c r="G15" i="1"/>
  <c r="C15" i="1"/>
  <c r="L14" i="1"/>
  <c r="G14" i="1"/>
  <c r="C14" i="1"/>
  <c r="L13" i="1"/>
  <c r="G13" i="1"/>
  <c r="C13" i="1"/>
  <c r="J8" i="1"/>
  <c r="H8" i="1"/>
  <c r="F8" i="1"/>
  <c r="D8" i="1"/>
  <c r="B8" i="1"/>
  <c r="J6" i="7"/>
  <c r="G5" i="7"/>
  <c r="AC67" i="7"/>
  <c r="AB67" i="7"/>
  <c r="AA67" i="7"/>
  <c r="Z67" i="7"/>
  <c r="AC68" i="7"/>
  <c r="AB68" i="7"/>
  <c r="AA68" i="7"/>
  <c r="Z68" i="7"/>
  <c r="AC69" i="7"/>
  <c r="AB69" i="7"/>
  <c r="AA69" i="7"/>
  <c r="Z69" i="7"/>
  <c r="AC70" i="7"/>
  <c r="AB70" i="7"/>
  <c r="AA70" i="7"/>
  <c r="Z70" i="7"/>
  <c r="AC71" i="7"/>
  <c r="AB71" i="7"/>
  <c r="AA71" i="7"/>
  <c r="Z71" i="7"/>
  <c r="AC72" i="7"/>
  <c r="AB72" i="7"/>
  <c r="AA72" i="7"/>
  <c r="Z72" i="7"/>
  <c r="AC73" i="7"/>
  <c r="AB73" i="7"/>
  <c r="AA73" i="7"/>
  <c r="Z73" i="7"/>
  <c r="AC74" i="7"/>
  <c r="AB74" i="7"/>
  <c r="AA74" i="7"/>
  <c r="Z74" i="7"/>
  <c r="AC75" i="7"/>
  <c r="AB75" i="7"/>
  <c r="AA75" i="7"/>
  <c r="Z75" i="7"/>
  <c r="AC76" i="7"/>
  <c r="AB76" i="7"/>
  <c r="AA76" i="7"/>
  <c r="Z76" i="7"/>
  <c r="AC77" i="7"/>
  <c r="AB77" i="7"/>
  <c r="AA77" i="7"/>
  <c r="Z77" i="7"/>
  <c r="AC78" i="7"/>
  <c r="AB78" i="7"/>
  <c r="AA78" i="7"/>
  <c r="Z78" i="7"/>
  <c r="AC79" i="7"/>
  <c r="AB79" i="7"/>
  <c r="AA79" i="7"/>
  <c r="Z79" i="7"/>
  <c r="AC80" i="7"/>
  <c r="AB80" i="7"/>
  <c r="AA80" i="7"/>
  <c r="Z80" i="7"/>
  <c r="AC81" i="7"/>
  <c r="AB81" i="7"/>
  <c r="AA81" i="7"/>
  <c r="Z81" i="7"/>
  <c r="AC82" i="7"/>
  <c r="AB82" i="7"/>
  <c r="AA82" i="7"/>
  <c r="Z82" i="7"/>
  <c r="AC83" i="7"/>
  <c r="AB83" i="7"/>
  <c r="AA83" i="7"/>
  <c r="Z83" i="7"/>
  <c r="AC84" i="7"/>
  <c r="AB84" i="7"/>
  <c r="AA84" i="7"/>
  <c r="Z84" i="7"/>
  <c r="AC85" i="7"/>
  <c r="AB85" i="7"/>
  <c r="AA85" i="7"/>
  <c r="Z85" i="7"/>
  <c r="AC86" i="7"/>
  <c r="AB86" i="7"/>
  <c r="AA86" i="7"/>
  <c r="Z86" i="7"/>
  <c r="AC87" i="7"/>
  <c r="AB87" i="7"/>
  <c r="AA87" i="7"/>
  <c r="Z87" i="7"/>
  <c r="AC88" i="7"/>
  <c r="AB88" i="7"/>
  <c r="AA88" i="7"/>
  <c r="Z88" i="7"/>
  <c r="AC89" i="7"/>
  <c r="AB89" i="7"/>
  <c r="AA89" i="7"/>
  <c r="Z89" i="7"/>
  <c r="AC90" i="7"/>
  <c r="AB90" i="7"/>
  <c r="AA90" i="7"/>
  <c r="Z90" i="7"/>
  <c r="AC91" i="7"/>
  <c r="AB91" i="7"/>
  <c r="AA91" i="7"/>
  <c r="Z91" i="7"/>
  <c r="AC92" i="7"/>
  <c r="AB92" i="7"/>
  <c r="AA92" i="7"/>
  <c r="Z92" i="7"/>
  <c r="AC93" i="7"/>
  <c r="AB93" i="7"/>
  <c r="AA93" i="7"/>
  <c r="Z93" i="7"/>
  <c r="AC94" i="7"/>
  <c r="AB94" i="7"/>
  <c r="AA94" i="7"/>
  <c r="Z94" i="7"/>
  <c r="AC95" i="7"/>
  <c r="AB95" i="7"/>
  <c r="AA95" i="7"/>
  <c r="Z95" i="7"/>
  <c r="AC96" i="7"/>
  <c r="AB96" i="7"/>
  <c r="AA96" i="7"/>
  <c r="Z96" i="7"/>
  <c r="AC97" i="7"/>
  <c r="AB97" i="7"/>
  <c r="AA97" i="7"/>
  <c r="Z97" i="7"/>
  <c r="AC98" i="7"/>
  <c r="AB98" i="7"/>
  <c r="AA98" i="7"/>
  <c r="Z98" i="7"/>
  <c r="AC99" i="7"/>
  <c r="AB99" i="7"/>
  <c r="AA99" i="7"/>
  <c r="Z99" i="7"/>
  <c r="AC100" i="7"/>
  <c r="AB100" i="7"/>
  <c r="AA100" i="7"/>
  <c r="Z100" i="7"/>
  <c r="AC101" i="7"/>
  <c r="AB101" i="7"/>
  <c r="AA101" i="7"/>
  <c r="Z101" i="7"/>
  <c r="AC102" i="7"/>
  <c r="AB102" i="7"/>
  <c r="AA102" i="7"/>
  <c r="Z102" i="7"/>
  <c r="AC103" i="7"/>
  <c r="AB103" i="7"/>
  <c r="AA103" i="7"/>
  <c r="Z103" i="7"/>
  <c r="AC104" i="7"/>
  <c r="AB104" i="7"/>
  <c r="AA104" i="7"/>
  <c r="Z104" i="7"/>
  <c r="AC105" i="7"/>
  <c r="AB105" i="7"/>
  <c r="AA105" i="7"/>
  <c r="Z105" i="7"/>
  <c r="AC106" i="7"/>
  <c r="AB106" i="7"/>
  <c r="AA106" i="7"/>
  <c r="Z106" i="7"/>
  <c r="AC107" i="7"/>
  <c r="AB107" i="7"/>
  <c r="AA107" i="7"/>
  <c r="Z107" i="7"/>
  <c r="AC108" i="7"/>
  <c r="AB108" i="7"/>
  <c r="AA108" i="7"/>
  <c r="Z108" i="7"/>
  <c r="AC109" i="7"/>
  <c r="AB109" i="7"/>
  <c r="AA109" i="7"/>
  <c r="Z109" i="7"/>
  <c r="AC110" i="7"/>
  <c r="AB110" i="7"/>
  <c r="AA110" i="7"/>
  <c r="Z110" i="7"/>
  <c r="AC111" i="7"/>
  <c r="AB111" i="7"/>
  <c r="AA111" i="7"/>
  <c r="Z111" i="7"/>
  <c r="AC112" i="7"/>
  <c r="AB112" i="7"/>
  <c r="AA112" i="7"/>
  <c r="Z112" i="7"/>
  <c r="AC113" i="7"/>
  <c r="AB113" i="7"/>
  <c r="AA113" i="7"/>
  <c r="Z113" i="7"/>
  <c r="AC114" i="7"/>
  <c r="AB114" i="7"/>
  <c r="AA114" i="7"/>
  <c r="Z114" i="7"/>
  <c r="AC67" i="9"/>
  <c r="AB67" i="9"/>
  <c r="AA67" i="9"/>
  <c r="Z67" i="9"/>
  <c r="AC68" i="9"/>
  <c r="AB68" i="9"/>
  <c r="AA68" i="9"/>
  <c r="Z68" i="9"/>
  <c r="AC69" i="9"/>
  <c r="AB69" i="9"/>
  <c r="AA69" i="9"/>
  <c r="Z69" i="9"/>
  <c r="AC70" i="9"/>
  <c r="AB70" i="9"/>
  <c r="AA70" i="9"/>
  <c r="Z70" i="9"/>
  <c r="AC71" i="9"/>
  <c r="AB71" i="9"/>
  <c r="AA71" i="9"/>
  <c r="Z71" i="9"/>
  <c r="AC72" i="9"/>
  <c r="AB72" i="9"/>
  <c r="AA72" i="9"/>
  <c r="Z72" i="9"/>
  <c r="AC73" i="9"/>
  <c r="AB73" i="9"/>
  <c r="AA73" i="9"/>
  <c r="Z73" i="9"/>
  <c r="AC74" i="9"/>
  <c r="AB74" i="9"/>
  <c r="AA74" i="9"/>
  <c r="Z74" i="9"/>
  <c r="AC75" i="9"/>
  <c r="AB75" i="9"/>
  <c r="AA75" i="9"/>
  <c r="Z75" i="9"/>
  <c r="AC76" i="9"/>
  <c r="AB76" i="9"/>
  <c r="AA76" i="9"/>
  <c r="Z76" i="9"/>
  <c r="AC77" i="9"/>
  <c r="AB77" i="9"/>
  <c r="AA77" i="9"/>
  <c r="Z77" i="9"/>
  <c r="AC78" i="9"/>
  <c r="AB78" i="9"/>
  <c r="AA78" i="9"/>
  <c r="Z78" i="9"/>
  <c r="AC79" i="9"/>
  <c r="AB79" i="9"/>
  <c r="AA79" i="9"/>
  <c r="Z79" i="9"/>
  <c r="AC80" i="9"/>
  <c r="AB80" i="9"/>
  <c r="AA80" i="9"/>
  <c r="Z80" i="9"/>
  <c r="AC81" i="9"/>
  <c r="AB81" i="9"/>
  <c r="AA81" i="9"/>
  <c r="Z81" i="9"/>
  <c r="AC82" i="9"/>
  <c r="AB82" i="9"/>
  <c r="AA82" i="9"/>
  <c r="Z82" i="9"/>
  <c r="AC83" i="9"/>
  <c r="AB83" i="9"/>
  <c r="AA83" i="9"/>
  <c r="Z83" i="9"/>
  <c r="AC84" i="9"/>
  <c r="AB84" i="9"/>
  <c r="AA84" i="9"/>
  <c r="Z84" i="9"/>
  <c r="AC85" i="9"/>
  <c r="AB85" i="9"/>
  <c r="AA85" i="9"/>
  <c r="Z85" i="9"/>
  <c r="AC86" i="9"/>
  <c r="AB86" i="9"/>
  <c r="AA86" i="9"/>
  <c r="Z86" i="9"/>
  <c r="AC87" i="9"/>
  <c r="AB87" i="9"/>
  <c r="AA87" i="9"/>
  <c r="Z87" i="9"/>
  <c r="AC88" i="9"/>
  <c r="AB88" i="9"/>
  <c r="AA88" i="9"/>
  <c r="Z88" i="9"/>
  <c r="AC89" i="9"/>
  <c r="AB89" i="9"/>
  <c r="AA89" i="9"/>
  <c r="Z89" i="9"/>
  <c r="AC90" i="9"/>
  <c r="AB90" i="9"/>
  <c r="AA90" i="9"/>
  <c r="Z90" i="9"/>
  <c r="AC91" i="9"/>
  <c r="AB91" i="9"/>
  <c r="AA91" i="9"/>
  <c r="Z91" i="9"/>
  <c r="AC92" i="9"/>
  <c r="AB92" i="9"/>
  <c r="AA92" i="9"/>
  <c r="Z92" i="9"/>
  <c r="AC93" i="9"/>
  <c r="AB93" i="9"/>
  <c r="AA93" i="9"/>
  <c r="Z93" i="9"/>
  <c r="AC94" i="9"/>
  <c r="AB94" i="9"/>
  <c r="AA94" i="9"/>
  <c r="Z94" i="9"/>
  <c r="AC95" i="9"/>
  <c r="AB95" i="9"/>
  <c r="AA95" i="9"/>
  <c r="Z95" i="9"/>
  <c r="AC96" i="9"/>
  <c r="AB96" i="9"/>
  <c r="AA96" i="9"/>
  <c r="Z96" i="9"/>
  <c r="AC97" i="9"/>
  <c r="AB97" i="9"/>
  <c r="AA97" i="9"/>
  <c r="Z97" i="9"/>
  <c r="AC98" i="9"/>
  <c r="AB98" i="9"/>
  <c r="AA98" i="9"/>
  <c r="Z98" i="9"/>
  <c r="AC99" i="9"/>
  <c r="AB99" i="9"/>
  <c r="AA99" i="9"/>
  <c r="Z99" i="9"/>
  <c r="AC100" i="9"/>
  <c r="AB100" i="9"/>
  <c r="AA100" i="9"/>
  <c r="Z100" i="9"/>
  <c r="AC101" i="9"/>
  <c r="AB101" i="9"/>
  <c r="AA101" i="9"/>
  <c r="Z101" i="9"/>
  <c r="AC102" i="9"/>
  <c r="AB102" i="9"/>
  <c r="AA102" i="9"/>
  <c r="Z102" i="9"/>
  <c r="AC103" i="9"/>
  <c r="AB103" i="9"/>
  <c r="AA103" i="9"/>
  <c r="Z103" i="9"/>
  <c r="AC104" i="9"/>
  <c r="AB104" i="9"/>
  <c r="AA104" i="9"/>
  <c r="Z104" i="9"/>
  <c r="AC105" i="9"/>
  <c r="AB105" i="9"/>
  <c r="AA105" i="9"/>
  <c r="Z105" i="9"/>
  <c r="AC106" i="9"/>
  <c r="AB106" i="9"/>
  <c r="AA106" i="9"/>
  <c r="Z106" i="9"/>
  <c r="AC107" i="9"/>
  <c r="AB107" i="9"/>
  <c r="AA107" i="9"/>
  <c r="Z107" i="9"/>
  <c r="AC108" i="9"/>
  <c r="AB108" i="9"/>
  <c r="AA108" i="9"/>
  <c r="Z108" i="9"/>
  <c r="AC109" i="9"/>
  <c r="AB109" i="9"/>
  <c r="AA109" i="9"/>
  <c r="Z109" i="9"/>
  <c r="AC110" i="9"/>
  <c r="AB110" i="9"/>
  <c r="AA110" i="9"/>
  <c r="Z110" i="9"/>
  <c r="AC111" i="9"/>
  <c r="AB111" i="9"/>
  <c r="AA111" i="9"/>
  <c r="Z111" i="9"/>
  <c r="AC112" i="9"/>
  <c r="AB112" i="9"/>
  <c r="AA112" i="9"/>
  <c r="Z112" i="9"/>
  <c r="AC113" i="9"/>
  <c r="AB113" i="9"/>
  <c r="AA113" i="9"/>
  <c r="Z113" i="9"/>
  <c r="AC114" i="9"/>
  <c r="AB114" i="9"/>
  <c r="AA114" i="9"/>
  <c r="Z114" i="9"/>
  <c r="AC67" i="11"/>
  <c r="AB67" i="11"/>
  <c r="AA67" i="11"/>
  <c r="Z67" i="11"/>
  <c r="AC68" i="11"/>
  <c r="AB68" i="11"/>
  <c r="AA68" i="11"/>
  <c r="Z68" i="11"/>
  <c r="AC69" i="11"/>
  <c r="AB69" i="11"/>
  <c r="AA69" i="11"/>
  <c r="Z69" i="11"/>
  <c r="AC70" i="11"/>
  <c r="AB70" i="11"/>
  <c r="AA70" i="11"/>
  <c r="Z70" i="11"/>
  <c r="AC71" i="11"/>
  <c r="AB71" i="11"/>
  <c r="AA71" i="11"/>
  <c r="Z71" i="11"/>
  <c r="AC72" i="11"/>
  <c r="AB72" i="11"/>
  <c r="AA72" i="11"/>
  <c r="Z72" i="11"/>
  <c r="AC73" i="11"/>
  <c r="AB73" i="11"/>
  <c r="AA73" i="11"/>
  <c r="Z73" i="11"/>
  <c r="AC74" i="11"/>
  <c r="AB74" i="11"/>
  <c r="AA74" i="11"/>
  <c r="Z74" i="11"/>
  <c r="AC75" i="11"/>
  <c r="AB75" i="11"/>
  <c r="AA75" i="11"/>
  <c r="Z75" i="11"/>
  <c r="AC76" i="11"/>
  <c r="AB76" i="11"/>
  <c r="AA76" i="11"/>
  <c r="Z76" i="11"/>
  <c r="AC77" i="11"/>
  <c r="AB77" i="11"/>
  <c r="AA77" i="11"/>
  <c r="Z77" i="11"/>
  <c r="AC78" i="11"/>
  <c r="AB78" i="11"/>
  <c r="AA78" i="11"/>
  <c r="Z78" i="11"/>
  <c r="AC79" i="11"/>
  <c r="AB79" i="11"/>
  <c r="AA79" i="11"/>
  <c r="Z79" i="11"/>
  <c r="AC80" i="11"/>
  <c r="AB80" i="11"/>
  <c r="AA80" i="11"/>
  <c r="Z80" i="11"/>
  <c r="AC81" i="11"/>
  <c r="AB81" i="11"/>
  <c r="AA81" i="11"/>
  <c r="Z81" i="11"/>
  <c r="AC82" i="11"/>
  <c r="AB82" i="11"/>
  <c r="AA82" i="11"/>
  <c r="Z82" i="11"/>
  <c r="AC83" i="11"/>
  <c r="AB83" i="11"/>
  <c r="AA83" i="11"/>
  <c r="Z83" i="11"/>
  <c r="AC84" i="11"/>
  <c r="AB84" i="11"/>
  <c r="AA84" i="11"/>
  <c r="Z84" i="11"/>
  <c r="AC85" i="11"/>
  <c r="AB85" i="11"/>
  <c r="AA85" i="11"/>
  <c r="Z85" i="11"/>
  <c r="AC86" i="11"/>
  <c r="AB86" i="11"/>
  <c r="AA86" i="11"/>
  <c r="Z86" i="11"/>
  <c r="AC87" i="11"/>
  <c r="AB87" i="11"/>
  <c r="AA87" i="11"/>
  <c r="Z87" i="11"/>
  <c r="AC88" i="11"/>
  <c r="AB88" i="11"/>
  <c r="AA88" i="11"/>
  <c r="Z88" i="11"/>
  <c r="AC89" i="11"/>
  <c r="AB89" i="11"/>
  <c r="AA89" i="11"/>
  <c r="Z89" i="11"/>
  <c r="AC90" i="11"/>
  <c r="AB90" i="11"/>
  <c r="AA90" i="11"/>
  <c r="Z90" i="11"/>
  <c r="AC91" i="11"/>
  <c r="AB91" i="11"/>
  <c r="AA91" i="11"/>
  <c r="Z91" i="11"/>
  <c r="AC92" i="11"/>
  <c r="AB92" i="11"/>
  <c r="AA92" i="11"/>
  <c r="Z92" i="11"/>
  <c r="AC93" i="11"/>
  <c r="AB93" i="11"/>
  <c r="AA93" i="11"/>
  <c r="Z93" i="11"/>
  <c r="AC94" i="11"/>
  <c r="AB94" i="11"/>
  <c r="AA94" i="11"/>
  <c r="Z94" i="11"/>
  <c r="AC95" i="11"/>
  <c r="AB95" i="11"/>
  <c r="AA95" i="11"/>
  <c r="Z95" i="11"/>
  <c r="AC96" i="11"/>
  <c r="AB96" i="11"/>
  <c r="AA96" i="11"/>
  <c r="Z96" i="11"/>
  <c r="AC97" i="11"/>
  <c r="AB97" i="11"/>
  <c r="AA97" i="11"/>
  <c r="Z97" i="11"/>
  <c r="AC98" i="11"/>
  <c r="AB98" i="11"/>
  <c r="AA98" i="11"/>
  <c r="Z98" i="11"/>
  <c r="AC99" i="11"/>
  <c r="AB99" i="11"/>
  <c r="AA99" i="11"/>
  <c r="Z99" i="11"/>
  <c r="AC100" i="11"/>
  <c r="AB100" i="11"/>
  <c r="AA100" i="11"/>
  <c r="Z100" i="11"/>
  <c r="AC101" i="11"/>
  <c r="AB101" i="11"/>
  <c r="AA101" i="11"/>
  <c r="Z101" i="11"/>
  <c r="AC102" i="11"/>
  <c r="AB102" i="11"/>
  <c r="AA102" i="11"/>
  <c r="Z102" i="11"/>
  <c r="AC103" i="11"/>
  <c r="AB103" i="11"/>
  <c r="AA103" i="11"/>
  <c r="Z103" i="11"/>
  <c r="AC104" i="11"/>
  <c r="AB104" i="11"/>
  <c r="AA104" i="11"/>
  <c r="Z104" i="11"/>
  <c r="AC105" i="11"/>
  <c r="AB105" i="11"/>
  <c r="AA105" i="11"/>
  <c r="Z105" i="11"/>
  <c r="AC106" i="11"/>
  <c r="AB106" i="11"/>
  <c r="AA106" i="11"/>
  <c r="Z106" i="11"/>
  <c r="AC107" i="11"/>
  <c r="AB107" i="11"/>
  <c r="AA107" i="11"/>
  <c r="Z107" i="11"/>
  <c r="AC108" i="11"/>
  <c r="AB108" i="11"/>
  <c r="AA108" i="11"/>
  <c r="Z108" i="11"/>
  <c r="AC109" i="11"/>
  <c r="AB109" i="11"/>
  <c r="AA109" i="11"/>
  <c r="Z109" i="11"/>
  <c r="AC110" i="11"/>
  <c r="AB110" i="11"/>
  <c r="AA110" i="11"/>
  <c r="Z110" i="11"/>
  <c r="AC111" i="11"/>
  <c r="AB111" i="11"/>
  <c r="AA111" i="11"/>
  <c r="Z111" i="11"/>
  <c r="AC112" i="11"/>
  <c r="AB112" i="11"/>
  <c r="AA112" i="11"/>
  <c r="Z112" i="11"/>
  <c r="AC113" i="11"/>
  <c r="AB113" i="11"/>
  <c r="AA113" i="11"/>
  <c r="Z113" i="11"/>
  <c r="AC114" i="11"/>
  <c r="AB114" i="11"/>
  <c r="AA114" i="11"/>
  <c r="Z114" i="11"/>
  <c r="AC67" i="13"/>
  <c r="AB67" i="13"/>
  <c r="AA67" i="13"/>
  <c r="Z67" i="13"/>
  <c r="AC68" i="13"/>
  <c r="AB68" i="13"/>
  <c r="AA68" i="13"/>
  <c r="Z68" i="13"/>
  <c r="AC69" i="13"/>
  <c r="AB69" i="13"/>
  <c r="AA69" i="13"/>
  <c r="Z69" i="13"/>
  <c r="AC70" i="13"/>
  <c r="AB70" i="13"/>
  <c r="AA70" i="13"/>
  <c r="Z70" i="13"/>
  <c r="AC71" i="13"/>
  <c r="AB71" i="13"/>
  <c r="AA71" i="13"/>
  <c r="Z71" i="13"/>
  <c r="AC72" i="13"/>
  <c r="AB72" i="13"/>
  <c r="AA72" i="13"/>
  <c r="Z72" i="13"/>
  <c r="AC73" i="13"/>
  <c r="AB73" i="13"/>
  <c r="AA73" i="13"/>
  <c r="Z73" i="13"/>
  <c r="AC74" i="13"/>
  <c r="AB74" i="13"/>
  <c r="AA74" i="13"/>
  <c r="Z74" i="13"/>
  <c r="AC75" i="13"/>
  <c r="AB75" i="13"/>
  <c r="AA75" i="13"/>
  <c r="Z75" i="13"/>
  <c r="AC76" i="13"/>
  <c r="AB76" i="13"/>
  <c r="AA76" i="13"/>
  <c r="Z76" i="13"/>
  <c r="AC77" i="13"/>
  <c r="AB77" i="13"/>
  <c r="AA77" i="13"/>
  <c r="Z77" i="13"/>
  <c r="AC78" i="13"/>
  <c r="AB78" i="13"/>
  <c r="AA78" i="13"/>
  <c r="Z78" i="13"/>
  <c r="AC79" i="13"/>
  <c r="AB79" i="13"/>
  <c r="AA79" i="13"/>
  <c r="Z79" i="13"/>
  <c r="AC80" i="13"/>
  <c r="AB80" i="13"/>
  <c r="AA80" i="13"/>
  <c r="Z80" i="13"/>
  <c r="AC81" i="13"/>
  <c r="AB81" i="13"/>
  <c r="AA81" i="13"/>
  <c r="Z81" i="13"/>
  <c r="AC82" i="13"/>
  <c r="AB82" i="13"/>
  <c r="AA82" i="13"/>
  <c r="Z82" i="13"/>
  <c r="AC83" i="13"/>
  <c r="AB83" i="13"/>
  <c r="AA83" i="13"/>
  <c r="Z83" i="13"/>
  <c r="AC84" i="13"/>
  <c r="AB84" i="13"/>
  <c r="AA84" i="13"/>
  <c r="Z84" i="13"/>
  <c r="AC85" i="13"/>
  <c r="AB85" i="13"/>
  <c r="AA85" i="13"/>
  <c r="Z85" i="13"/>
  <c r="AC86" i="13"/>
  <c r="AB86" i="13"/>
  <c r="AA86" i="13"/>
  <c r="Z86" i="13"/>
  <c r="AC87" i="13"/>
  <c r="AB87" i="13"/>
  <c r="AA87" i="13"/>
  <c r="Z87" i="13"/>
  <c r="AC88" i="13"/>
  <c r="AB88" i="13"/>
  <c r="AA88" i="13"/>
  <c r="Z88" i="13"/>
  <c r="AC89" i="13"/>
  <c r="AB89" i="13"/>
  <c r="AA89" i="13"/>
  <c r="Z89" i="13"/>
  <c r="AC90" i="13"/>
  <c r="AB90" i="13"/>
  <c r="AA90" i="13"/>
  <c r="Z90" i="13"/>
  <c r="AC91" i="13"/>
  <c r="AB91" i="13"/>
  <c r="AA91" i="13"/>
  <c r="Z91" i="13"/>
  <c r="AC92" i="13"/>
  <c r="AB92" i="13"/>
  <c r="AA92" i="13"/>
  <c r="Z92" i="13"/>
  <c r="AC93" i="13"/>
  <c r="AB93" i="13"/>
  <c r="AA93" i="13"/>
  <c r="Z93" i="13"/>
  <c r="AC94" i="13"/>
  <c r="AB94" i="13"/>
  <c r="AA94" i="13"/>
  <c r="Z94" i="13"/>
  <c r="AC95" i="13"/>
  <c r="AB95" i="13"/>
  <c r="AA95" i="13"/>
  <c r="Z95" i="13"/>
  <c r="AC96" i="13"/>
  <c r="AB96" i="13"/>
  <c r="AA96" i="13"/>
  <c r="Z96" i="13"/>
  <c r="AC97" i="13"/>
  <c r="AB97" i="13"/>
  <c r="AA97" i="13"/>
  <c r="Z97" i="13"/>
  <c r="AC98" i="13"/>
  <c r="AB98" i="13"/>
  <c r="AA98" i="13"/>
  <c r="Z98" i="13"/>
  <c r="AC99" i="13"/>
  <c r="AB99" i="13"/>
  <c r="AA99" i="13"/>
  <c r="Z99" i="13"/>
  <c r="AC100" i="13"/>
  <c r="AB100" i="13"/>
  <c r="AA100" i="13"/>
  <c r="Z100" i="13"/>
  <c r="AC101" i="13"/>
  <c r="AB101" i="13"/>
  <c r="AA101" i="13"/>
  <c r="Z101" i="13"/>
  <c r="AC102" i="13"/>
  <c r="AB102" i="13"/>
  <c r="AA102" i="13"/>
  <c r="Z102" i="13"/>
  <c r="AC103" i="13"/>
  <c r="AB103" i="13"/>
  <c r="AA103" i="13"/>
  <c r="Z103" i="13"/>
  <c r="AC104" i="13"/>
  <c r="AB104" i="13"/>
  <c r="AA104" i="13"/>
  <c r="Z104" i="13"/>
  <c r="AC105" i="13"/>
  <c r="AB105" i="13"/>
  <c r="AA105" i="13"/>
  <c r="Z105" i="13"/>
  <c r="AC106" i="13"/>
  <c r="AB106" i="13"/>
  <c r="AA106" i="13"/>
  <c r="Z106" i="13"/>
  <c r="AC107" i="13"/>
  <c r="AB107" i="13"/>
  <c r="AA107" i="13"/>
  <c r="Z107" i="13"/>
  <c r="AC108" i="13"/>
  <c r="AB108" i="13"/>
  <c r="AA108" i="13"/>
  <c r="Z108" i="13"/>
  <c r="AC109" i="13"/>
  <c r="AB109" i="13"/>
  <c r="AA109" i="13"/>
  <c r="Z109" i="13"/>
  <c r="AC110" i="13"/>
  <c r="AB110" i="13"/>
  <c r="AA110" i="13"/>
  <c r="Z110" i="13"/>
  <c r="AC111" i="13"/>
  <c r="AB111" i="13"/>
  <c r="AA111" i="13"/>
  <c r="Z111" i="13"/>
  <c r="AC112" i="13"/>
  <c r="AB112" i="13"/>
  <c r="AA112" i="13"/>
  <c r="Z112" i="13"/>
  <c r="AC113" i="13"/>
  <c r="AB113" i="13"/>
  <c r="AA113" i="13"/>
  <c r="Z113" i="13"/>
  <c r="AC114" i="13"/>
  <c r="AB114" i="13"/>
  <c r="AA114" i="13"/>
  <c r="Z114" i="13"/>
  <c r="AC67" i="15"/>
  <c r="AB67" i="15"/>
  <c r="AA67" i="15"/>
  <c r="Z67" i="15"/>
  <c r="AC68" i="15"/>
  <c r="AB68" i="15"/>
  <c r="AA68" i="15"/>
  <c r="Z68" i="15"/>
  <c r="AC69" i="15"/>
  <c r="AB69" i="15"/>
  <c r="AA69" i="15"/>
  <c r="Z69" i="15"/>
  <c r="AC70" i="15"/>
  <c r="AB70" i="15"/>
  <c r="AA70" i="15"/>
  <c r="Z70" i="15"/>
  <c r="AC71" i="15"/>
  <c r="AB71" i="15"/>
  <c r="AA71" i="15"/>
  <c r="Z71" i="15"/>
  <c r="AC72" i="15"/>
  <c r="AB72" i="15"/>
  <c r="AA72" i="15"/>
  <c r="Z72" i="15"/>
  <c r="AC73" i="15"/>
  <c r="AB73" i="15"/>
  <c r="AA73" i="15"/>
  <c r="Z73" i="15"/>
  <c r="AC74" i="15"/>
  <c r="AB74" i="15"/>
  <c r="AA74" i="15"/>
  <c r="Z74" i="15"/>
  <c r="AC75" i="15"/>
  <c r="AB75" i="15"/>
  <c r="AA75" i="15"/>
  <c r="Z75" i="15"/>
  <c r="AC76" i="15"/>
  <c r="AB76" i="15"/>
  <c r="AA76" i="15"/>
  <c r="Z76" i="15"/>
  <c r="AC77" i="15"/>
  <c r="AB77" i="15"/>
  <c r="AA77" i="15"/>
  <c r="Z77" i="15"/>
  <c r="AC78" i="15"/>
  <c r="AB78" i="15"/>
  <c r="AA78" i="15"/>
  <c r="Z78" i="15"/>
  <c r="AC79" i="15"/>
  <c r="AB79" i="15"/>
  <c r="AA79" i="15"/>
  <c r="Z79" i="15"/>
  <c r="AC80" i="15"/>
  <c r="AB80" i="15"/>
  <c r="AA80" i="15"/>
  <c r="Z80" i="15"/>
  <c r="AC81" i="15"/>
  <c r="AB81" i="15"/>
  <c r="AA81" i="15"/>
  <c r="Z81" i="15"/>
  <c r="AC82" i="15"/>
  <c r="AB82" i="15"/>
  <c r="AA82" i="15"/>
  <c r="Z82" i="15"/>
  <c r="AC83" i="15"/>
  <c r="AB83" i="15"/>
  <c r="AA83" i="15"/>
  <c r="Z83" i="15"/>
  <c r="AC84" i="15"/>
  <c r="AB84" i="15"/>
  <c r="AA84" i="15"/>
  <c r="Z84" i="15"/>
  <c r="AC85" i="15"/>
  <c r="AB85" i="15"/>
  <c r="AA85" i="15"/>
  <c r="Z85" i="15"/>
  <c r="AC86" i="15"/>
  <c r="AB86" i="15"/>
  <c r="AA86" i="15"/>
  <c r="Z86" i="15"/>
  <c r="AC87" i="15"/>
  <c r="AB87" i="15"/>
  <c r="AA87" i="15"/>
  <c r="Z87" i="15"/>
  <c r="AC88" i="15"/>
  <c r="AB88" i="15"/>
  <c r="AA88" i="15"/>
  <c r="Z88" i="15"/>
  <c r="AC89" i="15"/>
  <c r="AB89" i="15"/>
  <c r="AA89" i="15"/>
  <c r="Z89" i="15"/>
  <c r="AC90" i="15"/>
  <c r="AB90" i="15"/>
  <c r="AA90" i="15"/>
  <c r="Z90" i="15"/>
  <c r="AC91" i="15"/>
  <c r="AB91" i="15"/>
  <c r="AA91" i="15"/>
  <c r="Z91" i="15"/>
  <c r="AC92" i="15"/>
  <c r="AB92" i="15"/>
  <c r="AA92" i="15"/>
  <c r="Z92" i="15"/>
  <c r="AC93" i="15"/>
  <c r="AB93" i="15"/>
  <c r="AA93" i="15"/>
  <c r="Z93" i="15"/>
  <c r="AC94" i="15"/>
  <c r="AB94" i="15"/>
  <c r="AA94" i="15"/>
  <c r="Z94" i="15"/>
  <c r="AC95" i="15"/>
  <c r="AB95" i="15"/>
  <c r="AA95" i="15"/>
  <c r="Z95" i="15"/>
  <c r="AC96" i="15"/>
  <c r="AB96" i="15"/>
  <c r="AA96" i="15"/>
  <c r="Z96" i="15"/>
  <c r="AC97" i="15"/>
  <c r="AB97" i="15"/>
  <c r="AA97" i="15"/>
  <c r="Z97" i="15"/>
  <c r="AC98" i="15"/>
  <c r="AB98" i="15"/>
  <c r="AA98" i="15"/>
  <c r="Z98" i="15"/>
  <c r="AC99" i="15"/>
  <c r="AB99" i="15"/>
  <c r="AA99" i="15"/>
  <c r="Z99" i="15"/>
  <c r="AC100" i="15"/>
  <c r="AB100" i="15"/>
  <c r="AA100" i="15"/>
  <c r="Z100" i="15"/>
  <c r="AC101" i="15"/>
  <c r="AB101" i="15"/>
  <c r="AA101" i="15"/>
  <c r="Z101" i="15"/>
  <c r="AC102" i="15"/>
  <c r="AB102" i="15"/>
  <c r="AA102" i="15"/>
  <c r="Z102" i="15"/>
  <c r="AC103" i="15"/>
  <c r="AB103" i="15"/>
  <c r="AA103" i="15"/>
  <c r="Z103" i="15"/>
  <c r="AC104" i="15"/>
  <c r="AB104" i="15"/>
  <c r="AA104" i="15"/>
  <c r="Z104" i="15"/>
  <c r="AC105" i="15"/>
  <c r="AB105" i="15"/>
  <c r="AA105" i="15"/>
  <c r="Z105" i="15"/>
  <c r="AC106" i="15"/>
  <c r="AB106" i="15"/>
  <c r="AA106" i="15"/>
  <c r="Z106" i="15"/>
  <c r="AC107" i="15"/>
  <c r="AB107" i="15"/>
  <c r="AA107" i="15"/>
  <c r="Z107" i="15"/>
  <c r="AC108" i="15"/>
  <c r="AB108" i="15"/>
  <c r="AA108" i="15"/>
  <c r="Z108" i="15"/>
  <c r="AC109" i="15"/>
  <c r="AB109" i="15"/>
  <c r="AA109" i="15"/>
  <c r="Z109" i="15"/>
  <c r="AC110" i="15"/>
  <c r="AB110" i="15"/>
  <c r="AA110" i="15"/>
  <c r="Z110" i="15"/>
  <c r="AC111" i="15"/>
  <c r="AB111" i="15"/>
  <c r="AA111" i="15"/>
  <c r="Z111" i="15"/>
  <c r="AC112" i="15"/>
  <c r="AB112" i="15"/>
  <c r="AA112" i="15"/>
  <c r="Z112" i="15"/>
  <c r="AC113" i="15"/>
  <c r="AB113" i="15"/>
  <c r="AA113" i="15"/>
  <c r="Z113" i="15"/>
  <c r="AC114" i="15"/>
  <c r="AB114" i="15"/>
  <c r="AA114" i="15"/>
  <c r="Z114" i="15"/>
  <c r="AC67" i="17"/>
  <c r="AB67" i="17"/>
  <c r="AA67" i="17"/>
  <c r="Z67" i="17"/>
  <c r="AC68" i="17"/>
  <c r="AB68" i="17"/>
  <c r="AA68" i="17"/>
  <c r="Z68" i="17"/>
  <c r="AC69" i="17"/>
  <c r="AB69" i="17"/>
  <c r="AA69" i="17"/>
  <c r="Z69" i="17"/>
  <c r="AC70" i="17"/>
  <c r="AB70" i="17"/>
  <c r="AA70" i="17"/>
  <c r="Z70" i="17"/>
  <c r="AC71" i="17"/>
  <c r="AB71" i="17"/>
  <c r="AA71" i="17"/>
  <c r="Z71" i="17"/>
  <c r="AC72" i="17"/>
  <c r="AB72" i="17"/>
  <c r="AA72" i="17"/>
  <c r="Z72" i="17"/>
  <c r="AC73" i="17"/>
  <c r="AB73" i="17"/>
  <c r="AA73" i="17"/>
  <c r="Z73" i="17"/>
  <c r="AC74" i="17"/>
  <c r="AB74" i="17"/>
  <c r="AA74" i="17"/>
  <c r="Z74" i="17"/>
  <c r="AC75" i="17"/>
  <c r="AB75" i="17"/>
  <c r="AA75" i="17"/>
  <c r="Z75" i="17"/>
  <c r="AC76" i="17"/>
  <c r="AB76" i="17"/>
  <c r="AA76" i="17"/>
  <c r="Z76" i="17"/>
  <c r="AC77" i="17"/>
  <c r="AB77" i="17"/>
  <c r="AA77" i="17"/>
  <c r="Z77" i="17"/>
  <c r="AC78" i="17"/>
  <c r="AB78" i="17"/>
  <c r="AA78" i="17"/>
  <c r="Z78" i="17"/>
  <c r="AC79" i="17"/>
  <c r="AB79" i="17"/>
  <c r="AA79" i="17"/>
  <c r="Z79" i="17"/>
  <c r="AC80" i="17"/>
  <c r="AB80" i="17"/>
  <c r="AA80" i="17"/>
  <c r="Z80" i="17"/>
  <c r="AC81" i="17"/>
  <c r="AB81" i="17"/>
  <c r="AA81" i="17"/>
  <c r="Z81" i="17"/>
  <c r="AC82" i="17"/>
  <c r="AB82" i="17"/>
  <c r="AA82" i="17"/>
  <c r="Z82" i="17"/>
  <c r="AC83" i="17"/>
  <c r="AB83" i="17"/>
  <c r="AA83" i="17"/>
  <c r="Z83" i="17"/>
  <c r="AC84" i="17"/>
  <c r="AB84" i="17"/>
  <c r="AA84" i="17"/>
  <c r="Z84" i="17"/>
  <c r="AC85" i="17"/>
  <c r="AB85" i="17"/>
  <c r="AA85" i="17"/>
  <c r="Z85" i="17"/>
  <c r="AC86" i="17"/>
  <c r="AB86" i="17"/>
  <c r="AA86" i="17"/>
  <c r="Z86" i="17"/>
  <c r="AC87" i="17"/>
  <c r="AB87" i="17"/>
  <c r="AA87" i="17"/>
  <c r="Z87" i="17"/>
  <c r="AC88" i="17"/>
  <c r="AB88" i="17"/>
  <c r="AA88" i="17"/>
  <c r="Z88" i="17"/>
  <c r="AC89" i="17"/>
  <c r="AB89" i="17"/>
  <c r="AA89" i="17"/>
  <c r="Z89" i="17"/>
  <c r="AC90" i="17"/>
  <c r="AB90" i="17"/>
  <c r="AA90" i="17"/>
  <c r="Z90" i="17"/>
  <c r="AC91" i="17"/>
  <c r="AB91" i="17"/>
  <c r="AA91" i="17"/>
  <c r="Z91" i="17"/>
  <c r="AC92" i="17"/>
  <c r="AB92" i="17"/>
  <c r="AA92" i="17"/>
  <c r="Z92" i="17"/>
  <c r="AC93" i="17"/>
  <c r="AB93" i="17"/>
  <c r="AA93" i="17"/>
  <c r="Z93" i="17"/>
  <c r="AC94" i="17"/>
  <c r="AB94" i="17"/>
  <c r="AA94" i="17"/>
  <c r="Z94" i="17"/>
  <c r="AC95" i="17"/>
  <c r="AB95" i="17"/>
  <c r="AA95" i="17"/>
  <c r="Z95" i="17"/>
  <c r="AC96" i="17"/>
  <c r="AB96" i="17"/>
  <c r="AA96" i="17"/>
  <c r="Z96" i="17"/>
  <c r="AC97" i="17"/>
  <c r="AB97" i="17"/>
  <c r="AA97" i="17"/>
  <c r="Z97" i="17"/>
  <c r="AC98" i="17"/>
  <c r="AB98" i="17"/>
  <c r="AA98" i="17"/>
  <c r="Z98" i="17"/>
  <c r="AC99" i="17"/>
  <c r="AB99" i="17"/>
  <c r="AA99" i="17"/>
  <c r="Z99" i="17"/>
  <c r="AC100" i="17"/>
  <c r="AB100" i="17"/>
  <c r="AA100" i="17"/>
  <c r="Z100" i="17"/>
  <c r="AC101" i="17"/>
  <c r="AB101" i="17"/>
  <c r="AA101" i="17"/>
  <c r="Z101" i="17"/>
  <c r="AC102" i="17"/>
  <c r="AB102" i="17"/>
  <c r="AA102" i="17"/>
  <c r="Z102" i="17"/>
  <c r="AC103" i="17"/>
  <c r="AB103" i="17"/>
  <c r="AA103" i="17"/>
  <c r="Z103" i="17"/>
  <c r="AC104" i="17"/>
  <c r="AB104" i="17"/>
  <c r="AA104" i="17"/>
  <c r="Z104" i="17"/>
  <c r="AC105" i="17"/>
  <c r="AB105" i="17"/>
  <c r="AA105" i="17"/>
  <c r="Z105" i="17"/>
  <c r="AC106" i="17"/>
  <c r="AB106" i="17"/>
  <c r="AA106" i="17"/>
  <c r="Z106" i="17"/>
  <c r="AC107" i="17"/>
  <c r="AB107" i="17"/>
  <c r="AA107" i="17"/>
  <c r="Z107" i="17"/>
  <c r="AC108" i="17"/>
  <c r="AB108" i="17"/>
  <c r="AA108" i="17"/>
  <c r="Z108" i="17"/>
  <c r="AC109" i="17"/>
  <c r="AB109" i="17"/>
  <c r="AA109" i="17"/>
  <c r="Z109" i="17"/>
  <c r="AC110" i="17"/>
  <c r="AB110" i="17"/>
  <c r="AA110" i="17"/>
  <c r="Z110" i="17"/>
  <c r="AC111" i="17"/>
  <c r="AB111" i="17"/>
  <c r="AA111" i="17"/>
  <c r="Z111" i="17"/>
  <c r="AC112" i="17"/>
  <c r="AB112" i="17"/>
  <c r="AA112" i="17"/>
  <c r="Z112" i="17"/>
  <c r="AC113" i="17"/>
  <c r="AB113" i="17"/>
  <c r="AA113" i="17"/>
  <c r="Z113" i="17"/>
  <c r="AC114" i="17"/>
  <c r="AB114" i="17"/>
  <c r="AA114" i="17"/>
  <c r="Z114" i="17"/>
  <c r="AC67" i="19"/>
  <c r="AB67" i="19"/>
  <c r="AA67" i="19"/>
  <c r="Z67" i="19"/>
  <c r="AC68" i="19"/>
  <c r="AB68" i="19"/>
  <c r="AA68" i="19"/>
  <c r="Z68" i="19"/>
  <c r="AC69" i="19"/>
  <c r="AB69" i="19"/>
  <c r="AA69" i="19"/>
  <c r="Z69" i="19"/>
  <c r="AC70" i="19"/>
  <c r="AB70" i="19"/>
  <c r="AA70" i="19"/>
  <c r="Z70" i="19"/>
  <c r="AC71" i="19"/>
  <c r="AB71" i="19"/>
  <c r="AA71" i="19"/>
  <c r="Z71" i="19"/>
  <c r="AC72" i="19"/>
  <c r="AB72" i="19"/>
  <c r="AA72" i="19"/>
  <c r="Z72" i="19"/>
  <c r="AC73" i="19"/>
  <c r="AB73" i="19"/>
  <c r="AA73" i="19"/>
  <c r="Z73" i="19"/>
  <c r="AC74" i="19"/>
  <c r="AB74" i="19"/>
  <c r="AA74" i="19"/>
  <c r="Z74" i="19"/>
  <c r="AC75" i="19"/>
  <c r="AB75" i="19"/>
  <c r="AA75" i="19"/>
  <c r="Z75" i="19"/>
  <c r="AC76" i="19"/>
  <c r="AB76" i="19"/>
  <c r="AA76" i="19"/>
  <c r="Z76" i="19"/>
  <c r="AC77" i="19"/>
  <c r="AB77" i="19"/>
  <c r="AA77" i="19"/>
  <c r="Z77" i="19"/>
  <c r="AC78" i="19"/>
  <c r="AB78" i="19"/>
  <c r="AA78" i="19"/>
  <c r="Z78" i="19"/>
  <c r="AC79" i="19"/>
  <c r="AB79" i="19"/>
  <c r="AA79" i="19"/>
  <c r="Z79" i="19"/>
  <c r="AC80" i="19"/>
  <c r="AB80" i="19"/>
  <c r="AA80" i="19"/>
  <c r="Z80" i="19"/>
  <c r="AC81" i="19"/>
  <c r="AB81" i="19"/>
  <c r="AA81" i="19"/>
  <c r="Z81" i="19"/>
  <c r="AC82" i="19"/>
  <c r="AB82" i="19"/>
  <c r="AA82" i="19"/>
  <c r="Z82" i="19"/>
  <c r="AC83" i="19"/>
  <c r="AB83" i="19"/>
  <c r="AA83" i="19"/>
  <c r="Z83" i="19"/>
  <c r="AC84" i="19"/>
  <c r="AB84" i="19"/>
  <c r="AA84" i="19"/>
  <c r="Z84" i="19"/>
  <c r="AC85" i="19"/>
  <c r="AB85" i="19"/>
  <c r="AA85" i="19"/>
  <c r="Z85" i="19"/>
  <c r="AC86" i="19"/>
  <c r="AB86" i="19"/>
  <c r="AA86" i="19"/>
  <c r="Z86" i="19"/>
  <c r="AC87" i="19"/>
  <c r="AB87" i="19"/>
  <c r="AA87" i="19"/>
  <c r="Z87" i="19"/>
  <c r="AC88" i="19"/>
  <c r="AB88" i="19"/>
  <c r="AA88" i="19"/>
  <c r="Z88" i="19"/>
  <c r="AC89" i="19"/>
  <c r="AB89" i="19"/>
  <c r="AA89" i="19"/>
  <c r="Z89" i="19"/>
  <c r="AC90" i="19"/>
  <c r="AB90" i="19"/>
  <c r="AA90" i="19"/>
  <c r="Z90" i="19"/>
  <c r="AC91" i="19"/>
  <c r="AB91" i="19"/>
  <c r="AA91" i="19"/>
  <c r="Z91" i="19"/>
  <c r="AC92" i="19"/>
  <c r="AB92" i="19"/>
  <c r="AA92" i="19"/>
  <c r="Z92" i="19"/>
  <c r="AC93" i="19"/>
  <c r="AB93" i="19"/>
  <c r="AA93" i="19"/>
  <c r="Z93" i="19"/>
  <c r="AC94" i="19"/>
  <c r="AB94" i="19"/>
  <c r="AA94" i="19"/>
  <c r="Z94" i="19"/>
  <c r="AC95" i="19"/>
  <c r="AB95" i="19"/>
  <c r="AA95" i="19"/>
  <c r="Z95" i="19"/>
  <c r="AC96" i="19"/>
  <c r="AB96" i="19"/>
  <c r="AA96" i="19"/>
  <c r="Z96" i="19"/>
  <c r="AC97" i="19"/>
  <c r="AB97" i="19"/>
  <c r="AA97" i="19"/>
  <c r="Z97" i="19"/>
  <c r="AC98" i="19"/>
  <c r="AB98" i="19"/>
  <c r="AA98" i="19"/>
  <c r="Z98" i="19"/>
  <c r="AC99" i="19"/>
  <c r="AB99" i="19"/>
  <c r="AA99" i="19"/>
  <c r="Z99" i="19"/>
  <c r="AC100" i="19"/>
  <c r="AB100" i="19"/>
  <c r="AA100" i="19"/>
  <c r="Z100" i="19"/>
  <c r="AC101" i="19"/>
  <c r="AB101" i="19"/>
  <c r="AA101" i="19"/>
  <c r="Z101" i="19"/>
  <c r="AC102" i="19"/>
  <c r="AB102" i="19"/>
  <c r="AA102" i="19"/>
  <c r="Z102" i="19"/>
  <c r="AC103" i="19"/>
  <c r="AB103" i="19"/>
  <c r="AA103" i="19"/>
  <c r="Z103" i="19"/>
  <c r="AC104" i="19"/>
  <c r="AB104" i="19"/>
  <c r="AA104" i="19"/>
  <c r="Z104" i="19"/>
  <c r="AC105" i="19"/>
  <c r="AB105" i="19"/>
  <c r="AA105" i="19"/>
  <c r="Z105" i="19"/>
  <c r="AC106" i="19"/>
  <c r="AB106" i="19"/>
  <c r="AA106" i="19"/>
  <c r="Z106" i="19"/>
  <c r="AC107" i="19"/>
  <c r="AB107" i="19"/>
  <c r="AA107" i="19"/>
  <c r="Z107" i="19"/>
  <c r="AC108" i="19"/>
  <c r="AB108" i="19"/>
  <c r="AA108" i="19"/>
  <c r="Z108" i="19"/>
  <c r="AC109" i="19"/>
  <c r="AB109" i="19"/>
  <c r="AA109" i="19"/>
  <c r="Z109" i="19"/>
  <c r="AC110" i="19"/>
  <c r="AB110" i="19"/>
  <c r="AA110" i="19"/>
  <c r="Z110" i="19"/>
  <c r="AC111" i="19"/>
  <c r="AB111" i="19"/>
  <c r="AA111" i="19"/>
  <c r="Z111" i="19"/>
  <c r="AC112" i="19"/>
  <c r="AB112" i="19"/>
  <c r="AA112" i="19"/>
  <c r="Z112" i="19"/>
  <c r="AC113" i="19"/>
  <c r="AB113" i="19"/>
  <c r="AA113" i="19"/>
  <c r="Z113" i="19"/>
  <c r="AC114" i="19"/>
  <c r="AB114" i="19"/>
  <c r="AA114" i="19"/>
  <c r="Z114" i="19"/>
  <c r="AC67" i="21"/>
  <c r="AB67" i="21"/>
  <c r="AA67" i="21"/>
  <c r="Z67" i="21"/>
  <c r="AC68" i="21"/>
  <c r="AB68" i="21"/>
  <c r="AA68" i="21"/>
  <c r="Z68" i="21"/>
  <c r="AC69" i="21"/>
  <c r="AB69" i="21"/>
  <c r="AA69" i="21"/>
  <c r="Z69" i="21"/>
  <c r="AC70" i="21"/>
  <c r="AB70" i="21"/>
  <c r="AA70" i="21"/>
  <c r="Z70" i="21"/>
  <c r="AC71" i="21"/>
  <c r="AB71" i="21"/>
  <c r="AA71" i="21"/>
  <c r="Z71" i="21"/>
  <c r="AC72" i="21"/>
  <c r="AB72" i="21"/>
  <c r="AA72" i="21"/>
  <c r="Z72" i="21"/>
  <c r="AC73" i="21"/>
  <c r="AB73" i="21"/>
  <c r="AA73" i="21"/>
  <c r="Z73" i="21"/>
  <c r="AC74" i="21"/>
  <c r="AB74" i="21"/>
  <c r="AA74" i="21"/>
  <c r="Z74" i="21"/>
  <c r="AC75" i="21"/>
  <c r="AB75" i="21"/>
  <c r="AA75" i="21"/>
  <c r="Z75" i="21"/>
  <c r="AC76" i="21"/>
  <c r="AB76" i="21"/>
  <c r="AA76" i="21"/>
  <c r="Z76" i="21"/>
  <c r="AC77" i="21"/>
  <c r="AB77" i="21"/>
  <c r="AA77" i="21"/>
  <c r="Z77" i="21"/>
  <c r="AC78" i="21"/>
  <c r="AB78" i="21"/>
  <c r="AA78" i="21"/>
  <c r="Z78" i="21"/>
  <c r="AC79" i="21"/>
  <c r="AB79" i="21"/>
  <c r="AA79" i="21"/>
  <c r="Z79" i="21"/>
  <c r="AC80" i="21"/>
  <c r="AB80" i="21"/>
  <c r="AA80" i="21"/>
  <c r="Z80" i="21"/>
  <c r="AC81" i="21"/>
  <c r="AB81" i="21"/>
  <c r="AA81" i="21"/>
  <c r="Z81" i="21"/>
  <c r="AC82" i="21"/>
  <c r="AB82" i="21"/>
  <c r="AA82" i="21"/>
  <c r="Z82" i="21"/>
  <c r="AC83" i="21"/>
  <c r="AB83" i="21"/>
  <c r="AA83" i="21"/>
  <c r="Z83" i="21"/>
  <c r="AC84" i="21"/>
  <c r="AB84" i="21"/>
  <c r="AA84" i="21"/>
  <c r="Z84" i="21"/>
  <c r="AC85" i="21"/>
  <c r="AB85" i="21"/>
  <c r="AA85" i="21"/>
  <c r="Z85" i="21"/>
  <c r="AC86" i="21"/>
  <c r="AB86" i="21"/>
  <c r="AA86" i="21"/>
  <c r="Z86" i="21"/>
  <c r="AC87" i="21"/>
  <c r="AB87" i="21"/>
  <c r="AA87" i="21"/>
  <c r="Z87" i="21"/>
  <c r="AC88" i="21"/>
  <c r="AB88" i="21"/>
  <c r="AA88" i="21"/>
  <c r="Z88" i="21"/>
  <c r="AC89" i="21"/>
  <c r="AB89" i="21"/>
  <c r="AA89" i="21"/>
  <c r="Z89" i="21"/>
  <c r="AC90" i="21"/>
  <c r="AB90" i="21"/>
  <c r="AA90" i="21"/>
  <c r="Z90" i="21"/>
  <c r="AC91" i="21"/>
  <c r="AB91" i="21"/>
  <c r="AA91" i="21"/>
  <c r="Z91" i="21"/>
  <c r="AC92" i="21"/>
  <c r="AB92" i="21"/>
  <c r="AA92" i="21"/>
  <c r="Z92" i="21"/>
  <c r="AC93" i="21"/>
  <c r="AB93" i="21"/>
  <c r="AA93" i="21"/>
  <c r="Z93" i="21"/>
  <c r="AC94" i="21"/>
  <c r="AB94" i="21"/>
  <c r="AA94" i="21"/>
  <c r="Z94" i="21"/>
  <c r="AC95" i="21"/>
  <c r="AB95" i="21"/>
  <c r="AA95" i="21"/>
  <c r="Z95" i="21"/>
  <c r="AC96" i="21"/>
  <c r="AB96" i="21"/>
  <c r="AA96" i="21"/>
  <c r="Z96" i="21"/>
  <c r="AC97" i="21"/>
  <c r="AB97" i="21"/>
  <c r="AA97" i="21"/>
  <c r="Z97" i="21"/>
  <c r="AC98" i="21"/>
  <c r="AB98" i="21"/>
  <c r="AA98" i="21"/>
  <c r="Z98" i="21"/>
  <c r="AC99" i="21"/>
  <c r="AB99" i="21"/>
  <c r="AA99" i="21"/>
  <c r="Z99" i="21"/>
  <c r="AC100" i="21"/>
  <c r="AB100" i="21"/>
  <c r="AA100" i="21"/>
  <c r="Z100" i="21"/>
  <c r="AC101" i="21"/>
  <c r="AB101" i="21"/>
  <c r="AA101" i="21"/>
  <c r="Z101" i="21"/>
  <c r="AC102" i="21"/>
  <c r="AB102" i="21"/>
  <c r="AA102" i="21"/>
  <c r="Z102" i="21"/>
  <c r="AC103" i="21"/>
  <c r="AB103" i="21"/>
  <c r="AA103" i="21"/>
  <c r="Z103" i="21"/>
  <c r="AC104" i="21"/>
  <c r="AB104" i="21"/>
  <c r="AA104" i="21"/>
  <c r="Z104" i="21"/>
  <c r="AC105" i="21"/>
  <c r="AB105" i="21"/>
  <c r="AA105" i="21"/>
  <c r="Z105" i="21"/>
  <c r="AC106" i="21"/>
  <c r="AB106" i="21"/>
  <c r="AA106" i="21"/>
  <c r="Z106" i="21"/>
  <c r="AC107" i="21"/>
  <c r="AB107" i="21"/>
  <c r="AA107" i="21"/>
  <c r="Z107" i="21"/>
  <c r="AC108" i="21"/>
  <c r="AB108" i="21"/>
  <c r="AA108" i="21"/>
  <c r="Z108" i="21"/>
  <c r="AC109" i="21"/>
  <c r="AB109" i="21"/>
  <c r="AA109" i="21"/>
  <c r="Z109" i="21"/>
  <c r="AC110" i="21"/>
  <c r="AB110" i="21"/>
  <c r="AA110" i="21"/>
  <c r="Z110" i="21"/>
  <c r="AC111" i="21"/>
  <c r="AB111" i="21"/>
  <c r="AA111" i="21"/>
  <c r="Z111" i="21"/>
  <c r="AC112" i="21"/>
  <c r="AB112" i="21"/>
  <c r="AA112" i="21"/>
  <c r="Z112" i="21"/>
  <c r="AC113" i="21"/>
  <c r="AB113" i="21"/>
  <c r="AA113" i="21"/>
  <c r="Z113" i="21"/>
  <c r="AC114" i="21"/>
  <c r="AB114" i="21"/>
  <c r="AA114" i="21"/>
  <c r="Z114" i="21"/>
  <c r="AC67" i="23"/>
  <c r="AB67" i="23"/>
  <c r="AA67" i="23"/>
  <c r="Z67" i="23"/>
  <c r="AC68" i="23"/>
  <c r="AB68" i="23"/>
  <c r="AA68" i="23"/>
  <c r="Z68" i="23"/>
  <c r="AC69" i="23"/>
  <c r="AB69" i="23"/>
  <c r="AA69" i="23"/>
  <c r="Z69" i="23"/>
  <c r="AC70" i="23"/>
  <c r="AB70" i="23"/>
  <c r="AA70" i="23"/>
  <c r="Z70" i="23"/>
  <c r="AC71" i="23"/>
  <c r="AB71" i="23"/>
  <c r="AA71" i="23"/>
  <c r="Z71" i="23"/>
  <c r="AC72" i="23"/>
  <c r="AB72" i="23"/>
  <c r="AA72" i="23"/>
  <c r="Z72" i="23"/>
  <c r="AC73" i="23"/>
  <c r="AB73" i="23"/>
  <c r="AA73" i="23"/>
  <c r="Z73" i="23"/>
  <c r="AC74" i="23"/>
  <c r="AB74" i="23"/>
  <c r="AA74" i="23"/>
  <c r="Z74" i="23"/>
  <c r="AC75" i="23"/>
  <c r="AB75" i="23"/>
  <c r="AA75" i="23"/>
  <c r="Z75" i="23"/>
  <c r="AC76" i="23"/>
  <c r="AB76" i="23"/>
  <c r="AA76" i="23"/>
  <c r="Z76" i="23"/>
  <c r="AC77" i="23"/>
  <c r="AB77" i="23"/>
  <c r="AA77" i="23"/>
  <c r="Z77" i="23"/>
  <c r="AC78" i="23"/>
  <c r="AB78" i="23"/>
  <c r="AA78" i="23"/>
  <c r="Z78" i="23"/>
  <c r="AC79" i="23"/>
  <c r="AB79" i="23"/>
  <c r="AA79" i="23"/>
  <c r="Z79" i="23"/>
  <c r="AC80" i="23"/>
  <c r="AB80" i="23"/>
  <c r="AA80" i="23"/>
  <c r="Z80" i="23"/>
  <c r="AC81" i="23"/>
  <c r="AB81" i="23"/>
  <c r="AA81" i="23"/>
  <c r="Z81" i="23"/>
  <c r="AC82" i="23"/>
  <c r="AB82" i="23"/>
  <c r="AA82" i="23"/>
  <c r="Z82" i="23"/>
  <c r="AC83" i="23"/>
  <c r="AB83" i="23"/>
  <c r="AA83" i="23"/>
  <c r="Z83" i="23"/>
  <c r="AC84" i="23"/>
  <c r="AB84" i="23"/>
  <c r="AA84" i="23"/>
  <c r="Z84" i="23"/>
  <c r="AC85" i="23"/>
  <c r="AB85" i="23"/>
  <c r="AA85" i="23"/>
  <c r="Z85" i="23"/>
  <c r="AC86" i="23"/>
  <c r="AB86" i="23"/>
  <c r="AA86" i="23"/>
  <c r="Z86" i="23"/>
  <c r="AC87" i="23"/>
  <c r="AB87" i="23"/>
  <c r="AA87" i="23"/>
  <c r="Z87" i="23"/>
  <c r="AC88" i="23"/>
  <c r="AB88" i="23"/>
  <c r="AA88" i="23"/>
  <c r="Z88" i="23"/>
  <c r="AC89" i="23"/>
  <c r="AB89" i="23"/>
  <c r="AA89" i="23"/>
  <c r="Z89" i="23"/>
  <c r="AC90" i="23"/>
  <c r="AB90" i="23"/>
  <c r="AA90" i="23"/>
  <c r="Z90" i="23"/>
  <c r="AC91" i="23"/>
  <c r="AB91" i="23"/>
  <c r="AA91" i="23"/>
  <c r="Z91" i="23"/>
  <c r="AC92" i="23"/>
  <c r="AB92" i="23"/>
  <c r="AA92" i="23"/>
  <c r="Z92" i="23"/>
  <c r="AC93" i="23"/>
  <c r="AB93" i="23"/>
  <c r="AA93" i="23"/>
  <c r="Z93" i="23"/>
  <c r="AC94" i="23"/>
  <c r="AB94" i="23"/>
  <c r="AA94" i="23"/>
  <c r="Z94" i="23"/>
  <c r="AC95" i="23"/>
  <c r="AB95" i="23"/>
  <c r="AA95" i="23"/>
  <c r="Z95" i="23"/>
  <c r="AC96" i="23"/>
  <c r="AB96" i="23"/>
  <c r="AA96" i="23"/>
  <c r="Z96" i="23"/>
  <c r="AC97" i="23"/>
  <c r="AB97" i="23"/>
  <c r="AA97" i="23"/>
  <c r="Z97" i="23"/>
  <c r="AC98" i="23"/>
  <c r="AB98" i="23"/>
  <c r="AA98" i="23"/>
  <c r="Z98" i="23"/>
  <c r="AC99" i="23"/>
  <c r="AB99" i="23"/>
  <c r="AA99" i="23"/>
  <c r="Z99" i="23"/>
  <c r="AC100" i="23"/>
  <c r="AB100" i="23"/>
  <c r="AA100" i="23"/>
  <c r="Z100" i="23"/>
  <c r="AC101" i="23"/>
  <c r="AB101" i="23"/>
  <c r="AA101" i="23"/>
  <c r="Z101" i="23"/>
  <c r="AC102" i="23"/>
  <c r="AB102" i="23"/>
  <c r="AA102" i="23"/>
  <c r="Z102" i="23"/>
  <c r="AC103" i="23"/>
  <c r="AB103" i="23"/>
  <c r="AA103" i="23"/>
  <c r="Z103" i="23"/>
  <c r="AC104" i="23"/>
  <c r="AB104" i="23"/>
  <c r="AA104" i="23"/>
  <c r="Z104" i="23"/>
  <c r="AC105" i="23"/>
  <c r="AB105" i="23"/>
  <c r="AA105" i="23"/>
  <c r="Z105" i="23"/>
  <c r="AC106" i="23"/>
  <c r="AB106" i="23"/>
  <c r="AA106" i="23"/>
  <c r="Z106" i="23"/>
  <c r="AC107" i="23"/>
  <c r="AB107" i="23"/>
  <c r="AA107" i="23"/>
  <c r="Z107" i="23"/>
  <c r="AC108" i="23"/>
  <c r="AB108" i="23"/>
  <c r="AA108" i="23"/>
  <c r="Z108" i="23"/>
  <c r="AC109" i="23"/>
  <c r="AB109" i="23"/>
  <c r="AA109" i="23"/>
  <c r="Z109" i="23"/>
  <c r="AC110" i="23"/>
  <c r="AB110" i="23"/>
  <c r="AA110" i="23"/>
  <c r="Z110" i="23"/>
  <c r="AC111" i="23"/>
  <c r="AB111" i="23"/>
  <c r="AA111" i="23"/>
  <c r="Z111" i="23"/>
  <c r="AC112" i="23"/>
  <c r="AB112" i="23"/>
  <c r="AA112" i="23"/>
  <c r="Z112" i="23"/>
  <c r="AC113" i="23"/>
  <c r="AB113" i="23"/>
  <c r="AA113" i="23"/>
  <c r="Z113" i="23"/>
  <c r="AC114" i="23"/>
  <c r="AB114" i="23"/>
  <c r="AA114" i="23"/>
  <c r="Z114" i="23"/>
  <c r="AC67" i="25"/>
  <c r="AB67" i="25"/>
  <c r="AA67" i="25"/>
  <c r="Z67" i="25"/>
  <c r="AC68" i="25"/>
  <c r="AB68" i="25"/>
  <c r="AA68" i="25"/>
  <c r="Z68" i="25"/>
  <c r="AC69" i="25"/>
  <c r="AB69" i="25"/>
  <c r="AA69" i="25"/>
  <c r="Z69" i="25"/>
  <c r="AC70" i="25"/>
  <c r="AB70" i="25"/>
  <c r="AA70" i="25"/>
  <c r="Z70" i="25"/>
  <c r="AC71" i="25"/>
  <c r="AB71" i="25"/>
  <c r="AA71" i="25"/>
  <c r="Z71" i="25"/>
  <c r="AC72" i="25"/>
  <c r="AB72" i="25"/>
  <c r="AA72" i="25"/>
  <c r="Z72" i="25"/>
  <c r="AC73" i="25"/>
  <c r="AB73" i="25"/>
  <c r="AA73" i="25"/>
  <c r="Z73" i="25"/>
  <c r="AC74" i="25"/>
  <c r="AB74" i="25"/>
  <c r="AA74" i="25"/>
  <c r="Z74" i="25"/>
  <c r="AC75" i="25"/>
  <c r="AB75" i="25"/>
  <c r="AA75" i="25"/>
  <c r="Z75" i="25"/>
  <c r="AC76" i="25"/>
  <c r="AB76" i="25"/>
  <c r="AA76" i="25"/>
  <c r="Z76" i="25"/>
  <c r="AC77" i="25"/>
  <c r="AB77" i="25"/>
  <c r="AA77" i="25"/>
  <c r="Z77" i="25"/>
  <c r="AC78" i="25"/>
  <c r="AB78" i="25"/>
  <c r="AA78" i="25"/>
  <c r="Z78" i="25"/>
  <c r="AC79" i="25"/>
  <c r="AB79" i="25"/>
  <c r="AA79" i="25"/>
  <c r="Z79" i="25"/>
  <c r="AC80" i="25"/>
  <c r="AB80" i="25"/>
  <c r="AA80" i="25"/>
  <c r="Z80" i="25"/>
  <c r="AC81" i="25"/>
  <c r="AB81" i="25"/>
  <c r="AA81" i="25"/>
  <c r="Z81" i="25"/>
  <c r="AC82" i="25"/>
  <c r="AB82" i="25"/>
  <c r="AA82" i="25"/>
  <c r="Z82" i="25"/>
  <c r="AC83" i="25"/>
  <c r="AB83" i="25"/>
  <c r="AA83" i="25"/>
  <c r="Z83" i="25"/>
  <c r="AC84" i="25"/>
  <c r="AB84" i="25"/>
  <c r="AA84" i="25"/>
  <c r="Z84" i="25"/>
  <c r="AC85" i="25"/>
  <c r="AB85" i="25"/>
  <c r="AA85" i="25"/>
  <c r="Z85" i="25"/>
  <c r="AC86" i="25"/>
  <c r="AB86" i="25"/>
  <c r="AA86" i="25"/>
  <c r="Z86" i="25"/>
  <c r="AC87" i="25"/>
  <c r="AB87" i="25"/>
  <c r="AA87" i="25"/>
  <c r="Z87" i="25"/>
  <c r="AC88" i="25"/>
  <c r="AB88" i="25"/>
  <c r="AA88" i="25"/>
  <c r="Z88" i="25"/>
  <c r="AC89" i="25"/>
  <c r="AB89" i="25"/>
  <c r="AA89" i="25"/>
  <c r="Z89" i="25"/>
  <c r="AC90" i="25"/>
  <c r="AB90" i="25"/>
  <c r="AA90" i="25"/>
  <c r="Z90" i="25"/>
  <c r="AC91" i="25"/>
  <c r="AB91" i="25"/>
  <c r="AA91" i="25"/>
  <c r="Z91" i="25"/>
  <c r="AC92" i="25"/>
  <c r="AB92" i="25"/>
  <c r="AA92" i="25"/>
  <c r="Z92" i="25"/>
  <c r="AC93" i="25"/>
  <c r="AB93" i="25"/>
  <c r="AA93" i="25"/>
  <c r="Z93" i="25"/>
  <c r="AC94" i="25"/>
  <c r="AB94" i="25"/>
  <c r="AA94" i="25"/>
  <c r="Z94" i="25"/>
  <c r="AC95" i="25"/>
  <c r="AB95" i="25"/>
  <c r="AA95" i="25"/>
  <c r="Z95" i="25"/>
  <c r="AC96" i="25"/>
  <c r="AB96" i="25"/>
  <c r="AA96" i="25"/>
  <c r="Z96" i="25"/>
  <c r="AC97" i="25"/>
  <c r="AB97" i="25"/>
  <c r="AA97" i="25"/>
  <c r="Z97" i="25"/>
  <c r="AC98" i="25"/>
  <c r="AB98" i="25"/>
  <c r="AA98" i="25"/>
  <c r="Z98" i="25"/>
  <c r="AC99" i="25"/>
  <c r="AB99" i="25"/>
  <c r="AA99" i="25"/>
  <c r="Z99" i="25"/>
  <c r="AC100" i="25"/>
  <c r="AB100" i="25"/>
  <c r="AA100" i="25"/>
  <c r="Z100" i="25"/>
  <c r="AC101" i="25"/>
  <c r="AB101" i="25"/>
  <c r="AA101" i="25"/>
  <c r="Z101" i="25"/>
  <c r="AC102" i="25"/>
  <c r="AB102" i="25"/>
  <c r="AA102" i="25"/>
  <c r="Z102" i="25"/>
  <c r="AC103" i="25"/>
  <c r="AB103" i="25"/>
  <c r="AA103" i="25"/>
  <c r="Z103" i="25"/>
  <c r="AC104" i="25"/>
  <c r="AB104" i="25"/>
  <c r="AA104" i="25"/>
  <c r="Z104" i="25"/>
  <c r="AC105" i="25"/>
  <c r="AB105" i="25"/>
  <c r="AA105" i="25"/>
  <c r="Z105" i="25"/>
  <c r="AC106" i="25"/>
  <c r="AB106" i="25"/>
  <c r="AA106" i="25"/>
  <c r="Z106" i="25"/>
  <c r="AC107" i="25"/>
  <c r="AB107" i="25"/>
  <c r="AA107" i="25"/>
  <c r="Z107" i="25"/>
  <c r="AC108" i="25"/>
  <c r="AB108" i="25"/>
  <c r="AA108" i="25"/>
  <c r="Z108" i="25"/>
  <c r="AC109" i="25"/>
  <c r="AB109" i="25"/>
  <c r="AA109" i="25"/>
  <c r="Z109" i="25"/>
  <c r="AC110" i="25"/>
  <c r="AB110" i="25"/>
  <c r="AA110" i="25"/>
  <c r="Z110" i="25"/>
  <c r="AC111" i="25"/>
  <c r="AB111" i="25"/>
  <c r="AA111" i="25"/>
  <c r="Z111" i="25"/>
  <c r="AC112" i="25"/>
  <c r="AB112" i="25"/>
  <c r="AA112" i="25"/>
  <c r="Z112" i="25"/>
  <c r="AC113" i="25"/>
  <c r="AB113" i="25"/>
  <c r="AA113" i="25"/>
  <c r="Z113" i="25"/>
  <c r="AC114" i="25"/>
  <c r="AB114" i="25"/>
  <c r="AA114" i="25"/>
  <c r="Z114" i="25"/>
  <c r="AC67" i="27"/>
  <c r="AB67" i="27"/>
  <c r="AA67" i="27"/>
  <c r="Z67" i="27"/>
  <c r="AC68" i="27"/>
  <c r="AB68" i="27"/>
  <c r="AA68" i="27"/>
  <c r="Z68" i="27"/>
  <c r="AC69" i="27"/>
  <c r="AB69" i="27"/>
  <c r="AA69" i="27"/>
  <c r="Z69" i="27"/>
  <c r="AC70" i="27"/>
  <c r="AB70" i="27"/>
  <c r="AA70" i="27"/>
  <c r="Z70" i="27"/>
  <c r="AC71" i="27"/>
  <c r="AB71" i="27"/>
  <c r="AA71" i="27"/>
  <c r="Z71" i="27"/>
  <c r="AC72" i="27"/>
  <c r="AB72" i="27"/>
  <c r="AA72" i="27"/>
  <c r="Z72" i="27"/>
  <c r="AC73" i="27"/>
  <c r="AB73" i="27"/>
  <c r="AA73" i="27"/>
  <c r="Z73" i="27"/>
  <c r="AC74" i="27"/>
  <c r="AB74" i="27"/>
  <c r="AA74" i="27"/>
  <c r="Z74" i="27"/>
  <c r="AC75" i="27"/>
  <c r="AB75" i="27"/>
  <c r="AA75" i="27"/>
  <c r="Z75" i="27"/>
  <c r="AC76" i="27"/>
  <c r="AB76" i="27"/>
  <c r="AA76" i="27"/>
  <c r="Z76" i="27"/>
  <c r="AC77" i="27"/>
  <c r="AB77" i="27"/>
  <c r="AA77" i="27"/>
  <c r="Z77" i="27"/>
  <c r="AC78" i="27"/>
  <c r="AB78" i="27"/>
  <c r="AA78" i="27"/>
  <c r="Z78" i="27"/>
  <c r="AC79" i="27"/>
  <c r="AB79" i="27"/>
  <c r="AA79" i="27"/>
  <c r="Z79" i="27"/>
  <c r="AC80" i="27"/>
  <c r="AB80" i="27"/>
  <c r="AA80" i="27"/>
  <c r="Z80" i="27"/>
  <c r="AC81" i="27"/>
  <c r="AB81" i="27"/>
  <c r="AA81" i="27"/>
  <c r="Z81" i="27"/>
  <c r="AC82" i="27"/>
  <c r="AB82" i="27"/>
  <c r="AA82" i="27"/>
  <c r="Z82" i="27"/>
  <c r="AC83" i="27"/>
  <c r="AB83" i="27"/>
  <c r="AA83" i="27"/>
  <c r="Z83" i="27"/>
  <c r="AC84" i="27"/>
  <c r="AB84" i="27"/>
  <c r="AA84" i="27"/>
  <c r="Z84" i="27"/>
  <c r="AC85" i="27"/>
  <c r="AB85" i="27"/>
  <c r="AA85" i="27"/>
  <c r="Z85" i="27"/>
  <c r="AC86" i="27"/>
  <c r="AB86" i="27"/>
  <c r="AA86" i="27"/>
  <c r="Z86" i="27"/>
  <c r="AC87" i="27"/>
  <c r="AB87" i="27"/>
  <c r="AA87" i="27"/>
  <c r="Z87" i="27"/>
  <c r="AC88" i="27"/>
  <c r="AB88" i="27"/>
  <c r="AA88" i="27"/>
  <c r="Z88" i="27"/>
  <c r="AC89" i="27"/>
  <c r="AB89" i="27"/>
  <c r="AA89" i="27"/>
  <c r="Z89" i="27"/>
  <c r="AC90" i="27"/>
  <c r="AB90" i="27"/>
  <c r="AA90" i="27"/>
  <c r="Z90" i="27"/>
  <c r="AC91" i="27"/>
  <c r="AB91" i="27"/>
  <c r="AA91" i="27"/>
  <c r="Z91" i="27"/>
  <c r="AC92" i="27"/>
  <c r="AB92" i="27"/>
  <c r="AA92" i="27"/>
  <c r="Z92" i="27"/>
  <c r="AC93" i="27"/>
  <c r="AB93" i="27"/>
  <c r="AA93" i="27"/>
  <c r="Z93" i="27"/>
  <c r="AC94" i="27"/>
  <c r="AB94" i="27"/>
  <c r="AA94" i="27"/>
  <c r="Z94" i="27"/>
  <c r="AC95" i="27"/>
  <c r="AB95" i="27"/>
  <c r="AA95" i="27"/>
  <c r="Z95" i="27"/>
  <c r="AC96" i="27"/>
  <c r="AB96" i="27"/>
  <c r="AA96" i="27"/>
  <c r="Z96" i="27"/>
  <c r="AC97" i="27"/>
  <c r="AB97" i="27"/>
  <c r="AA97" i="27"/>
  <c r="Z97" i="27"/>
  <c r="AC98" i="27"/>
  <c r="AB98" i="27"/>
  <c r="AA98" i="27"/>
  <c r="Z98" i="27"/>
  <c r="AC99" i="27"/>
  <c r="AB99" i="27"/>
  <c r="AA99" i="27"/>
  <c r="Z99" i="27"/>
  <c r="AC100" i="27"/>
  <c r="AB100" i="27"/>
  <c r="AA100" i="27"/>
  <c r="Z100" i="27"/>
  <c r="AC101" i="27"/>
  <c r="AB101" i="27"/>
  <c r="AA101" i="27"/>
  <c r="Z101" i="27"/>
  <c r="AC102" i="27"/>
  <c r="AB102" i="27"/>
  <c r="AA102" i="27"/>
  <c r="Z102" i="27"/>
  <c r="AC103" i="27"/>
  <c r="AB103" i="27"/>
  <c r="AA103" i="27"/>
  <c r="Z103" i="27"/>
  <c r="AC104" i="27"/>
  <c r="AB104" i="27"/>
  <c r="AA104" i="27"/>
  <c r="Z104" i="27"/>
  <c r="AC105" i="27"/>
  <c r="AB105" i="27"/>
  <c r="AA105" i="27"/>
  <c r="Z105" i="27"/>
  <c r="AC106" i="27"/>
  <c r="AB106" i="27"/>
  <c r="AA106" i="27"/>
  <c r="Z106" i="27"/>
  <c r="AC107" i="27"/>
  <c r="AB107" i="27"/>
  <c r="AA107" i="27"/>
  <c r="Z107" i="27"/>
  <c r="AC108" i="27"/>
  <c r="AB108" i="27"/>
  <c r="AA108" i="27"/>
  <c r="Z108" i="27"/>
  <c r="AC109" i="27"/>
  <c r="AB109" i="27"/>
  <c r="AA109" i="27"/>
  <c r="Z109" i="27"/>
  <c r="AC110" i="27"/>
  <c r="AB110" i="27"/>
  <c r="AA110" i="27"/>
  <c r="Z110" i="27"/>
  <c r="AC111" i="27"/>
  <c r="AB111" i="27"/>
  <c r="AA111" i="27"/>
  <c r="Z111" i="27"/>
  <c r="AC112" i="27"/>
  <c r="AB112" i="27"/>
  <c r="AA112" i="27"/>
  <c r="Z112" i="27"/>
  <c r="AC113" i="27"/>
  <c r="AB113" i="27"/>
  <c r="AA113" i="27"/>
  <c r="Z113" i="27"/>
  <c r="AC114" i="27"/>
  <c r="AB114" i="27"/>
  <c r="AA114" i="27"/>
  <c r="Z114" i="27"/>
  <c r="AC67" i="29"/>
  <c r="AB67" i="29"/>
  <c r="AA67" i="29"/>
  <c r="Z67" i="29"/>
  <c r="AC68" i="29"/>
  <c r="AB68" i="29"/>
  <c r="AA68" i="29"/>
  <c r="Z68" i="29"/>
  <c r="AC69" i="29"/>
  <c r="AB69" i="29"/>
  <c r="AA69" i="29"/>
  <c r="Z69" i="29"/>
  <c r="AC70" i="29"/>
  <c r="AB70" i="29"/>
  <c r="AA70" i="29"/>
  <c r="Z70" i="29"/>
  <c r="AC71" i="29"/>
  <c r="AB71" i="29"/>
  <c r="AA71" i="29"/>
  <c r="Z71" i="29"/>
  <c r="AC72" i="29"/>
  <c r="AB72" i="29"/>
  <c r="AA72" i="29"/>
  <c r="Z72" i="29"/>
  <c r="AC73" i="29"/>
  <c r="AB73" i="29"/>
  <c r="AA73" i="29"/>
  <c r="Z73" i="29"/>
  <c r="AC74" i="29"/>
  <c r="AB74" i="29"/>
  <c r="AA74" i="29"/>
  <c r="Z74" i="29"/>
  <c r="AC75" i="29"/>
  <c r="AB75" i="29"/>
  <c r="AA75" i="29"/>
  <c r="Z75" i="29"/>
  <c r="AC76" i="29"/>
  <c r="AB76" i="29"/>
  <c r="AA76" i="29"/>
  <c r="Z76" i="29"/>
  <c r="AC77" i="29"/>
  <c r="AB77" i="29"/>
  <c r="AA77" i="29"/>
  <c r="Z77" i="29"/>
  <c r="AC78" i="29"/>
  <c r="AB78" i="29"/>
  <c r="AA78" i="29"/>
  <c r="Z78" i="29"/>
  <c r="AC79" i="29"/>
  <c r="AB79" i="29"/>
  <c r="AA79" i="29"/>
  <c r="Z79" i="29"/>
  <c r="AC80" i="29"/>
  <c r="AB80" i="29"/>
  <c r="AA80" i="29"/>
  <c r="Z80" i="29"/>
  <c r="AC81" i="29"/>
  <c r="AB81" i="29"/>
  <c r="AA81" i="29"/>
  <c r="Z81" i="29"/>
  <c r="AC82" i="29"/>
  <c r="AB82" i="29"/>
  <c r="AA82" i="29"/>
  <c r="Z82" i="29"/>
  <c r="AC83" i="29"/>
  <c r="AB83" i="29"/>
  <c r="AA83" i="29"/>
  <c r="Z83" i="29"/>
  <c r="AC84" i="29"/>
  <c r="AB84" i="29"/>
  <c r="AA84" i="29"/>
  <c r="Z84" i="29"/>
  <c r="AC85" i="29"/>
  <c r="AB85" i="29"/>
  <c r="AA85" i="29"/>
  <c r="Z85" i="29"/>
  <c r="AC86" i="29"/>
  <c r="AB86" i="29"/>
  <c r="AA86" i="29"/>
  <c r="Z86" i="29"/>
  <c r="AC87" i="29"/>
  <c r="AB87" i="29"/>
  <c r="AA87" i="29"/>
  <c r="Z87" i="29"/>
  <c r="AC88" i="29"/>
  <c r="AB88" i="29"/>
  <c r="AA88" i="29"/>
  <c r="Z88" i="29"/>
  <c r="AC89" i="29"/>
  <c r="AB89" i="29"/>
  <c r="AA89" i="29"/>
  <c r="Z89" i="29"/>
  <c r="AC90" i="29"/>
  <c r="AB90" i="29"/>
  <c r="AA90" i="29"/>
  <c r="Z90" i="29"/>
  <c r="AC91" i="29"/>
  <c r="AB91" i="29"/>
  <c r="AA91" i="29"/>
  <c r="Z91" i="29"/>
  <c r="AC92" i="29"/>
  <c r="AB92" i="29"/>
  <c r="AA92" i="29"/>
  <c r="Z92" i="29"/>
  <c r="AC93" i="29"/>
  <c r="AB93" i="29"/>
  <c r="AA93" i="29"/>
  <c r="Z93" i="29"/>
  <c r="AC94" i="29"/>
  <c r="AB94" i="29"/>
  <c r="AA94" i="29"/>
  <c r="Z94" i="29"/>
  <c r="AC95" i="29"/>
  <c r="AB95" i="29"/>
  <c r="AA95" i="29"/>
  <c r="Z95" i="29"/>
  <c r="AC96" i="29"/>
  <c r="AB96" i="29"/>
  <c r="AA96" i="29"/>
  <c r="Z96" i="29"/>
  <c r="AC97" i="29"/>
  <c r="AB97" i="29"/>
  <c r="AA97" i="29"/>
  <c r="Z97" i="29"/>
  <c r="AC98" i="29"/>
  <c r="AB98" i="29"/>
  <c r="AA98" i="29"/>
  <c r="Z98" i="29"/>
  <c r="AC99" i="29"/>
  <c r="AB99" i="29"/>
  <c r="AA99" i="29"/>
  <c r="Z99" i="29"/>
  <c r="AC100" i="29"/>
  <c r="AB100" i="29"/>
  <c r="AA100" i="29"/>
  <c r="Z100" i="29"/>
  <c r="AC101" i="29"/>
  <c r="AB101" i="29"/>
  <c r="AA101" i="29"/>
  <c r="Z101" i="29"/>
  <c r="AC102" i="29"/>
  <c r="AB102" i="29"/>
  <c r="AA102" i="29"/>
  <c r="Z102" i="29"/>
  <c r="AC103" i="29"/>
  <c r="AB103" i="29"/>
  <c r="AA103" i="29"/>
  <c r="Z103" i="29"/>
  <c r="AC104" i="29"/>
  <c r="AB104" i="29"/>
  <c r="AA104" i="29"/>
  <c r="Z104" i="29"/>
  <c r="AC105" i="29"/>
  <c r="AB105" i="29"/>
  <c r="AA105" i="29"/>
  <c r="Z105" i="29"/>
  <c r="AC106" i="29"/>
  <c r="AB106" i="29"/>
  <c r="AA106" i="29"/>
  <c r="Z106" i="29"/>
  <c r="AC107" i="29"/>
  <c r="AB107" i="29"/>
  <c r="AA107" i="29"/>
  <c r="Z107" i="29"/>
  <c r="AC108" i="29"/>
  <c r="AB108" i="29"/>
  <c r="AA108" i="29"/>
  <c r="Z108" i="29"/>
  <c r="AC109" i="29"/>
  <c r="AB109" i="29"/>
  <c r="AA109" i="29"/>
  <c r="Z109" i="29"/>
  <c r="AC110" i="29"/>
  <c r="AB110" i="29"/>
  <c r="AA110" i="29"/>
  <c r="Z110" i="29"/>
  <c r="AC111" i="29"/>
  <c r="AB111" i="29"/>
  <c r="AA111" i="29"/>
  <c r="Z111" i="29"/>
  <c r="AC112" i="29"/>
  <c r="AB112" i="29"/>
  <c r="AA112" i="29"/>
  <c r="Z112" i="29"/>
  <c r="AC113" i="29"/>
  <c r="AB113" i="29"/>
  <c r="AA113" i="29"/>
  <c r="Z113" i="29"/>
  <c r="AC114" i="29"/>
  <c r="AB114" i="29"/>
  <c r="AA114" i="29"/>
  <c r="Z114" i="29"/>
  <c r="AC67" i="31"/>
  <c r="AB67" i="31"/>
  <c r="AA67" i="31"/>
  <c r="Z67" i="31"/>
  <c r="AC68" i="31"/>
  <c r="AB68" i="31"/>
  <c r="AA68" i="31"/>
  <c r="Z68" i="31"/>
  <c r="AC69" i="31"/>
  <c r="AB69" i="31"/>
  <c r="AA69" i="31"/>
  <c r="Z69" i="31"/>
  <c r="AC70" i="31"/>
  <c r="AB70" i="31"/>
  <c r="AA70" i="31"/>
  <c r="Z70" i="31"/>
  <c r="AC71" i="31"/>
  <c r="AB71" i="31"/>
  <c r="AA71" i="31"/>
  <c r="Z71" i="31"/>
  <c r="AC72" i="31"/>
  <c r="AB72" i="31"/>
  <c r="AA72" i="31"/>
  <c r="Z72" i="31"/>
  <c r="AC73" i="31"/>
  <c r="AB73" i="31"/>
  <c r="AA73" i="31"/>
  <c r="Z73" i="31"/>
  <c r="AC74" i="31"/>
  <c r="AB74" i="31"/>
  <c r="AA74" i="31"/>
  <c r="Z74" i="31"/>
  <c r="AC75" i="31"/>
  <c r="AB75" i="31"/>
  <c r="AA75" i="31"/>
  <c r="Z75" i="31"/>
  <c r="AC76" i="31"/>
  <c r="AB76" i="31"/>
  <c r="AA76" i="31"/>
  <c r="Z76" i="31"/>
  <c r="AC77" i="31"/>
  <c r="AB77" i="31"/>
  <c r="AA77" i="31"/>
  <c r="Z77" i="31"/>
  <c r="AC78" i="31"/>
  <c r="AB78" i="31"/>
  <c r="AA78" i="31"/>
  <c r="Z78" i="31"/>
  <c r="AC79" i="31"/>
  <c r="AB79" i="31"/>
  <c r="AA79" i="31"/>
  <c r="Z79" i="31"/>
  <c r="AC80" i="31"/>
  <c r="AB80" i="31"/>
  <c r="AA80" i="31"/>
  <c r="Z80" i="31"/>
  <c r="AC81" i="31"/>
  <c r="AB81" i="31"/>
  <c r="AA81" i="31"/>
  <c r="Z81" i="31"/>
  <c r="AC82" i="31"/>
  <c r="AB82" i="31"/>
  <c r="AA82" i="31"/>
  <c r="Z82" i="31"/>
  <c r="AC83" i="31"/>
  <c r="AB83" i="31"/>
  <c r="AA83" i="31"/>
  <c r="Z83" i="31"/>
  <c r="AC84" i="31"/>
  <c r="AB84" i="31"/>
  <c r="AA84" i="31"/>
  <c r="Z84" i="31"/>
  <c r="AC85" i="31"/>
  <c r="AB85" i="31"/>
  <c r="AA85" i="31"/>
  <c r="Z85" i="31"/>
  <c r="AC86" i="31"/>
  <c r="AB86" i="31"/>
  <c r="AA86" i="31"/>
  <c r="Z86" i="31"/>
  <c r="AC87" i="31"/>
  <c r="AB87" i="31"/>
  <c r="AA87" i="31"/>
  <c r="Z87" i="31"/>
  <c r="AC88" i="31"/>
  <c r="AB88" i="31"/>
  <c r="AA88" i="31"/>
  <c r="Z88" i="31"/>
  <c r="AC89" i="31"/>
  <c r="AB89" i="31"/>
  <c r="AA89" i="31"/>
  <c r="Z89" i="31"/>
  <c r="AC90" i="31"/>
  <c r="AB90" i="31"/>
  <c r="AA90" i="31"/>
  <c r="Z90" i="31"/>
  <c r="AC91" i="31"/>
  <c r="AB91" i="31"/>
  <c r="AA91" i="31"/>
  <c r="Z91" i="31"/>
  <c r="AC92" i="31"/>
  <c r="AB92" i="31"/>
  <c r="AA92" i="31"/>
  <c r="Z92" i="31"/>
  <c r="AC93" i="31"/>
  <c r="AB93" i="31"/>
  <c r="AA93" i="31"/>
  <c r="Z93" i="31"/>
  <c r="AC94" i="31"/>
  <c r="AB94" i="31"/>
  <c r="AA94" i="31"/>
  <c r="Z94" i="31"/>
  <c r="AC95" i="31"/>
  <c r="AB95" i="31"/>
  <c r="AA95" i="31"/>
  <c r="Z95" i="31"/>
  <c r="AC96" i="31"/>
  <c r="AB96" i="31"/>
  <c r="AA96" i="31"/>
  <c r="Z96" i="31"/>
  <c r="AC97" i="31"/>
  <c r="AB97" i="31"/>
  <c r="AA97" i="31"/>
  <c r="Z97" i="31"/>
  <c r="AC98" i="31"/>
  <c r="AB98" i="31"/>
  <c r="AA98" i="31"/>
  <c r="Z98" i="31"/>
  <c r="AC99" i="31"/>
  <c r="AB99" i="31"/>
  <c r="AA99" i="31"/>
  <c r="Z99" i="31"/>
  <c r="AC100" i="31"/>
  <c r="AB100" i="31"/>
  <c r="AA100" i="31"/>
  <c r="Z100" i="31"/>
  <c r="AC101" i="31"/>
  <c r="AB101" i="31"/>
  <c r="AA101" i="31"/>
  <c r="Z101" i="31"/>
  <c r="AC102" i="31"/>
  <c r="AB102" i="31"/>
  <c r="AA102" i="31"/>
  <c r="Z102" i="31"/>
  <c r="AC103" i="31"/>
  <c r="AB103" i="31"/>
  <c r="AA103" i="31"/>
  <c r="Z103" i="31"/>
  <c r="AC104" i="31"/>
  <c r="AB104" i="31"/>
  <c r="AA104" i="31"/>
  <c r="Z104" i="31"/>
  <c r="AC105" i="31"/>
  <c r="AB105" i="31"/>
  <c r="AA105" i="31"/>
  <c r="Z105" i="31"/>
  <c r="AC106" i="31"/>
  <c r="AB106" i="31"/>
  <c r="AA106" i="31"/>
  <c r="Z106" i="31"/>
  <c r="AC107" i="31"/>
  <c r="AB107" i="31"/>
  <c r="AA107" i="31"/>
  <c r="Z107" i="31"/>
  <c r="AC108" i="31"/>
  <c r="AB108" i="31"/>
  <c r="AA108" i="31"/>
  <c r="Z108" i="31"/>
  <c r="AC109" i="31"/>
  <c r="AB109" i="31"/>
  <c r="AA109" i="31"/>
  <c r="Z109" i="31"/>
  <c r="AC110" i="31"/>
  <c r="AB110" i="31"/>
  <c r="AA110" i="31"/>
  <c r="Z110" i="31"/>
  <c r="AC111" i="31"/>
  <c r="AB111" i="31"/>
  <c r="AA111" i="31"/>
  <c r="Z111" i="31"/>
  <c r="AC112" i="31"/>
  <c r="AB112" i="31"/>
  <c r="AA112" i="31"/>
  <c r="Z112" i="31"/>
  <c r="AC113" i="31"/>
  <c r="AB113" i="31"/>
  <c r="AA113" i="31"/>
  <c r="Z113" i="31"/>
  <c r="AC114" i="31"/>
  <c r="AB114" i="31"/>
  <c r="AA114" i="31"/>
  <c r="Z114" i="31"/>
  <c r="AC67" i="33"/>
  <c r="AB67" i="33"/>
  <c r="AA67" i="33"/>
  <c r="Z67" i="33"/>
  <c r="AC68" i="33"/>
  <c r="AB68" i="33"/>
  <c r="AA68" i="33"/>
  <c r="Z68" i="33"/>
  <c r="AC69" i="33"/>
  <c r="AB69" i="33"/>
  <c r="AA69" i="33"/>
  <c r="Z69" i="33"/>
  <c r="AC70" i="33"/>
  <c r="AB70" i="33"/>
  <c r="AA70" i="33"/>
  <c r="Z70" i="33"/>
  <c r="AC71" i="33"/>
  <c r="AB71" i="33"/>
  <c r="AA71" i="33"/>
  <c r="Z71" i="33"/>
  <c r="AC72" i="33"/>
  <c r="AB72" i="33"/>
  <c r="AA72" i="33"/>
  <c r="Z72" i="33"/>
  <c r="AC73" i="33"/>
  <c r="AB73" i="33"/>
  <c r="AA73" i="33"/>
  <c r="Z73" i="33"/>
  <c r="AC74" i="33"/>
  <c r="AB74" i="33"/>
  <c r="AA74" i="33"/>
  <c r="Z74" i="33"/>
  <c r="AC75" i="33"/>
  <c r="AB75" i="33"/>
  <c r="AA75" i="33"/>
  <c r="Z75" i="33"/>
  <c r="AC76" i="33"/>
  <c r="AB76" i="33"/>
  <c r="AA76" i="33"/>
  <c r="Z76" i="33"/>
  <c r="AC77" i="33"/>
  <c r="AB77" i="33"/>
  <c r="AA77" i="33"/>
  <c r="Z77" i="33"/>
  <c r="AC78" i="33"/>
  <c r="AB78" i="33"/>
  <c r="AA78" i="33"/>
  <c r="Z78" i="33"/>
  <c r="AC79" i="33"/>
  <c r="AB79" i="33"/>
  <c r="AA79" i="33"/>
  <c r="Z79" i="33"/>
  <c r="AC80" i="33"/>
  <c r="AB80" i="33"/>
  <c r="AA80" i="33"/>
  <c r="Z80" i="33"/>
  <c r="AC81" i="33"/>
  <c r="AB81" i="33"/>
  <c r="AA81" i="33"/>
  <c r="Z81" i="33"/>
  <c r="AC82" i="33"/>
  <c r="AB82" i="33"/>
  <c r="AA82" i="33"/>
  <c r="Z82" i="33"/>
  <c r="AC83" i="33"/>
  <c r="AB83" i="33"/>
  <c r="AA83" i="33"/>
  <c r="Z83" i="33"/>
  <c r="AC84" i="33"/>
  <c r="AB84" i="33"/>
  <c r="AA84" i="33"/>
  <c r="Z84" i="33"/>
  <c r="AC85" i="33"/>
  <c r="AB85" i="33"/>
  <c r="AA85" i="33"/>
  <c r="Z85" i="33"/>
  <c r="AC86" i="33"/>
  <c r="AB86" i="33"/>
  <c r="AA86" i="33"/>
  <c r="Z86" i="33"/>
  <c r="AC87" i="33"/>
  <c r="AB87" i="33"/>
  <c r="AA87" i="33"/>
  <c r="Z87" i="33"/>
  <c r="AC88" i="33"/>
  <c r="AB88" i="33"/>
  <c r="AA88" i="33"/>
  <c r="Z88" i="33"/>
  <c r="AC89" i="33"/>
  <c r="AB89" i="33"/>
  <c r="AA89" i="33"/>
  <c r="Z89" i="33"/>
  <c r="AC90" i="33"/>
  <c r="AB90" i="33"/>
  <c r="AA90" i="33"/>
  <c r="Z90" i="33"/>
  <c r="AC91" i="33"/>
  <c r="AB91" i="33"/>
  <c r="AA91" i="33"/>
  <c r="Z91" i="33"/>
  <c r="AC92" i="33"/>
  <c r="AB92" i="33"/>
  <c r="AA92" i="33"/>
  <c r="Z92" i="33"/>
  <c r="AC93" i="33"/>
  <c r="AB93" i="33"/>
  <c r="AA93" i="33"/>
  <c r="Z93" i="33"/>
  <c r="AC94" i="33"/>
  <c r="AB94" i="33"/>
  <c r="AA94" i="33"/>
  <c r="Z94" i="33"/>
  <c r="AC95" i="33"/>
  <c r="AB95" i="33"/>
  <c r="AA95" i="33"/>
  <c r="Z95" i="33"/>
  <c r="AC96" i="33"/>
  <c r="AB96" i="33"/>
  <c r="AA96" i="33"/>
  <c r="Z96" i="33"/>
  <c r="AC97" i="33"/>
  <c r="AB97" i="33"/>
  <c r="AA97" i="33"/>
  <c r="Z97" i="33"/>
  <c r="AC98" i="33"/>
  <c r="AB98" i="33"/>
  <c r="AA98" i="33"/>
  <c r="Z98" i="33"/>
  <c r="AC99" i="33"/>
  <c r="AB99" i="33"/>
  <c r="AA99" i="33"/>
  <c r="Z99" i="33"/>
  <c r="AC100" i="33"/>
  <c r="AB100" i="33"/>
  <c r="AA100" i="33"/>
  <c r="Z100" i="33"/>
  <c r="AC101" i="33"/>
  <c r="AB101" i="33"/>
  <c r="AA101" i="33"/>
  <c r="Z101" i="33"/>
  <c r="AC102" i="33"/>
  <c r="AB102" i="33"/>
  <c r="AA102" i="33"/>
  <c r="Z102" i="33"/>
  <c r="AC103" i="33"/>
  <c r="AB103" i="33"/>
  <c r="AA103" i="33"/>
  <c r="Z103" i="33"/>
  <c r="AC104" i="33"/>
  <c r="AB104" i="33"/>
  <c r="AA104" i="33"/>
  <c r="Z104" i="33"/>
  <c r="AC105" i="33"/>
  <c r="AB105" i="33"/>
  <c r="AA105" i="33"/>
  <c r="Z105" i="33"/>
  <c r="AC106" i="33"/>
  <c r="AB106" i="33"/>
  <c r="AA106" i="33"/>
  <c r="Z106" i="33"/>
  <c r="AC107" i="33"/>
  <c r="AB107" i="33"/>
  <c r="AA107" i="33"/>
  <c r="Z107" i="33"/>
  <c r="AC108" i="33"/>
  <c r="AB108" i="33"/>
  <c r="AA108" i="33"/>
  <c r="Z108" i="33"/>
  <c r="AC109" i="33"/>
  <c r="AB109" i="33"/>
  <c r="AA109" i="33"/>
  <c r="Z109" i="33"/>
  <c r="AC110" i="33"/>
  <c r="AB110" i="33"/>
  <c r="AA110" i="33"/>
  <c r="Z110" i="33"/>
  <c r="AC111" i="33"/>
  <c r="AB111" i="33"/>
  <c r="AA111" i="33"/>
  <c r="Z111" i="33"/>
  <c r="AC112" i="33"/>
  <c r="AB112" i="33"/>
  <c r="AA112" i="33"/>
  <c r="Z112" i="33"/>
  <c r="AC113" i="33"/>
  <c r="AB113" i="33"/>
  <c r="AA113" i="33"/>
  <c r="Z113" i="33"/>
  <c r="AC114" i="33"/>
  <c r="AB114" i="33"/>
  <c r="AA114" i="33"/>
  <c r="Z114" i="33"/>
  <c r="AC67" i="35"/>
  <c r="AB67" i="35"/>
  <c r="AA67" i="35"/>
  <c r="Z67" i="35"/>
  <c r="AC68" i="35"/>
  <c r="AB68" i="35"/>
  <c r="AA68" i="35"/>
  <c r="Z68" i="35"/>
  <c r="AC69" i="35"/>
  <c r="AB69" i="35"/>
  <c r="AA69" i="35"/>
  <c r="Z69" i="35"/>
  <c r="AC70" i="35"/>
  <c r="AB70" i="35"/>
  <c r="AA70" i="35"/>
  <c r="Z70" i="35"/>
  <c r="AC71" i="35"/>
  <c r="AB71" i="35"/>
  <c r="AA71" i="35"/>
  <c r="Z71" i="35"/>
  <c r="AC72" i="35"/>
  <c r="AB72" i="35"/>
  <c r="AA72" i="35"/>
  <c r="Z72" i="35"/>
  <c r="AC73" i="35"/>
  <c r="AB73" i="35"/>
  <c r="AA73" i="35"/>
  <c r="Z73" i="35"/>
  <c r="AC74" i="35"/>
  <c r="AB74" i="35"/>
  <c r="AA74" i="35"/>
  <c r="Z74" i="35"/>
  <c r="AC75" i="35"/>
  <c r="AB75" i="35"/>
  <c r="AA75" i="35"/>
  <c r="Z75" i="35"/>
  <c r="AC76" i="35"/>
  <c r="AB76" i="35"/>
  <c r="AA76" i="35"/>
  <c r="Z76" i="35"/>
  <c r="AC77" i="35"/>
  <c r="AB77" i="35"/>
  <c r="AA77" i="35"/>
  <c r="Z77" i="35"/>
  <c r="AC78" i="35"/>
  <c r="AB78" i="35"/>
  <c r="AA78" i="35"/>
  <c r="Z78" i="35"/>
  <c r="AC79" i="35"/>
  <c r="AB79" i="35"/>
  <c r="AA79" i="35"/>
  <c r="Z79" i="35"/>
  <c r="AC80" i="35"/>
  <c r="AB80" i="35"/>
  <c r="AA80" i="35"/>
  <c r="Z80" i="35"/>
  <c r="AC81" i="35"/>
  <c r="AB81" i="35"/>
  <c r="AA81" i="35"/>
  <c r="Z81" i="35"/>
  <c r="AC82" i="35"/>
  <c r="AB82" i="35"/>
  <c r="AA82" i="35"/>
  <c r="Z82" i="35"/>
  <c r="AC83" i="35"/>
  <c r="AB83" i="35"/>
  <c r="AA83" i="35"/>
  <c r="Z83" i="35"/>
  <c r="AC84" i="35"/>
  <c r="AB84" i="35"/>
  <c r="AA84" i="35"/>
  <c r="Z84" i="35"/>
  <c r="AC85" i="35"/>
  <c r="AB85" i="35"/>
  <c r="AA85" i="35"/>
  <c r="Z85" i="35"/>
  <c r="AC86" i="35"/>
  <c r="AB86" i="35"/>
  <c r="AA86" i="35"/>
  <c r="Z86" i="35"/>
  <c r="AC87" i="35"/>
  <c r="AB87" i="35"/>
  <c r="AA87" i="35"/>
  <c r="Z87" i="35"/>
  <c r="AC88" i="35"/>
  <c r="AB88" i="35"/>
  <c r="AA88" i="35"/>
  <c r="Z88" i="35"/>
  <c r="AC89" i="35"/>
  <c r="AB89" i="35"/>
  <c r="AA89" i="35"/>
  <c r="Z89" i="35"/>
  <c r="AC90" i="35"/>
  <c r="AB90" i="35"/>
  <c r="AA90" i="35"/>
  <c r="Z90" i="35"/>
  <c r="AC91" i="35"/>
  <c r="AB91" i="35"/>
  <c r="AA91" i="35"/>
  <c r="Z91" i="35"/>
  <c r="AC92" i="35"/>
  <c r="AB92" i="35"/>
  <c r="AA92" i="35"/>
  <c r="Z92" i="35"/>
  <c r="AC93" i="35"/>
  <c r="AB93" i="35"/>
  <c r="AA93" i="35"/>
  <c r="Z93" i="35"/>
  <c r="AC94" i="35"/>
  <c r="AB94" i="35"/>
  <c r="AA94" i="35"/>
  <c r="Z94" i="35"/>
  <c r="AC95" i="35"/>
  <c r="AB95" i="35"/>
  <c r="AA95" i="35"/>
  <c r="Z95" i="35"/>
  <c r="AC96" i="35"/>
  <c r="AB96" i="35"/>
  <c r="AA96" i="35"/>
  <c r="Z96" i="35"/>
  <c r="AC97" i="35"/>
  <c r="AB97" i="35"/>
  <c r="AA97" i="35"/>
  <c r="Z97" i="35"/>
  <c r="AC98" i="35"/>
  <c r="AB98" i="35"/>
  <c r="AA98" i="35"/>
  <c r="Z98" i="35"/>
  <c r="AC99" i="35"/>
  <c r="AB99" i="35"/>
  <c r="AA99" i="35"/>
  <c r="Z99" i="35"/>
  <c r="AC100" i="35"/>
  <c r="AB100" i="35"/>
  <c r="AA100" i="35"/>
  <c r="Z100" i="35"/>
  <c r="AC101" i="35"/>
  <c r="AB101" i="35"/>
  <c r="AA101" i="35"/>
  <c r="Z101" i="35"/>
  <c r="AC102" i="35"/>
  <c r="AB102" i="35"/>
  <c r="AA102" i="35"/>
  <c r="Z102" i="35"/>
  <c r="AC103" i="35"/>
  <c r="AB103" i="35"/>
  <c r="AA103" i="35"/>
  <c r="Z103" i="35"/>
  <c r="AC104" i="35"/>
  <c r="AB104" i="35"/>
  <c r="AA104" i="35"/>
  <c r="Z104" i="35"/>
  <c r="AC105" i="35"/>
  <c r="AB105" i="35"/>
  <c r="AA105" i="35"/>
  <c r="Z105" i="35"/>
  <c r="AC106" i="35"/>
  <c r="AB106" i="35"/>
  <c r="AA106" i="35"/>
  <c r="Z106" i="35"/>
  <c r="AC107" i="35"/>
  <c r="AB107" i="35"/>
  <c r="AA107" i="35"/>
  <c r="Z107" i="35"/>
  <c r="AC108" i="35"/>
  <c r="AB108" i="35"/>
  <c r="AA108" i="35"/>
  <c r="Z108" i="35"/>
  <c r="AC109" i="35"/>
  <c r="AB109" i="35"/>
  <c r="AA109" i="35"/>
  <c r="Z109" i="35"/>
  <c r="AC110" i="35"/>
  <c r="AB110" i="35"/>
  <c r="AA110" i="35"/>
  <c r="Z110" i="35"/>
  <c r="AC111" i="35"/>
  <c r="AB111" i="35"/>
  <c r="AA111" i="35"/>
  <c r="Z111" i="35"/>
  <c r="AC112" i="35"/>
  <c r="AB112" i="35"/>
  <c r="AA112" i="35"/>
  <c r="Z112" i="35"/>
  <c r="AC113" i="35"/>
  <c r="AB113" i="35"/>
  <c r="AA113" i="35"/>
  <c r="Z113" i="35"/>
  <c r="AC114" i="35"/>
  <c r="AB114" i="35"/>
  <c r="AA114" i="35"/>
  <c r="Z114" i="35"/>
  <c r="AC67" i="37"/>
  <c r="AB67" i="37"/>
  <c r="AA67" i="37"/>
  <c r="Z67" i="37"/>
  <c r="AC68" i="37"/>
  <c r="AB68" i="37"/>
  <c r="AA68" i="37"/>
  <c r="Z68" i="37"/>
  <c r="AC69" i="37"/>
  <c r="AB69" i="37"/>
  <c r="AA69" i="37"/>
  <c r="Z69" i="37"/>
  <c r="AC70" i="37"/>
  <c r="AB70" i="37"/>
  <c r="AA70" i="37"/>
  <c r="Z70" i="37"/>
  <c r="AC71" i="37"/>
  <c r="AB71" i="37"/>
  <c r="AA71" i="37"/>
  <c r="Z71" i="37"/>
  <c r="AC72" i="37"/>
  <c r="AB72" i="37"/>
  <c r="AA72" i="37"/>
  <c r="Z72" i="37"/>
  <c r="AC73" i="37"/>
  <c r="AB73" i="37"/>
  <c r="AA73" i="37"/>
  <c r="Z73" i="37"/>
  <c r="AC74" i="37"/>
  <c r="AB74" i="37"/>
  <c r="AA74" i="37"/>
  <c r="Z74" i="37"/>
  <c r="AC75" i="37"/>
  <c r="AB75" i="37"/>
  <c r="AA75" i="37"/>
  <c r="Z75" i="37"/>
  <c r="AC76" i="37"/>
  <c r="AB76" i="37"/>
  <c r="AA76" i="37"/>
  <c r="Z76" i="37"/>
  <c r="AC77" i="37"/>
  <c r="AB77" i="37"/>
  <c r="AA77" i="37"/>
  <c r="Z77" i="37"/>
  <c r="AC78" i="37"/>
  <c r="AB78" i="37"/>
  <c r="AA78" i="37"/>
  <c r="Z78" i="37"/>
  <c r="AC79" i="37"/>
  <c r="AB79" i="37"/>
  <c r="AA79" i="37"/>
  <c r="Z79" i="37"/>
  <c r="AC80" i="37"/>
  <c r="AB80" i="37"/>
  <c r="AA80" i="37"/>
  <c r="Z80" i="37"/>
  <c r="AC81" i="37"/>
  <c r="AB81" i="37"/>
  <c r="AA81" i="37"/>
  <c r="Z81" i="37"/>
  <c r="AC82" i="37"/>
  <c r="AB82" i="37"/>
  <c r="AA82" i="37"/>
  <c r="Z82" i="37"/>
  <c r="AC83" i="37"/>
  <c r="AB83" i="37"/>
  <c r="AA83" i="37"/>
  <c r="Z83" i="37"/>
  <c r="AC84" i="37"/>
  <c r="AB84" i="37"/>
  <c r="AA84" i="37"/>
  <c r="Z84" i="37"/>
  <c r="AC85" i="37"/>
  <c r="AB85" i="37"/>
  <c r="AA85" i="37"/>
  <c r="Z85" i="37"/>
  <c r="AC86" i="37"/>
  <c r="AB86" i="37"/>
  <c r="AA86" i="37"/>
  <c r="Z86" i="37"/>
  <c r="AC87" i="37"/>
  <c r="AB87" i="37"/>
  <c r="AA87" i="37"/>
  <c r="Z87" i="37"/>
  <c r="AC88" i="37"/>
  <c r="AB88" i="37"/>
  <c r="AA88" i="37"/>
  <c r="Z88" i="37"/>
  <c r="AC89" i="37"/>
  <c r="AB89" i="37"/>
  <c r="AA89" i="37"/>
  <c r="Z89" i="37"/>
  <c r="AC90" i="37"/>
  <c r="AB90" i="37"/>
  <c r="AA90" i="37"/>
  <c r="Z90" i="37"/>
  <c r="AC91" i="37"/>
  <c r="AB91" i="37"/>
  <c r="AA91" i="37"/>
  <c r="Z91" i="37"/>
  <c r="AC92" i="37"/>
  <c r="AB92" i="37"/>
  <c r="AA92" i="37"/>
  <c r="Z92" i="37"/>
  <c r="AC93" i="37"/>
  <c r="AB93" i="37"/>
  <c r="AA93" i="37"/>
  <c r="Z93" i="37"/>
  <c r="AC94" i="37"/>
  <c r="AB94" i="37"/>
  <c r="AA94" i="37"/>
  <c r="Z94" i="37"/>
  <c r="AC95" i="37"/>
  <c r="AB95" i="37"/>
  <c r="AA95" i="37"/>
  <c r="Z95" i="37"/>
  <c r="AC96" i="37"/>
  <c r="AB96" i="37"/>
  <c r="AA96" i="37"/>
  <c r="Z96" i="37"/>
  <c r="AC97" i="37"/>
  <c r="AB97" i="37"/>
  <c r="AA97" i="37"/>
  <c r="Z97" i="37"/>
  <c r="AC98" i="37"/>
  <c r="AB98" i="37"/>
  <c r="AA98" i="37"/>
  <c r="Z98" i="37"/>
  <c r="AC99" i="37"/>
  <c r="AB99" i="37"/>
  <c r="AA99" i="37"/>
  <c r="Z99" i="37"/>
  <c r="AC100" i="37"/>
  <c r="AB100" i="37"/>
  <c r="AA100" i="37"/>
  <c r="Z100" i="37"/>
  <c r="AC101" i="37"/>
  <c r="AB101" i="37"/>
  <c r="AA101" i="37"/>
  <c r="Z101" i="37"/>
  <c r="AC102" i="37"/>
  <c r="AB102" i="37"/>
  <c r="AA102" i="37"/>
  <c r="Z102" i="37"/>
  <c r="AC103" i="37"/>
  <c r="AB103" i="37"/>
  <c r="AA103" i="37"/>
  <c r="Z103" i="37"/>
  <c r="AC104" i="37"/>
  <c r="AB104" i="37"/>
  <c r="AA104" i="37"/>
  <c r="Z104" i="37"/>
  <c r="AC105" i="37"/>
  <c r="AB105" i="37"/>
  <c r="AA105" i="37"/>
  <c r="Z105" i="37"/>
  <c r="AC106" i="37"/>
  <c r="AB106" i="37"/>
  <c r="AA106" i="37"/>
  <c r="Z106" i="37"/>
  <c r="AC107" i="37"/>
  <c r="AB107" i="37"/>
  <c r="AA107" i="37"/>
  <c r="Z107" i="37"/>
  <c r="AC108" i="37"/>
  <c r="AB108" i="37"/>
  <c r="AA108" i="37"/>
  <c r="Z108" i="37"/>
  <c r="AC109" i="37"/>
  <c r="AB109" i="37"/>
  <c r="AA109" i="37"/>
  <c r="Z109" i="37"/>
  <c r="AC110" i="37"/>
  <c r="AB110" i="37"/>
  <c r="AA110" i="37"/>
  <c r="Z110" i="37"/>
  <c r="AC111" i="37"/>
  <c r="AB111" i="37"/>
  <c r="AA111" i="37"/>
  <c r="Z111" i="37"/>
  <c r="AC112" i="37"/>
  <c r="AB112" i="37"/>
  <c r="AA112" i="37"/>
  <c r="Z112" i="37"/>
  <c r="AC113" i="37"/>
  <c r="AB113" i="37"/>
  <c r="AA113" i="37"/>
  <c r="Z113" i="37"/>
  <c r="AC114" i="37"/>
  <c r="AB114" i="37"/>
  <c r="AA114" i="37"/>
  <c r="Z114" i="37"/>
  <c r="W22" i="37" l="1"/>
  <c r="W21" i="37"/>
  <c r="W20" i="37"/>
  <c r="W19" i="37"/>
  <c r="W18" i="37"/>
  <c r="W17" i="37"/>
  <c r="W16" i="37"/>
  <c r="W15" i="37"/>
  <c r="W14" i="37"/>
  <c r="W13" i="37"/>
  <c r="W12" i="37"/>
  <c r="W11" i="37"/>
  <c r="W35" i="37"/>
  <c r="W34" i="37"/>
  <c r="W33" i="37"/>
  <c r="W32" i="37"/>
  <c r="W31" i="37"/>
  <c r="W30" i="37"/>
  <c r="W29" i="37"/>
  <c r="W28" i="37"/>
  <c r="W27" i="37"/>
  <c r="W26" i="37"/>
  <c r="W25" i="37"/>
  <c r="W24" i="37"/>
  <c r="W48" i="37"/>
  <c r="W47" i="37"/>
  <c r="W46" i="37"/>
  <c r="W45" i="37"/>
  <c r="W44" i="37"/>
  <c r="W43" i="37"/>
  <c r="W42" i="37"/>
  <c r="W41" i="37"/>
  <c r="W40" i="37"/>
  <c r="W39" i="37"/>
  <c r="W38" i="37"/>
  <c r="W37" i="37"/>
  <c r="W61" i="37"/>
  <c r="W60" i="37"/>
  <c r="W59" i="37"/>
  <c r="W58" i="37"/>
  <c r="W57" i="37"/>
  <c r="W56" i="37"/>
  <c r="W55" i="37"/>
  <c r="W54" i="37"/>
  <c r="W53" i="37"/>
  <c r="W52" i="37"/>
  <c r="W51" i="37"/>
  <c r="W50" i="37"/>
  <c r="W22" i="35"/>
  <c r="W21" i="35"/>
  <c r="W20" i="35"/>
  <c r="W19" i="35"/>
  <c r="W18" i="35"/>
  <c r="W17" i="35"/>
  <c r="W16" i="35"/>
  <c r="W15" i="35"/>
  <c r="W14" i="35"/>
  <c r="W13" i="35"/>
  <c r="W12" i="35"/>
  <c r="W11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22" i="33"/>
  <c r="W21" i="33"/>
  <c r="W20" i="33"/>
  <c r="W19" i="33"/>
  <c r="W18" i="33"/>
  <c r="W17" i="33"/>
  <c r="W16" i="33"/>
  <c r="W15" i="33"/>
  <c r="W14" i="33"/>
  <c r="W13" i="33"/>
  <c r="W12" i="33"/>
  <c r="W11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48" i="33"/>
  <c r="W47" i="33"/>
  <c r="W46" i="33"/>
  <c r="W45" i="33"/>
  <c r="W44" i="33"/>
  <c r="W43" i="33"/>
  <c r="W42" i="33"/>
  <c r="W41" i="33"/>
  <c r="W40" i="33"/>
  <c r="W39" i="33"/>
  <c r="W38" i="33"/>
  <c r="W37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W22" i="31"/>
  <c r="W21" i="31"/>
  <c r="W20" i="31"/>
  <c r="W19" i="31"/>
  <c r="W18" i="31"/>
  <c r="W17" i="31"/>
  <c r="W16" i="31"/>
  <c r="W15" i="31"/>
  <c r="W14" i="31"/>
  <c r="W13" i="31"/>
  <c r="W12" i="31"/>
  <c r="W11" i="31"/>
  <c r="W35" i="31"/>
  <c r="W34" i="31"/>
  <c r="W33" i="31"/>
  <c r="W32" i="31"/>
  <c r="W31" i="31"/>
  <c r="W30" i="31"/>
  <c r="W29" i="31"/>
  <c r="W28" i="31"/>
  <c r="W27" i="31"/>
  <c r="W26" i="31"/>
  <c r="W25" i="31"/>
  <c r="W24" i="31"/>
  <c r="W48" i="31"/>
  <c r="W47" i="31"/>
  <c r="W46" i="31"/>
  <c r="W45" i="31"/>
  <c r="W44" i="31"/>
  <c r="W43" i="31"/>
  <c r="W42" i="31"/>
  <c r="W41" i="31"/>
  <c r="W40" i="31"/>
  <c r="W39" i="31"/>
  <c r="W38" i="31"/>
  <c r="W37" i="31"/>
  <c r="W61" i="31"/>
  <c r="W60" i="31"/>
  <c r="W59" i="31"/>
  <c r="W58" i="31"/>
  <c r="W57" i="31"/>
  <c r="W56" i="31"/>
  <c r="W55" i="31"/>
  <c r="W54" i="31"/>
  <c r="W53" i="31"/>
  <c r="W52" i="31"/>
  <c r="W51" i="31"/>
  <c r="W50" i="31"/>
  <c r="W22" i="29"/>
  <c r="W21" i="29"/>
  <c r="W20" i="29"/>
  <c r="W19" i="29"/>
  <c r="W18" i="29"/>
  <c r="W17" i="29"/>
  <c r="W16" i="29"/>
  <c r="W15" i="29"/>
  <c r="W14" i="29"/>
  <c r="W13" i="29"/>
  <c r="W12" i="29"/>
  <c r="W11" i="29"/>
  <c r="W35" i="29"/>
  <c r="W34" i="29"/>
  <c r="W33" i="29"/>
  <c r="W32" i="29"/>
  <c r="W31" i="29"/>
  <c r="W30" i="29"/>
  <c r="W29" i="29"/>
  <c r="W28" i="29"/>
  <c r="W27" i="29"/>
  <c r="W26" i="29"/>
  <c r="W25" i="29"/>
  <c r="W24" i="29"/>
  <c r="W48" i="29"/>
  <c r="W47" i="29"/>
  <c r="W46" i="29"/>
  <c r="W45" i="29"/>
  <c r="W44" i="29"/>
  <c r="W43" i="29"/>
  <c r="W42" i="29"/>
  <c r="W41" i="29"/>
  <c r="W40" i="29"/>
  <c r="W39" i="29"/>
  <c r="W38" i="29"/>
  <c r="W37" i="29"/>
  <c r="W61" i="29"/>
  <c r="W60" i="29"/>
  <c r="W59" i="29"/>
  <c r="W58" i="29"/>
  <c r="W57" i="29"/>
  <c r="W56" i="29"/>
  <c r="W55" i="29"/>
  <c r="W54" i="29"/>
  <c r="W53" i="29"/>
  <c r="W52" i="29"/>
  <c r="W51" i="29"/>
  <c r="W50" i="29"/>
  <c r="W22" i="27"/>
  <c r="W21" i="27"/>
  <c r="W20" i="27"/>
  <c r="W19" i="27"/>
  <c r="W18" i="27"/>
  <c r="W17" i="27"/>
  <c r="W16" i="27"/>
  <c r="W15" i="27"/>
  <c r="W14" i="27"/>
  <c r="W13" i="27"/>
  <c r="W12" i="27"/>
  <c r="W11" i="27"/>
  <c r="W35" i="27"/>
  <c r="W34" i="27"/>
  <c r="W33" i="27"/>
  <c r="W32" i="27"/>
  <c r="W31" i="27"/>
  <c r="W30" i="27"/>
  <c r="W29" i="27"/>
  <c r="W28" i="27"/>
  <c r="W27" i="27"/>
  <c r="W26" i="27"/>
  <c r="W25" i="27"/>
  <c r="W24" i="27"/>
  <c r="W48" i="27"/>
  <c r="W47" i="27"/>
  <c r="W46" i="27"/>
  <c r="W45" i="27"/>
  <c r="W44" i="27"/>
  <c r="W43" i="27"/>
  <c r="W42" i="27"/>
  <c r="W41" i="27"/>
  <c r="W40" i="27"/>
  <c r="W39" i="27"/>
  <c r="W38" i="27"/>
  <c r="W37" i="27"/>
  <c r="W61" i="27"/>
  <c r="W60" i="27"/>
  <c r="W59" i="27"/>
  <c r="W58" i="27"/>
  <c r="W57" i="27"/>
  <c r="W56" i="27"/>
  <c r="W55" i="27"/>
  <c r="W54" i="27"/>
  <c r="W53" i="27"/>
  <c r="W52" i="27"/>
  <c r="W51" i="27"/>
  <c r="W50" i="27"/>
  <c r="W22" i="25"/>
  <c r="W21" i="25"/>
  <c r="W20" i="25"/>
  <c r="W19" i="25"/>
  <c r="W18" i="25"/>
  <c r="W17" i="25"/>
  <c r="W16" i="25"/>
  <c r="W15" i="25"/>
  <c r="W14" i="25"/>
  <c r="W13" i="25"/>
  <c r="W12" i="25"/>
  <c r="W11" i="25"/>
  <c r="W35" i="25"/>
  <c r="W34" i="25"/>
  <c r="W33" i="25"/>
  <c r="W32" i="25"/>
  <c r="W31" i="25"/>
  <c r="W30" i="25"/>
  <c r="W29" i="25"/>
  <c r="W28" i="25"/>
  <c r="W27" i="25"/>
  <c r="W26" i="25"/>
  <c r="W25" i="25"/>
  <c r="W24" i="25"/>
  <c r="W48" i="25"/>
  <c r="W47" i="25"/>
  <c r="W46" i="25"/>
  <c r="W45" i="25"/>
  <c r="W44" i="25"/>
  <c r="W43" i="25"/>
  <c r="W42" i="25"/>
  <c r="W41" i="25"/>
  <c r="W40" i="25"/>
  <c r="W39" i="25"/>
  <c r="W38" i="25"/>
  <c r="W37" i="25"/>
  <c r="W61" i="25"/>
  <c r="W60" i="25"/>
  <c r="W59" i="25"/>
  <c r="W58" i="25"/>
  <c r="W57" i="25"/>
  <c r="W56" i="25"/>
  <c r="W55" i="25"/>
  <c r="W54" i="25"/>
  <c r="W53" i="25"/>
  <c r="W52" i="25"/>
  <c r="W51" i="25"/>
  <c r="W50" i="25"/>
  <c r="W22" i="23"/>
  <c r="W21" i="23"/>
  <c r="W20" i="23"/>
  <c r="W19" i="23"/>
  <c r="W18" i="23"/>
  <c r="W17" i="23"/>
  <c r="W16" i="23"/>
  <c r="W15" i="23"/>
  <c r="W14" i="23"/>
  <c r="W13" i="23"/>
  <c r="W12" i="23"/>
  <c r="W11" i="23"/>
  <c r="W35" i="23"/>
  <c r="W34" i="23"/>
  <c r="W33" i="23"/>
  <c r="W32" i="23"/>
  <c r="W31" i="23"/>
  <c r="W30" i="23"/>
  <c r="W29" i="23"/>
  <c r="W28" i="23"/>
  <c r="W27" i="23"/>
  <c r="W26" i="23"/>
  <c r="W25" i="23"/>
  <c r="W24" i="23"/>
  <c r="W48" i="23"/>
  <c r="W47" i="23"/>
  <c r="W46" i="23"/>
  <c r="W45" i="23"/>
  <c r="W44" i="23"/>
  <c r="W43" i="23"/>
  <c r="W42" i="23"/>
  <c r="W41" i="23"/>
  <c r="W40" i="23"/>
  <c r="W39" i="23"/>
  <c r="W38" i="23"/>
  <c r="W37" i="23"/>
  <c r="W61" i="23"/>
  <c r="W60" i="23"/>
  <c r="W59" i="23"/>
  <c r="W58" i="23"/>
  <c r="W57" i="23"/>
  <c r="W56" i="23"/>
  <c r="W55" i="23"/>
  <c r="W54" i="23"/>
  <c r="W53" i="23"/>
  <c r="W52" i="23"/>
  <c r="W51" i="23"/>
  <c r="W50" i="23"/>
  <c r="W22" i="21"/>
  <c r="W21" i="21"/>
  <c r="W20" i="21"/>
  <c r="W19" i="21"/>
  <c r="W18" i="21"/>
  <c r="W17" i="21"/>
  <c r="W16" i="21"/>
  <c r="W15" i="21"/>
  <c r="W14" i="21"/>
  <c r="W13" i="21"/>
  <c r="W12" i="21"/>
  <c r="W11" i="21"/>
  <c r="W35" i="21"/>
  <c r="W34" i="21"/>
  <c r="W33" i="21"/>
  <c r="W32" i="21"/>
  <c r="W31" i="21"/>
  <c r="W30" i="21"/>
  <c r="W29" i="21"/>
  <c r="W28" i="21"/>
  <c r="W27" i="21"/>
  <c r="W26" i="21"/>
  <c r="W25" i="21"/>
  <c r="W24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61" i="21"/>
  <c r="W60" i="21"/>
  <c r="W59" i="21"/>
  <c r="W58" i="21"/>
  <c r="W57" i="21"/>
  <c r="W56" i="21"/>
  <c r="W55" i="21"/>
  <c r="W54" i="21"/>
  <c r="W53" i="21"/>
  <c r="W52" i="21"/>
  <c r="W51" i="21"/>
  <c r="W50" i="21"/>
  <c r="W22" i="19"/>
  <c r="W21" i="19"/>
  <c r="W20" i="19"/>
  <c r="W19" i="19"/>
  <c r="W18" i="19"/>
  <c r="W17" i="19"/>
  <c r="W16" i="19"/>
  <c r="W15" i="19"/>
  <c r="W14" i="19"/>
  <c r="W13" i="19"/>
  <c r="W12" i="19"/>
  <c r="W11" i="19"/>
  <c r="W35" i="19"/>
  <c r="W34" i="19"/>
  <c r="W33" i="19"/>
  <c r="W32" i="19"/>
  <c r="W31" i="19"/>
  <c r="W30" i="19"/>
  <c r="W29" i="19"/>
  <c r="W28" i="19"/>
  <c r="W27" i="19"/>
  <c r="W26" i="19"/>
  <c r="W25" i="19"/>
  <c r="W24" i="19"/>
  <c r="W48" i="19"/>
  <c r="W47" i="19"/>
  <c r="W46" i="19"/>
  <c r="W45" i="19"/>
  <c r="W44" i="19"/>
  <c r="W43" i="19"/>
  <c r="W42" i="19"/>
  <c r="W41" i="19"/>
  <c r="W40" i="19"/>
  <c r="W39" i="19"/>
  <c r="W38" i="19"/>
  <c r="W37" i="19"/>
  <c r="W61" i="19"/>
  <c r="W60" i="19"/>
  <c r="W59" i="19"/>
  <c r="W58" i="19"/>
  <c r="W57" i="19"/>
  <c r="W56" i="19"/>
  <c r="W55" i="19"/>
  <c r="W54" i="19"/>
  <c r="W53" i="19"/>
  <c r="W52" i="19"/>
  <c r="W51" i="19"/>
  <c r="W50" i="19"/>
  <c r="W22" i="17"/>
  <c r="W21" i="17"/>
  <c r="W20" i="17"/>
  <c r="W19" i="17"/>
  <c r="W18" i="17"/>
  <c r="W17" i="17"/>
  <c r="W16" i="17"/>
  <c r="W15" i="17"/>
  <c r="W14" i="17"/>
  <c r="W13" i="17"/>
  <c r="W12" i="17"/>
  <c r="W11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22" i="15"/>
  <c r="W21" i="15"/>
  <c r="W20" i="15"/>
  <c r="W19" i="15"/>
  <c r="W18" i="15"/>
  <c r="W17" i="15"/>
  <c r="W16" i="15"/>
  <c r="W15" i="15"/>
  <c r="W14" i="15"/>
  <c r="W13" i="15"/>
  <c r="W12" i="15"/>
  <c r="W11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61" i="15"/>
  <c r="W60" i="15"/>
  <c r="W59" i="15"/>
  <c r="W58" i="15"/>
  <c r="W57" i="15"/>
  <c r="W56" i="15"/>
  <c r="W55" i="15"/>
  <c r="W54" i="15"/>
  <c r="W53" i="15"/>
  <c r="W52" i="15"/>
  <c r="W51" i="15"/>
  <c r="W50" i="15"/>
  <c r="W22" i="13"/>
  <c r="W21" i="13"/>
  <c r="W20" i="13"/>
  <c r="W19" i="13"/>
  <c r="W18" i="13"/>
  <c r="W17" i="13"/>
  <c r="W16" i="13"/>
  <c r="W15" i="13"/>
  <c r="W14" i="13"/>
  <c r="W13" i="13"/>
  <c r="W12" i="13"/>
  <c r="W11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22" i="11"/>
  <c r="W21" i="11"/>
  <c r="W20" i="11"/>
  <c r="W19" i="11"/>
  <c r="W18" i="11"/>
  <c r="W17" i="11"/>
  <c r="W16" i="11"/>
  <c r="W15" i="11"/>
  <c r="W14" i="11"/>
  <c r="W13" i="11"/>
  <c r="W12" i="11"/>
  <c r="W11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61" i="11"/>
  <c r="W60" i="11"/>
  <c r="W59" i="11"/>
  <c r="W58" i="11"/>
  <c r="W57" i="11"/>
  <c r="W56" i="11"/>
  <c r="W55" i="11"/>
  <c r="W54" i="11"/>
  <c r="W53" i="11"/>
  <c r="W52" i="11"/>
  <c r="W51" i="11"/>
  <c r="W50" i="11"/>
  <c r="W22" i="9"/>
  <c r="W21" i="9"/>
  <c r="W20" i="9"/>
  <c r="W19" i="9"/>
  <c r="W18" i="9"/>
  <c r="W17" i="9"/>
  <c r="W16" i="9"/>
  <c r="W15" i="9"/>
  <c r="W14" i="9"/>
  <c r="W13" i="9"/>
  <c r="W12" i="9"/>
  <c r="W11" i="9"/>
  <c r="W35" i="9"/>
  <c r="W34" i="9"/>
  <c r="W33" i="9"/>
  <c r="W32" i="9"/>
  <c r="W31" i="9"/>
  <c r="W30" i="9"/>
  <c r="W29" i="9"/>
  <c r="W28" i="9"/>
  <c r="W27" i="9"/>
  <c r="W26" i="9"/>
  <c r="W25" i="9"/>
  <c r="W24" i="9"/>
  <c r="W48" i="9"/>
  <c r="W47" i="9"/>
  <c r="W46" i="9"/>
  <c r="W45" i="9"/>
  <c r="W44" i="9"/>
  <c r="W43" i="9"/>
  <c r="W42" i="9"/>
  <c r="W41" i="9"/>
  <c r="W40" i="9"/>
  <c r="W39" i="9"/>
  <c r="W38" i="9"/>
  <c r="W37" i="9"/>
  <c r="W61" i="9"/>
  <c r="W60" i="9"/>
  <c r="W59" i="9"/>
  <c r="W58" i="9"/>
  <c r="W57" i="9"/>
  <c r="W56" i="9"/>
  <c r="W55" i="9"/>
  <c r="W54" i="9"/>
  <c r="W53" i="9"/>
  <c r="W52" i="9"/>
  <c r="W51" i="9"/>
  <c r="W50" i="9"/>
  <c r="W22" i="7"/>
  <c r="W21" i="7"/>
  <c r="W20" i="7"/>
  <c r="W19" i="7"/>
  <c r="W18" i="7"/>
  <c r="W17" i="7"/>
  <c r="W16" i="7"/>
  <c r="W15" i="7"/>
  <c r="W14" i="7"/>
  <c r="W13" i="7"/>
  <c r="W12" i="7"/>
  <c r="W11" i="7"/>
  <c r="W35" i="7"/>
  <c r="W34" i="7"/>
  <c r="W33" i="7"/>
  <c r="W32" i="7"/>
  <c r="W31" i="7"/>
  <c r="W30" i="7"/>
  <c r="W29" i="7"/>
  <c r="W28" i="7"/>
  <c r="W27" i="7"/>
  <c r="W26" i="7"/>
  <c r="W25" i="7"/>
  <c r="W24" i="7"/>
  <c r="W48" i="7"/>
  <c r="W47" i="7"/>
  <c r="W46" i="7"/>
  <c r="W45" i="7"/>
  <c r="W44" i="7"/>
  <c r="W43" i="7"/>
  <c r="W42" i="7"/>
  <c r="W41" i="7"/>
  <c r="W40" i="7"/>
  <c r="W39" i="7"/>
  <c r="W38" i="7"/>
  <c r="W37" i="7"/>
  <c r="W61" i="7"/>
  <c r="W60" i="7"/>
  <c r="W59" i="7"/>
  <c r="W58" i="7"/>
  <c r="W57" i="7"/>
  <c r="W56" i="7"/>
  <c r="W55" i="7"/>
  <c r="W54" i="7"/>
  <c r="W53" i="7"/>
  <c r="W52" i="7"/>
  <c r="W51" i="7"/>
  <c r="W50" i="7"/>
  <c r="X50" i="7" l="1"/>
  <c r="A50" i="7"/>
  <c r="X51" i="7"/>
  <c r="A51" i="7"/>
  <c r="X52" i="7"/>
  <c r="A52" i="7"/>
  <c r="X53" i="7"/>
  <c r="A53" i="7"/>
  <c r="X54" i="7"/>
  <c r="A54" i="7"/>
  <c r="X55" i="7"/>
  <c r="A55" i="7"/>
  <c r="X56" i="7"/>
  <c r="A56" i="7"/>
  <c r="X57" i="7"/>
  <c r="A57" i="7"/>
  <c r="X58" i="7"/>
  <c r="A58" i="7"/>
  <c r="X59" i="7"/>
  <c r="A59" i="7"/>
  <c r="X60" i="7"/>
  <c r="A60" i="7"/>
  <c r="X61" i="7"/>
  <c r="A61" i="7"/>
  <c r="X37" i="7"/>
  <c r="A37" i="7"/>
  <c r="X38" i="7"/>
  <c r="A38" i="7"/>
  <c r="X39" i="7"/>
  <c r="A39" i="7"/>
  <c r="X40" i="7"/>
  <c r="A40" i="7"/>
  <c r="X41" i="7"/>
  <c r="A41" i="7"/>
  <c r="X42" i="7"/>
  <c r="A42" i="7"/>
  <c r="X43" i="7"/>
  <c r="A43" i="7"/>
  <c r="X44" i="7"/>
  <c r="A44" i="7"/>
  <c r="X45" i="7"/>
  <c r="A45" i="7"/>
  <c r="X46" i="7"/>
  <c r="A46" i="7"/>
  <c r="X47" i="7"/>
  <c r="A47" i="7"/>
  <c r="X48" i="7"/>
  <c r="A48" i="7"/>
  <c r="X24" i="7"/>
  <c r="A24" i="7"/>
  <c r="X25" i="7"/>
  <c r="A25" i="7"/>
  <c r="X26" i="7"/>
  <c r="A26" i="7"/>
  <c r="X27" i="7"/>
  <c r="A27" i="7"/>
  <c r="X28" i="7"/>
  <c r="A28" i="7"/>
  <c r="X29" i="7"/>
  <c r="A29" i="7"/>
  <c r="X30" i="7"/>
  <c r="A30" i="7"/>
  <c r="X31" i="7"/>
  <c r="A31" i="7"/>
  <c r="X32" i="7"/>
  <c r="A32" i="7"/>
  <c r="X33" i="7"/>
  <c r="A33" i="7"/>
  <c r="X34" i="7"/>
  <c r="A34" i="7"/>
  <c r="X35" i="7"/>
  <c r="A35" i="7"/>
  <c r="X11" i="7"/>
  <c r="A11" i="7"/>
  <c r="X12" i="7"/>
  <c r="A12" i="7"/>
  <c r="X13" i="7"/>
  <c r="A13" i="7"/>
  <c r="X14" i="7"/>
  <c r="A14" i="7"/>
  <c r="X15" i="7"/>
  <c r="A15" i="7"/>
  <c r="X16" i="7"/>
  <c r="A16" i="7"/>
  <c r="X17" i="7"/>
  <c r="A17" i="7"/>
  <c r="X18" i="7"/>
  <c r="A18" i="7"/>
  <c r="X19" i="7"/>
  <c r="A19" i="7"/>
  <c r="X20" i="7"/>
  <c r="A20" i="7"/>
  <c r="X21" i="7"/>
  <c r="A21" i="7"/>
  <c r="X22" i="7"/>
  <c r="A22" i="7"/>
  <c r="X50" i="9"/>
  <c r="A50" i="9"/>
  <c r="X51" i="9"/>
  <c r="A51" i="9"/>
  <c r="X52" i="9"/>
  <c r="A52" i="9"/>
  <c r="X53" i="9"/>
  <c r="A53" i="9"/>
  <c r="X54" i="9"/>
  <c r="A54" i="9"/>
  <c r="X55" i="9"/>
  <c r="A55" i="9"/>
  <c r="X56" i="9"/>
  <c r="A56" i="9"/>
  <c r="X57" i="9"/>
  <c r="A57" i="9"/>
  <c r="X58" i="9"/>
  <c r="A58" i="9"/>
  <c r="X59" i="9"/>
  <c r="A59" i="9"/>
  <c r="X60" i="9"/>
  <c r="A60" i="9"/>
  <c r="X61" i="9"/>
  <c r="A61" i="9"/>
  <c r="X37" i="9"/>
  <c r="A37" i="9"/>
  <c r="X38" i="9"/>
  <c r="A38" i="9"/>
  <c r="X39" i="9"/>
  <c r="A39" i="9"/>
  <c r="X40" i="9"/>
  <c r="A40" i="9"/>
  <c r="X41" i="9"/>
  <c r="A41" i="9"/>
  <c r="X42" i="9"/>
  <c r="A42" i="9"/>
  <c r="X43" i="9"/>
  <c r="A43" i="9"/>
  <c r="X44" i="9"/>
  <c r="A44" i="9"/>
  <c r="X45" i="9"/>
  <c r="A45" i="9"/>
  <c r="X46" i="9"/>
  <c r="A46" i="9"/>
  <c r="X47" i="9"/>
  <c r="A47" i="9"/>
  <c r="X48" i="9"/>
  <c r="A48" i="9"/>
  <c r="X24" i="9"/>
  <c r="A24" i="9"/>
  <c r="X25" i="9"/>
  <c r="A25" i="9"/>
  <c r="X26" i="9"/>
  <c r="A26" i="9"/>
  <c r="X27" i="9"/>
  <c r="A27" i="9"/>
  <c r="X28" i="9"/>
  <c r="A28" i="9"/>
  <c r="X29" i="9"/>
  <c r="A29" i="9"/>
  <c r="X30" i="9"/>
  <c r="A30" i="9"/>
  <c r="X31" i="9"/>
  <c r="A31" i="9"/>
  <c r="X32" i="9"/>
  <c r="A32" i="9"/>
  <c r="X33" i="9"/>
  <c r="A33" i="9"/>
  <c r="X34" i="9"/>
  <c r="A34" i="9"/>
  <c r="X35" i="9"/>
  <c r="A35" i="9"/>
  <c r="X11" i="9"/>
  <c r="A11" i="9"/>
  <c r="X12" i="9"/>
  <c r="A12" i="9"/>
  <c r="X13" i="9"/>
  <c r="A13" i="9"/>
  <c r="X14" i="9"/>
  <c r="A14" i="9"/>
  <c r="X15" i="9"/>
  <c r="A15" i="9"/>
  <c r="X16" i="9"/>
  <c r="A16" i="9"/>
  <c r="X17" i="9"/>
  <c r="A17" i="9"/>
  <c r="X18" i="9"/>
  <c r="A18" i="9"/>
  <c r="X19" i="9"/>
  <c r="A19" i="9"/>
  <c r="X20" i="9"/>
  <c r="A20" i="9"/>
  <c r="X21" i="9"/>
  <c r="A21" i="9"/>
  <c r="X22" i="9"/>
  <c r="A22" i="9"/>
  <c r="X50" i="11"/>
  <c r="A50" i="11"/>
  <c r="X51" i="11"/>
  <c r="A51" i="11"/>
  <c r="X52" i="11"/>
  <c r="A52" i="11"/>
  <c r="X53" i="11"/>
  <c r="A53" i="11"/>
  <c r="X54" i="11"/>
  <c r="A54" i="11"/>
  <c r="X55" i="11"/>
  <c r="A55" i="11"/>
  <c r="X56" i="11"/>
  <c r="A56" i="11"/>
  <c r="X57" i="11"/>
  <c r="A57" i="11"/>
  <c r="X58" i="11"/>
  <c r="A58" i="11"/>
  <c r="X59" i="11"/>
  <c r="A59" i="11"/>
  <c r="X60" i="11"/>
  <c r="A60" i="11"/>
  <c r="X61" i="11"/>
  <c r="A61" i="11"/>
  <c r="X37" i="11"/>
  <c r="A37" i="11"/>
  <c r="X38" i="11"/>
  <c r="A38" i="11"/>
  <c r="X39" i="11"/>
  <c r="A39" i="11"/>
  <c r="X40" i="11"/>
  <c r="A40" i="11"/>
  <c r="X41" i="11"/>
  <c r="A41" i="11"/>
  <c r="X42" i="11"/>
  <c r="A42" i="11"/>
  <c r="X43" i="11"/>
  <c r="A43" i="11"/>
  <c r="X44" i="11"/>
  <c r="A44" i="11"/>
  <c r="X45" i="11"/>
  <c r="A45" i="11"/>
  <c r="X46" i="11"/>
  <c r="A46" i="11"/>
  <c r="X47" i="11"/>
  <c r="A47" i="11"/>
  <c r="X48" i="11"/>
  <c r="A48" i="11"/>
  <c r="X24" i="11"/>
  <c r="A24" i="11"/>
  <c r="X25" i="11"/>
  <c r="A25" i="11"/>
  <c r="X26" i="11"/>
  <c r="A26" i="11"/>
  <c r="X27" i="11"/>
  <c r="A27" i="11"/>
  <c r="X28" i="11"/>
  <c r="A28" i="11"/>
  <c r="X29" i="11"/>
  <c r="A29" i="11"/>
  <c r="X30" i="11"/>
  <c r="A30" i="11"/>
  <c r="X31" i="11"/>
  <c r="A31" i="11"/>
  <c r="X32" i="11"/>
  <c r="A32" i="11"/>
  <c r="X33" i="11"/>
  <c r="A33" i="11"/>
  <c r="X34" i="11"/>
  <c r="A34" i="11"/>
  <c r="X35" i="11"/>
  <c r="A35" i="11"/>
  <c r="X11" i="11"/>
  <c r="A11" i="11"/>
  <c r="X12" i="11"/>
  <c r="A12" i="11"/>
  <c r="X13" i="11"/>
  <c r="A13" i="11"/>
  <c r="X14" i="11"/>
  <c r="A14" i="11"/>
  <c r="X15" i="11"/>
  <c r="A15" i="11"/>
  <c r="X16" i="11"/>
  <c r="A16" i="11"/>
  <c r="X17" i="11"/>
  <c r="A17" i="11"/>
  <c r="X18" i="11"/>
  <c r="A18" i="11"/>
  <c r="X19" i="11"/>
  <c r="A19" i="11"/>
  <c r="X20" i="11"/>
  <c r="A20" i="11"/>
  <c r="X21" i="11"/>
  <c r="A21" i="11"/>
  <c r="X22" i="11"/>
  <c r="A22" i="11"/>
  <c r="X50" i="13"/>
  <c r="A50" i="13"/>
  <c r="X51" i="13"/>
  <c r="A51" i="13"/>
  <c r="X52" i="13"/>
  <c r="A52" i="13"/>
  <c r="X53" i="13"/>
  <c r="A53" i="13"/>
  <c r="X54" i="13"/>
  <c r="A54" i="13"/>
  <c r="X55" i="13"/>
  <c r="A55" i="13"/>
  <c r="X56" i="13"/>
  <c r="A56" i="13"/>
  <c r="X57" i="13"/>
  <c r="A57" i="13"/>
  <c r="X58" i="13"/>
  <c r="A58" i="13"/>
  <c r="X59" i="13"/>
  <c r="A59" i="13"/>
  <c r="X60" i="13"/>
  <c r="A60" i="13"/>
  <c r="X61" i="13"/>
  <c r="A61" i="13"/>
  <c r="X37" i="13"/>
  <c r="A37" i="13"/>
  <c r="X38" i="13"/>
  <c r="A38" i="13"/>
  <c r="X39" i="13"/>
  <c r="A39" i="13"/>
  <c r="X40" i="13"/>
  <c r="A40" i="13"/>
  <c r="X41" i="13"/>
  <c r="A41" i="13"/>
  <c r="X42" i="13"/>
  <c r="A42" i="13"/>
  <c r="X43" i="13"/>
  <c r="A43" i="13"/>
  <c r="X44" i="13"/>
  <c r="A44" i="13"/>
  <c r="X45" i="13"/>
  <c r="A45" i="13"/>
  <c r="X46" i="13"/>
  <c r="A46" i="13"/>
  <c r="X47" i="13"/>
  <c r="A47" i="13"/>
  <c r="X48" i="13"/>
  <c r="A48" i="13"/>
  <c r="X24" i="13"/>
  <c r="A24" i="13"/>
  <c r="X25" i="13"/>
  <c r="A25" i="13"/>
  <c r="X26" i="13"/>
  <c r="A26" i="13"/>
  <c r="X27" i="13"/>
  <c r="A27" i="13"/>
  <c r="X28" i="13"/>
  <c r="A28" i="13"/>
  <c r="X29" i="13"/>
  <c r="A29" i="13"/>
  <c r="X30" i="13"/>
  <c r="A30" i="13"/>
  <c r="X31" i="13"/>
  <c r="A31" i="13"/>
  <c r="X32" i="13"/>
  <c r="A32" i="13"/>
  <c r="X33" i="13"/>
  <c r="A33" i="13"/>
  <c r="X34" i="13"/>
  <c r="A34" i="13"/>
  <c r="X35" i="13"/>
  <c r="A35" i="13"/>
  <c r="X11" i="13"/>
  <c r="A11" i="13"/>
  <c r="X12" i="13"/>
  <c r="A12" i="13"/>
  <c r="X13" i="13"/>
  <c r="A13" i="13"/>
  <c r="X14" i="13"/>
  <c r="A14" i="13"/>
  <c r="X15" i="13"/>
  <c r="A15" i="13"/>
  <c r="X16" i="13"/>
  <c r="A16" i="13"/>
  <c r="X17" i="13"/>
  <c r="A17" i="13"/>
  <c r="X18" i="13"/>
  <c r="A18" i="13"/>
  <c r="X19" i="13"/>
  <c r="A19" i="13"/>
  <c r="X20" i="13"/>
  <c r="A20" i="13"/>
  <c r="X21" i="13"/>
  <c r="A21" i="13"/>
  <c r="X22" i="13"/>
  <c r="A22" i="13"/>
  <c r="X50" i="15"/>
  <c r="A50" i="15"/>
  <c r="X51" i="15"/>
  <c r="A51" i="15"/>
  <c r="X52" i="15"/>
  <c r="A52" i="15"/>
  <c r="X53" i="15"/>
  <c r="A53" i="15"/>
  <c r="X54" i="15"/>
  <c r="A54" i="15"/>
  <c r="X55" i="15"/>
  <c r="A55" i="15"/>
  <c r="X56" i="15"/>
  <c r="A56" i="15"/>
  <c r="X57" i="15"/>
  <c r="A57" i="15"/>
  <c r="X58" i="15"/>
  <c r="A58" i="15"/>
  <c r="X59" i="15"/>
  <c r="A59" i="15"/>
  <c r="X60" i="15"/>
  <c r="A60" i="15"/>
  <c r="X61" i="15"/>
  <c r="A61" i="15"/>
  <c r="X37" i="15"/>
  <c r="A37" i="15"/>
  <c r="X38" i="15"/>
  <c r="A38" i="15"/>
  <c r="X39" i="15"/>
  <c r="A39" i="15"/>
  <c r="X40" i="15"/>
  <c r="A40" i="15"/>
  <c r="X41" i="15"/>
  <c r="A41" i="15"/>
  <c r="X42" i="15"/>
  <c r="A42" i="15"/>
  <c r="X43" i="15"/>
  <c r="A43" i="15"/>
  <c r="X44" i="15"/>
  <c r="A44" i="15"/>
  <c r="X45" i="15"/>
  <c r="A45" i="15"/>
  <c r="X46" i="15"/>
  <c r="A46" i="15"/>
  <c r="X47" i="15"/>
  <c r="A47" i="15"/>
  <c r="X48" i="15"/>
  <c r="A48" i="15"/>
  <c r="X24" i="15"/>
  <c r="A24" i="15"/>
  <c r="X25" i="15"/>
  <c r="A25" i="15"/>
  <c r="X26" i="15"/>
  <c r="A26" i="15"/>
  <c r="X27" i="15"/>
  <c r="A27" i="15"/>
  <c r="X28" i="15"/>
  <c r="A28" i="15"/>
  <c r="X29" i="15"/>
  <c r="A29" i="15"/>
  <c r="X30" i="15"/>
  <c r="A30" i="15"/>
  <c r="X31" i="15"/>
  <c r="A31" i="15"/>
  <c r="X32" i="15"/>
  <c r="A32" i="15"/>
  <c r="X33" i="15"/>
  <c r="A33" i="15"/>
  <c r="X34" i="15"/>
  <c r="A34" i="15"/>
  <c r="X35" i="15"/>
  <c r="A35" i="15"/>
  <c r="X11" i="15"/>
  <c r="A11" i="15"/>
  <c r="X12" i="15"/>
  <c r="A12" i="15"/>
  <c r="X13" i="15"/>
  <c r="A13" i="15"/>
  <c r="X14" i="15"/>
  <c r="A14" i="15"/>
  <c r="X15" i="15"/>
  <c r="A15" i="15"/>
  <c r="X16" i="15"/>
  <c r="A16" i="15"/>
  <c r="X17" i="15"/>
  <c r="A17" i="15"/>
  <c r="X18" i="15"/>
  <c r="A18" i="15"/>
  <c r="X19" i="15"/>
  <c r="A19" i="15"/>
  <c r="X20" i="15"/>
  <c r="A20" i="15"/>
  <c r="X21" i="15"/>
  <c r="A21" i="15"/>
  <c r="X22" i="15"/>
  <c r="A22" i="15"/>
  <c r="X50" i="17"/>
  <c r="A50" i="17"/>
  <c r="X51" i="17"/>
  <c r="A51" i="17"/>
  <c r="X52" i="17"/>
  <c r="A52" i="17"/>
  <c r="X53" i="17"/>
  <c r="A53" i="17"/>
  <c r="X54" i="17"/>
  <c r="A54" i="17"/>
  <c r="X55" i="17"/>
  <c r="A55" i="17"/>
  <c r="X56" i="17"/>
  <c r="A56" i="17"/>
  <c r="X57" i="17"/>
  <c r="A57" i="17"/>
  <c r="X58" i="17"/>
  <c r="A58" i="17"/>
  <c r="X59" i="17"/>
  <c r="A59" i="17"/>
  <c r="X60" i="17"/>
  <c r="A60" i="17"/>
  <c r="X61" i="17"/>
  <c r="A61" i="17"/>
  <c r="X37" i="17"/>
  <c r="A37" i="17"/>
  <c r="X38" i="17"/>
  <c r="A38" i="17"/>
  <c r="X39" i="17"/>
  <c r="A39" i="17"/>
  <c r="X40" i="17"/>
  <c r="A40" i="17"/>
  <c r="X41" i="17"/>
  <c r="A41" i="17"/>
  <c r="X42" i="17"/>
  <c r="A42" i="17"/>
  <c r="X43" i="17"/>
  <c r="A43" i="17"/>
  <c r="X44" i="17"/>
  <c r="A44" i="17"/>
  <c r="X45" i="17"/>
  <c r="A45" i="17"/>
  <c r="X46" i="17"/>
  <c r="A46" i="17"/>
  <c r="X47" i="17"/>
  <c r="A47" i="17"/>
  <c r="X48" i="17"/>
  <c r="A48" i="17"/>
  <c r="X24" i="17"/>
  <c r="A24" i="17"/>
  <c r="X25" i="17"/>
  <c r="A25" i="17"/>
  <c r="X26" i="17"/>
  <c r="A26" i="17"/>
  <c r="X27" i="17"/>
  <c r="A27" i="17"/>
  <c r="X28" i="17"/>
  <c r="A28" i="17"/>
  <c r="X29" i="17"/>
  <c r="A29" i="17"/>
  <c r="X30" i="17"/>
  <c r="A30" i="17"/>
  <c r="X31" i="17"/>
  <c r="A31" i="17"/>
  <c r="X32" i="17"/>
  <c r="A32" i="17"/>
  <c r="X33" i="17"/>
  <c r="A33" i="17"/>
  <c r="X34" i="17"/>
  <c r="A34" i="17"/>
  <c r="X35" i="17"/>
  <c r="A35" i="17"/>
  <c r="X11" i="17"/>
  <c r="A11" i="17"/>
  <c r="X12" i="17"/>
  <c r="A12" i="17"/>
  <c r="X13" i="17"/>
  <c r="A13" i="17"/>
  <c r="X14" i="17"/>
  <c r="A14" i="17"/>
  <c r="X15" i="17"/>
  <c r="A15" i="17"/>
  <c r="X16" i="17"/>
  <c r="A16" i="17"/>
  <c r="X17" i="17"/>
  <c r="A17" i="17"/>
  <c r="X18" i="17"/>
  <c r="A18" i="17"/>
  <c r="X19" i="17"/>
  <c r="A19" i="17"/>
  <c r="X20" i="17"/>
  <c r="A20" i="17"/>
  <c r="X21" i="17"/>
  <c r="A21" i="17"/>
  <c r="X22" i="17"/>
  <c r="A22" i="17"/>
  <c r="X50" i="19"/>
  <c r="A50" i="19"/>
  <c r="X51" i="19"/>
  <c r="A51" i="19"/>
  <c r="X52" i="19"/>
  <c r="A52" i="19"/>
  <c r="X53" i="19"/>
  <c r="A53" i="19"/>
  <c r="X54" i="19"/>
  <c r="A54" i="19"/>
  <c r="X55" i="19"/>
  <c r="A55" i="19"/>
  <c r="X56" i="19"/>
  <c r="A56" i="19"/>
  <c r="X57" i="19"/>
  <c r="A57" i="19"/>
  <c r="X58" i="19"/>
  <c r="A58" i="19"/>
  <c r="X59" i="19"/>
  <c r="A59" i="19"/>
  <c r="X60" i="19"/>
  <c r="A60" i="19"/>
  <c r="X61" i="19"/>
  <c r="A61" i="19"/>
  <c r="X37" i="19"/>
  <c r="A37" i="19"/>
  <c r="X38" i="19"/>
  <c r="A38" i="19"/>
  <c r="X39" i="19"/>
  <c r="A39" i="19"/>
  <c r="X40" i="19"/>
  <c r="A40" i="19"/>
  <c r="X41" i="19"/>
  <c r="A41" i="19"/>
  <c r="X42" i="19"/>
  <c r="A42" i="19"/>
  <c r="X43" i="19"/>
  <c r="A43" i="19"/>
  <c r="X44" i="19"/>
  <c r="A44" i="19"/>
  <c r="X45" i="19"/>
  <c r="A45" i="19"/>
  <c r="X46" i="19"/>
  <c r="A46" i="19"/>
  <c r="X47" i="19"/>
  <c r="A47" i="19"/>
  <c r="X48" i="19"/>
  <c r="A48" i="19"/>
  <c r="X24" i="19"/>
  <c r="A24" i="19"/>
  <c r="X25" i="19"/>
  <c r="A25" i="19"/>
  <c r="X26" i="19"/>
  <c r="A26" i="19"/>
  <c r="X27" i="19"/>
  <c r="A27" i="19"/>
  <c r="X28" i="19"/>
  <c r="A28" i="19"/>
  <c r="X29" i="19"/>
  <c r="A29" i="19"/>
  <c r="X30" i="19"/>
  <c r="A30" i="19"/>
  <c r="X31" i="19"/>
  <c r="A31" i="19"/>
  <c r="X32" i="19"/>
  <c r="A32" i="19"/>
  <c r="X33" i="19"/>
  <c r="A33" i="19"/>
  <c r="X34" i="19"/>
  <c r="A34" i="19"/>
  <c r="X35" i="19"/>
  <c r="A35" i="19"/>
  <c r="X11" i="19"/>
  <c r="A11" i="19"/>
  <c r="X12" i="19"/>
  <c r="A12" i="19"/>
  <c r="X13" i="19"/>
  <c r="A13" i="19"/>
  <c r="X14" i="19"/>
  <c r="A14" i="19"/>
  <c r="X15" i="19"/>
  <c r="A15" i="19"/>
  <c r="X16" i="19"/>
  <c r="A16" i="19"/>
  <c r="X17" i="19"/>
  <c r="A17" i="19"/>
  <c r="X18" i="19"/>
  <c r="A18" i="19"/>
  <c r="X19" i="19"/>
  <c r="A19" i="19"/>
  <c r="X20" i="19"/>
  <c r="A20" i="19"/>
  <c r="X21" i="19"/>
  <c r="A21" i="19"/>
  <c r="X22" i="19"/>
  <c r="A22" i="19"/>
  <c r="X50" i="21"/>
  <c r="A50" i="21"/>
  <c r="X51" i="21"/>
  <c r="A51" i="21"/>
  <c r="X52" i="21"/>
  <c r="A52" i="21"/>
  <c r="X53" i="21"/>
  <c r="A53" i="21"/>
  <c r="X54" i="21"/>
  <c r="A54" i="21"/>
  <c r="X55" i="21"/>
  <c r="A55" i="21"/>
  <c r="X56" i="21"/>
  <c r="A56" i="21"/>
  <c r="X57" i="21"/>
  <c r="A57" i="21"/>
  <c r="X58" i="21"/>
  <c r="A58" i="21"/>
  <c r="X59" i="21"/>
  <c r="A59" i="21"/>
  <c r="X60" i="21"/>
  <c r="A60" i="21"/>
  <c r="X61" i="21"/>
  <c r="A61" i="21"/>
  <c r="X37" i="21"/>
  <c r="A37" i="21"/>
  <c r="X38" i="21"/>
  <c r="A38" i="21"/>
  <c r="X39" i="21"/>
  <c r="A39" i="21"/>
  <c r="X40" i="21"/>
  <c r="A40" i="21"/>
  <c r="X41" i="21"/>
  <c r="A41" i="21"/>
  <c r="X42" i="21"/>
  <c r="A42" i="21"/>
  <c r="X43" i="21"/>
  <c r="A43" i="21"/>
  <c r="X44" i="21"/>
  <c r="A44" i="21"/>
  <c r="X45" i="21"/>
  <c r="A45" i="21"/>
  <c r="X46" i="21"/>
  <c r="A46" i="21"/>
  <c r="X47" i="21"/>
  <c r="A47" i="21"/>
  <c r="X48" i="21"/>
  <c r="A48" i="21"/>
  <c r="X24" i="21"/>
  <c r="A24" i="21"/>
  <c r="X25" i="21"/>
  <c r="A25" i="21"/>
  <c r="X26" i="21"/>
  <c r="A26" i="21"/>
  <c r="X27" i="21"/>
  <c r="A27" i="21"/>
  <c r="X28" i="21"/>
  <c r="A28" i="21"/>
  <c r="X29" i="21"/>
  <c r="A29" i="21"/>
  <c r="X30" i="21"/>
  <c r="A30" i="21"/>
  <c r="X31" i="21"/>
  <c r="A31" i="21"/>
  <c r="X32" i="21"/>
  <c r="A32" i="21"/>
  <c r="X33" i="21"/>
  <c r="A33" i="21"/>
  <c r="X34" i="21"/>
  <c r="A34" i="21"/>
  <c r="X35" i="21"/>
  <c r="A35" i="21"/>
  <c r="X11" i="21"/>
  <c r="A11" i="21"/>
  <c r="X12" i="21"/>
  <c r="A12" i="21"/>
  <c r="X13" i="21"/>
  <c r="A13" i="21"/>
  <c r="X14" i="21"/>
  <c r="A14" i="21"/>
  <c r="X15" i="21"/>
  <c r="A15" i="21"/>
  <c r="X16" i="21"/>
  <c r="A16" i="21"/>
  <c r="X17" i="21"/>
  <c r="A17" i="21"/>
  <c r="X18" i="21"/>
  <c r="A18" i="21"/>
  <c r="X19" i="21"/>
  <c r="A19" i="21"/>
  <c r="X20" i="21"/>
  <c r="A20" i="21"/>
  <c r="X21" i="21"/>
  <c r="A21" i="21"/>
  <c r="X22" i="21"/>
  <c r="A22" i="21"/>
  <c r="X50" i="23"/>
  <c r="A50" i="23"/>
  <c r="X51" i="23"/>
  <c r="A51" i="23"/>
  <c r="X52" i="23"/>
  <c r="A52" i="23"/>
  <c r="X53" i="23"/>
  <c r="A53" i="23"/>
  <c r="X54" i="23"/>
  <c r="A54" i="23"/>
  <c r="X55" i="23"/>
  <c r="A55" i="23"/>
  <c r="X56" i="23"/>
  <c r="A56" i="23"/>
  <c r="X57" i="23"/>
  <c r="A57" i="23"/>
  <c r="X58" i="23"/>
  <c r="A58" i="23"/>
  <c r="X59" i="23"/>
  <c r="A59" i="23"/>
  <c r="X60" i="23"/>
  <c r="A60" i="23"/>
  <c r="X61" i="23"/>
  <c r="A61" i="23"/>
  <c r="X37" i="23"/>
  <c r="A37" i="23"/>
  <c r="X38" i="23"/>
  <c r="A38" i="23"/>
  <c r="X39" i="23"/>
  <c r="A39" i="23"/>
  <c r="X40" i="23"/>
  <c r="A40" i="23"/>
  <c r="X41" i="23"/>
  <c r="A41" i="23"/>
  <c r="X42" i="23"/>
  <c r="A42" i="23"/>
  <c r="X43" i="23"/>
  <c r="A43" i="23"/>
  <c r="X44" i="23"/>
  <c r="A44" i="23"/>
  <c r="X45" i="23"/>
  <c r="A45" i="23"/>
  <c r="X46" i="23"/>
  <c r="A46" i="23"/>
  <c r="X47" i="23"/>
  <c r="A47" i="23"/>
  <c r="X48" i="23"/>
  <c r="A48" i="23"/>
  <c r="X24" i="23"/>
  <c r="A24" i="23"/>
  <c r="X25" i="23"/>
  <c r="A25" i="23"/>
  <c r="X26" i="23"/>
  <c r="A26" i="23"/>
  <c r="X27" i="23"/>
  <c r="A27" i="23"/>
  <c r="X28" i="23"/>
  <c r="A28" i="23"/>
  <c r="X29" i="23"/>
  <c r="A29" i="23"/>
  <c r="X30" i="23"/>
  <c r="A30" i="23"/>
  <c r="X31" i="23"/>
  <c r="A31" i="23"/>
  <c r="X32" i="23"/>
  <c r="A32" i="23"/>
  <c r="X33" i="23"/>
  <c r="A33" i="23"/>
  <c r="X34" i="23"/>
  <c r="A34" i="23"/>
  <c r="X35" i="23"/>
  <c r="A35" i="23"/>
  <c r="X11" i="23"/>
  <c r="A11" i="23"/>
  <c r="X12" i="23"/>
  <c r="A12" i="23"/>
  <c r="X13" i="23"/>
  <c r="A13" i="23"/>
  <c r="X14" i="23"/>
  <c r="A14" i="23"/>
  <c r="X15" i="23"/>
  <c r="A15" i="23"/>
  <c r="X16" i="23"/>
  <c r="A16" i="23"/>
  <c r="X17" i="23"/>
  <c r="A17" i="23"/>
  <c r="X18" i="23"/>
  <c r="A18" i="23"/>
  <c r="X19" i="23"/>
  <c r="A19" i="23"/>
  <c r="X20" i="23"/>
  <c r="A20" i="23"/>
  <c r="X21" i="23"/>
  <c r="A21" i="23"/>
  <c r="X22" i="23"/>
  <c r="A22" i="23"/>
  <c r="X50" i="25"/>
  <c r="A50" i="25"/>
  <c r="X51" i="25"/>
  <c r="A51" i="25"/>
  <c r="X52" i="25"/>
  <c r="A52" i="25"/>
  <c r="X53" i="25"/>
  <c r="A53" i="25"/>
  <c r="X54" i="25"/>
  <c r="A54" i="25"/>
  <c r="X55" i="25"/>
  <c r="A55" i="25"/>
  <c r="X56" i="25"/>
  <c r="A56" i="25"/>
  <c r="X57" i="25"/>
  <c r="A57" i="25"/>
  <c r="X58" i="25"/>
  <c r="A58" i="25"/>
  <c r="X59" i="25"/>
  <c r="A59" i="25"/>
  <c r="X60" i="25"/>
  <c r="A60" i="25"/>
  <c r="X61" i="25"/>
  <c r="A61" i="25"/>
  <c r="X37" i="25"/>
  <c r="A37" i="25"/>
  <c r="X38" i="25"/>
  <c r="A38" i="25"/>
  <c r="X39" i="25"/>
  <c r="A39" i="25"/>
  <c r="X40" i="25"/>
  <c r="A40" i="25"/>
  <c r="X41" i="25"/>
  <c r="A41" i="25"/>
  <c r="X42" i="25"/>
  <c r="A42" i="25"/>
  <c r="X43" i="25"/>
  <c r="A43" i="25"/>
  <c r="X44" i="25"/>
  <c r="A44" i="25"/>
  <c r="X45" i="25"/>
  <c r="A45" i="25"/>
  <c r="X46" i="25"/>
  <c r="A46" i="25"/>
  <c r="X47" i="25"/>
  <c r="A47" i="25"/>
  <c r="X48" i="25"/>
  <c r="A48" i="25"/>
  <c r="X24" i="25"/>
  <c r="A24" i="25"/>
  <c r="X25" i="25"/>
  <c r="A25" i="25"/>
  <c r="X26" i="25"/>
  <c r="A26" i="25"/>
  <c r="X27" i="25"/>
  <c r="A27" i="25"/>
  <c r="X28" i="25"/>
  <c r="A28" i="25"/>
  <c r="X29" i="25"/>
  <c r="A29" i="25"/>
  <c r="X30" i="25"/>
  <c r="A30" i="25"/>
  <c r="X31" i="25"/>
  <c r="A31" i="25"/>
  <c r="X32" i="25"/>
  <c r="A32" i="25"/>
  <c r="X33" i="25"/>
  <c r="A33" i="25"/>
  <c r="X34" i="25"/>
  <c r="A34" i="25"/>
  <c r="X35" i="25"/>
  <c r="A35" i="25"/>
  <c r="X11" i="25"/>
  <c r="A11" i="25"/>
  <c r="X12" i="25"/>
  <c r="A12" i="25"/>
  <c r="X13" i="25"/>
  <c r="A13" i="25"/>
  <c r="X14" i="25"/>
  <c r="A14" i="25"/>
  <c r="X15" i="25"/>
  <c r="A15" i="25"/>
  <c r="X16" i="25"/>
  <c r="A16" i="25"/>
  <c r="X17" i="25"/>
  <c r="A17" i="25"/>
  <c r="X18" i="25"/>
  <c r="A18" i="25"/>
  <c r="X19" i="25"/>
  <c r="A19" i="25"/>
  <c r="X20" i="25"/>
  <c r="A20" i="25"/>
  <c r="X21" i="25"/>
  <c r="A21" i="25"/>
  <c r="X22" i="25"/>
  <c r="A22" i="25"/>
  <c r="X50" i="27"/>
  <c r="A50" i="27"/>
  <c r="X51" i="27"/>
  <c r="A51" i="27"/>
  <c r="X52" i="27"/>
  <c r="A52" i="27"/>
  <c r="X53" i="27"/>
  <c r="A53" i="27"/>
  <c r="X54" i="27"/>
  <c r="A54" i="27"/>
  <c r="X55" i="27"/>
  <c r="A55" i="27"/>
  <c r="X56" i="27"/>
  <c r="A56" i="27"/>
  <c r="X57" i="27"/>
  <c r="A57" i="27"/>
  <c r="X58" i="27"/>
  <c r="A58" i="27"/>
  <c r="X59" i="27"/>
  <c r="A59" i="27"/>
  <c r="X60" i="27"/>
  <c r="A60" i="27"/>
  <c r="X61" i="27"/>
  <c r="A61" i="27"/>
  <c r="X37" i="27"/>
  <c r="A37" i="27"/>
  <c r="X38" i="27"/>
  <c r="A38" i="27"/>
  <c r="X39" i="27"/>
  <c r="A39" i="27"/>
  <c r="X40" i="27"/>
  <c r="A40" i="27"/>
  <c r="X41" i="27"/>
  <c r="A41" i="27"/>
  <c r="X42" i="27"/>
  <c r="A42" i="27"/>
  <c r="X43" i="27"/>
  <c r="A43" i="27"/>
  <c r="X44" i="27"/>
  <c r="A44" i="27"/>
  <c r="X45" i="27"/>
  <c r="A45" i="27"/>
  <c r="X46" i="27"/>
  <c r="A46" i="27"/>
  <c r="X47" i="27"/>
  <c r="A47" i="27"/>
  <c r="X48" i="27"/>
  <c r="A48" i="27"/>
  <c r="X24" i="27"/>
  <c r="A24" i="27"/>
  <c r="X25" i="27"/>
  <c r="A25" i="27"/>
  <c r="X26" i="27"/>
  <c r="A26" i="27"/>
  <c r="X27" i="27"/>
  <c r="A27" i="27"/>
  <c r="X28" i="27"/>
  <c r="A28" i="27"/>
  <c r="X29" i="27"/>
  <c r="A29" i="27"/>
  <c r="X30" i="27"/>
  <c r="A30" i="27"/>
  <c r="X31" i="27"/>
  <c r="A31" i="27"/>
  <c r="X32" i="27"/>
  <c r="A32" i="27"/>
  <c r="X33" i="27"/>
  <c r="A33" i="27"/>
  <c r="X34" i="27"/>
  <c r="A34" i="27"/>
  <c r="X35" i="27"/>
  <c r="A35" i="27"/>
  <c r="X11" i="27"/>
  <c r="A11" i="27"/>
  <c r="X12" i="27"/>
  <c r="A12" i="27"/>
  <c r="X13" i="27"/>
  <c r="A13" i="27"/>
  <c r="X14" i="27"/>
  <c r="A14" i="27"/>
  <c r="X15" i="27"/>
  <c r="A15" i="27"/>
  <c r="X16" i="27"/>
  <c r="A16" i="27"/>
  <c r="X17" i="27"/>
  <c r="A17" i="27"/>
  <c r="X18" i="27"/>
  <c r="A18" i="27"/>
  <c r="X19" i="27"/>
  <c r="A19" i="27"/>
  <c r="X20" i="27"/>
  <c r="A20" i="27"/>
  <c r="X21" i="27"/>
  <c r="A21" i="27"/>
  <c r="X22" i="27"/>
  <c r="A22" i="27"/>
  <c r="X50" i="29"/>
  <c r="A50" i="29"/>
  <c r="X51" i="29"/>
  <c r="A51" i="29"/>
  <c r="X52" i="29"/>
  <c r="A52" i="29"/>
  <c r="X53" i="29"/>
  <c r="A53" i="29"/>
  <c r="X54" i="29"/>
  <c r="A54" i="29"/>
  <c r="X55" i="29"/>
  <c r="A55" i="29"/>
  <c r="X56" i="29"/>
  <c r="A56" i="29"/>
  <c r="X57" i="29"/>
  <c r="A57" i="29"/>
  <c r="X58" i="29"/>
  <c r="A58" i="29"/>
  <c r="X59" i="29"/>
  <c r="A59" i="29"/>
  <c r="X60" i="29"/>
  <c r="A60" i="29"/>
  <c r="X61" i="29"/>
  <c r="A61" i="29"/>
  <c r="X37" i="29"/>
  <c r="A37" i="29"/>
  <c r="X38" i="29"/>
  <c r="A38" i="29"/>
  <c r="X39" i="29"/>
  <c r="A39" i="29"/>
  <c r="X40" i="29"/>
  <c r="A40" i="29"/>
  <c r="X41" i="29"/>
  <c r="A41" i="29"/>
  <c r="X42" i="29"/>
  <c r="A42" i="29"/>
  <c r="X43" i="29"/>
  <c r="A43" i="29"/>
  <c r="X44" i="29"/>
  <c r="A44" i="29"/>
  <c r="X45" i="29"/>
  <c r="A45" i="29"/>
  <c r="X46" i="29"/>
  <c r="A46" i="29"/>
  <c r="X47" i="29"/>
  <c r="A47" i="29"/>
  <c r="X48" i="29"/>
  <c r="A48" i="29"/>
  <c r="X24" i="29"/>
  <c r="A24" i="29"/>
  <c r="X25" i="29"/>
  <c r="A25" i="29"/>
  <c r="X26" i="29"/>
  <c r="A26" i="29"/>
  <c r="X27" i="29"/>
  <c r="A27" i="29"/>
  <c r="X28" i="29"/>
  <c r="A28" i="29"/>
  <c r="X29" i="29"/>
  <c r="A29" i="29"/>
  <c r="X30" i="29"/>
  <c r="A30" i="29"/>
  <c r="X31" i="29"/>
  <c r="A31" i="29"/>
  <c r="X32" i="29"/>
  <c r="A32" i="29"/>
  <c r="X33" i="29"/>
  <c r="A33" i="29"/>
  <c r="X34" i="29"/>
  <c r="A34" i="29"/>
  <c r="X35" i="29"/>
  <c r="A35" i="29"/>
  <c r="X11" i="29"/>
  <c r="A11" i="29"/>
  <c r="X12" i="29"/>
  <c r="A12" i="29"/>
  <c r="X13" i="29"/>
  <c r="A13" i="29"/>
  <c r="X14" i="29"/>
  <c r="A14" i="29"/>
  <c r="X15" i="29"/>
  <c r="A15" i="29"/>
  <c r="X16" i="29"/>
  <c r="A16" i="29"/>
  <c r="X17" i="29"/>
  <c r="A17" i="29"/>
  <c r="X18" i="29"/>
  <c r="A18" i="29"/>
  <c r="X19" i="29"/>
  <c r="A19" i="29"/>
  <c r="X20" i="29"/>
  <c r="A20" i="29"/>
  <c r="X21" i="29"/>
  <c r="A21" i="29"/>
  <c r="X22" i="29"/>
  <c r="A22" i="29"/>
  <c r="X50" i="31"/>
  <c r="A50" i="31"/>
  <c r="X51" i="31"/>
  <c r="A51" i="31"/>
  <c r="X52" i="31"/>
  <c r="A52" i="31"/>
  <c r="X53" i="31"/>
  <c r="A53" i="31"/>
  <c r="X54" i="31"/>
  <c r="A54" i="31"/>
  <c r="X55" i="31"/>
  <c r="A55" i="31"/>
  <c r="X56" i="31"/>
  <c r="A56" i="31"/>
  <c r="X57" i="31"/>
  <c r="A57" i="31"/>
  <c r="X58" i="31"/>
  <c r="A58" i="31"/>
  <c r="X59" i="31"/>
  <c r="A59" i="31"/>
  <c r="X60" i="31"/>
  <c r="A60" i="31"/>
  <c r="X61" i="31"/>
  <c r="A61" i="31"/>
  <c r="X37" i="31"/>
  <c r="A37" i="31"/>
  <c r="X38" i="31"/>
  <c r="A38" i="31"/>
  <c r="X39" i="31"/>
  <c r="A39" i="31"/>
  <c r="X40" i="31"/>
  <c r="A40" i="31"/>
  <c r="X41" i="31"/>
  <c r="A41" i="31"/>
  <c r="X42" i="31"/>
  <c r="A42" i="31"/>
  <c r="X43" i="31"/>
  <c r="A43" i="31"/>
  <c r="X44" i="31"/>
  <c r="A44" i="31"/>
  <c r="X45" i="31"/>
  <c r="A45" i="31"/>
  <c r="X46" i="31"/>
  <c r="A46" i="31"/>
  <c r="X47" i="31"/>
  <c r="A47" i="31"/>
  <c r="X48" i="31"/>
  <c r="A48" i="31"/>
  <c r="X24" i="31"/>
  <c r="A24" i="31"/>
  <c r="X25" i="31"/>
  <c r="A25" i="31"/>
  <c r="X26" i="31"/>
  <c r="A26" i="31"/>
  <c r="X27" i="31"/>
  <c r="A27" i="31"/>
  <c r="X28" i="31"/>
  <c r="A28" i="31"/>
  <c r="X29" i="31"/>
  <c r="A29" i="31"/>
  <c r="X30" i="31"/>
  <c r="A30" i="31"/>
  <c r="X31" i="31"/>
  <c r="A31" i="31"/>
  <c r="X32" i="31"/>
  <c r="A32" i="31"/>
  <c r="X33" i="31"/>
  <c r="A33" i="31"/>
  <c r="X34" i="31"/>
  <c r="A34" i="31"/>
  <c r="X35" i="31"/>
  <c r="A35" i="31"/>
  <c r="X11" i="31"/>
  <c r="A11" i="31"/>
  <c r="X12" i="31"/>
  <c r="A12" i="31"/>
  <c r="X13" i="31"/>
  <c r="A13" i="31"/>
  <c r="X14" i="31"/>
  <c r="A14" i="31"/>
  <c r="X15" i="31"/>
  <c r="A15" i="31"/>
  <c r="X16" i="31"/>
  <c r="A16" i="31"/>
  <c r="X17" i="31"/>
  <c r="A17" i="31"/>
  <c r="X18" i="31"/>
  <c r="A18" i="31"/>
  <c r="X19" i="31"/>
  <c r="A19" i="31"/>
  <c r="X20" i="31"/>
  <c r="A20" i="31"/>
  <c r="X21" i="31"/>
  <c r="A21" i="31"/>
  <c r="X22" i="31"/>
  <c r="A22" i="31"/>
  <c r="X50" i="33"/>
  <c r="A50" i="33"/>
  <c r="X51" i="33"/>
  <c r="A51" i="33"/>
  <c r="X52" i="33"/>
  <c r="A52" i="33"/>
  <c r="X53" i="33"/>
  <c r="A53" i="33"/>
  <c r="X54" i="33"/>
  <c r="A54" i="33"/>
  <c r="X55" i="33"/>
  <c r="A55" i="33"/>
  <c r="X56" i="33"/>
  <c r="A56" i="33"/>
  <c r="X57" i="33"/>
  <c r="A57" i="33"/>
  <c r="X58" i="33"/>
  <c r="A58" i="33"/>
  <c r="X59" i="33"/>
  <c r="A59" i="33"/>
  <c r="X60" i="33"/>
  <c r="A60" i="33"/>
  <c r="X61" i="33"/>
  <c r="A61" i="33"/>
  <c r="X37" i="33"/>
  <c r="A37" i="33"/>
  <c r="X38" i="33"/>
  <c r="A38" i="33"/>
  <c r="X39" i="33"/>
  <c r="A39" i="33"/>
  <c r="X40" i="33"/>
  <c r="A40" i="33"/>
  <c r="X41" i="33"/>
  <c r="A41" i="33"/>
  <c r="X42" i="33"/>
  <c r="A42" i="33"/>
  <c r="X43" i="33"/>
  <c r="A43" i="33"/>
  <c r="X44" i="33"/>
  <c r="A44" i="33"/>
  <c r="X45" i="33"/>
  <c r="A45" i="33"/>
  <c r="X46" i="33"/>
  <c r="A46" i="33"/>
  <c r="X47" i="33"/>
  <c r="A47" i="33"/>
  <c r="X48" i="33"/>
  <c r="A48" i="33"/>
  <c r="X24" i="33"/>
  <c r="A24" i="33"/>
  <c r="X25" i="33"/>
  <c r="A25" i="33"/>
  <c r="X26" i="33"/>
  <c r="A26" i="33"/>
  <c r="X27" i="33"/>
  <c r="A27" i="33"/>
  <c r="X28" i="33"/>
  <c r="A28" i="33"/>
  <c r="X29" i="33"/>
  <c r="A29" i="33"/>
  <c r="X30" i="33"/>
  <c r="A30" i="33"/>
  <c r="X31" i="33"/>
  <c r="A31" i="33"/>
  <c r="X32" i="33"/>
  <c r="A32" i="33"/>
  <c r="X33" i="33"/>
  <c r="A33" i="33"/>
  <c r="X34" i="33"/>
  <c r="A34" i="33"/>
  <c r="X35" i="33"/>
  <c r="A35" i="33"/>
  <c r="X11" i="33"/>
  <c r="A11" i="33"/>
  <c r="X12" i="33"/>
  <c r="A12" i="33"/>
  <c r="X13" i="33"/>
  <c r="A13" i="33"/>
  <c r="X14" i="33"/>
  <c r="A14" i="33"/>
  <c r="X15" i="33"/>
  <c r="A15" i="33"/>
  <c r="X16" i="33"/>
  <c r="A16" i="33"/>
  <c r="X17" i="33"/>
  <c r="A17" i="33"/>
  <c r="X18" i="33"/>
  <c r="A18" i="33"/>
  <c r="X19" i="33"/>
  <c r="A19" i="33"/>
  <c r="X20" i="33"/>
  <c r="A20" i="33"/>
  <c r="X21" i="33"/>
  <c r="A21" i="33"/>
  <c r="X22" i="33"/>
  <c r="A22" i="33"/>
  <c r="X50" i="35"/>
  <c r="A50" i="35"/>
  <c r="X51" i="35"/>
  <c r="A51" i="35"/>
  <c r="X52" i="35"/>
  <c r="A52" i="35"/>
  <c r="X53" i="35"/>
  <c r="A53" i="35"/>
  <c r="X54" i="35"/>
  <c r="A54" i="35"/>
  <c r="X55" i="35"/>
  <c r="A55" i="35"/>
  <c r="X56" i="35"/>
  <c r="A56" i="35"/>
  <c r="X57" i="35"/>
  <c r="A57" i="35"/>
  <c r="X58" i="35"/>
  <c r="A58" i="35"/>
  <c r="X59" i="35"/>
  <c r="A59" i="35"/>
  <c r="X60" i="35"/>
  <c r="A60" i="35"/>
  <c r="X61" i="35"/>
  <c r="A61" i="35"/>
  <c r="X37" i="35"/>
  <c r="A37" i="35"/>
  <c r="X38" i="35"/>
  <c r="A38" i="35"/>
  <c r="X39" i="35"/>
  <c r="A39" i="35"/>
  <c r="X40" i="35"/>
  <c r="A40" i="35"/>
  <c r="X41" i="35"/>
  <c r="A41" i="35"/>
  <c r="X42" i="35"/>
  <c r="A42" i="35"/>
  <c r="X43" i="35"/>
  <c r="A43" i="35"/>
  <c r="X44" i="35"/>
  <c r="A44" i="35"/>
  <c r="X45" i="35"/>
  <c r="A45" i="35"/>
  <c r="X46" i="35"/>
  <c r="A46" i="35"/>
  <c r="X47" i="35"/>
  <c r="A47" i="35"/>
  <c r="X48" i="35"/>
  <c r="A48" i="35"/>
  <c r="X24" i="35"/>
  <c r="A24" i="35"/>
  <c r="X25" i="35"/>
  <c r="A25" i="35"/>
  <c r="X26" i="35"/>
  <c r="A26" i="35"/>
  <c r="X27" i="35"/>
  <c r="A27" i="35"/>
  <c r="X28" i="35"/>
  <c r="A28" i="35"/>
  <c r="X29" i="35"/>
  <c r="A29" i="35"/>
  <c r="X30" i="35"/>
  <c r="A30" i="35"/>
  <c r="X31" i="35"/>
  <c r="A31" i="35"/>
  <c r="X32" i="35"/>
  <c r="A32" i="35"/>
  <c r="X33" i="35"/>
  <c r="A33" i="35"/>
  <c r="X34" i="35"/>
  <c r="A34" i="35"/>
  <c r="X35" i="35"/>
  <c r="A35" i="35"/>
  <c r="X11" i="35"/>
  <c r="A11" i="35"/>
  <c r="X12" i="35"/>
  <c r="A12" i="35"/>
  <c r="X13" i="35"/>
  <c r="A13" i="35"/>
  <c r="X14" i="35"/>
  <c r="A14" i="35"/>
  <c r="X15" i="35"/>
  <c r="A15" i="35"/>
  <c r="X16" i="35"/>
  <c r="A16" i="35"/>
  <c r="X17" i="35"/>
  <c r="A17" i="35"/>
  <c r="X18" i="35"/>
  <c r="A18" i="35"/>
  <c r="X19" i="35"/>
  <c r="A19" i="35"/>
  <c r="X20" i="35"/>
  <c r="A20" i="35"/>
  <c r="X21" i="35"/>
  <c r="A21" i="35"/>
  <c r="X22" i="35"/>
  <c r="A22" i="35"/>
  <c r="X50" i="37"/>
  <c r="A50" i="37"/>
  <c r="X51" i="37"/>
  <c r="A51" i="37"/>
  <c r="X52" i="37"/>
  <c r="A52" i="37"/>
  <c r="X53" i="37"/>
  <c r="A53" i="37"/>
  <c r="X54" i="37"/>
  <c r="A54" i="37"/>
  <c r="X55" i="37"/>
  <c r="A55" i="37"/>
  <c r="X56" i="37"/>
  <c r="A56" i="37"/>
  <c r="X57" i="37"/>
  <c r="A57" i="37"/>
  <c r="X58" i="37"/>
  <c r="A58" i="37"/>
  <c r="X59" i="37"/>
  <c r="A59" i="37"/>
  <c r="X60" i="37"/>
  <c r="A60" i="37"/>
  <c r="X61" i="37"/>
  <c r="A61" i="37"/>
  <c r="X37" i="37"/>
  <c r="A37" i="37"/>
  <c r="X38" i="37"/>
  <c r="A38" i="37"/>
  <c r="X39" i="37"/>
  <c r="A39" i="37"/>
  <c r="X40" i="37"/>
  <c r="A40" i="37"/>
  <c r="X41" i="37"/>
  <c r="A41" i="37"/>
  <c r="X42" i="37"/>
  <c r="A42" i="37"/>
  <c r="X43" i="37"/>
  <c r="A43" i="37"/>
  <c r="X44" i="37"/>
  <c r="A44" i="37"/>
  <c r="X45" i="37"/>
  <c r="A45" i="37"/>
  <c r="X46" i="37"/>
  <c r="A46" i="37"/>
  <c r="X47" i="37"/>
  <c r="A47" i="37"/>
  <c r="X48" i="37"/>
  <c r="A48" i="37"/>
  <c r="X24" i="37"/>
  <c r="A24" i="37"/>
  <c r="X25" i="37"/>
  <c r="A25" i="37"/>
  <c r="X26" i="37"/>
  <c r="A26" i="37"/>
  <c r="X27" i="37"/>
  <c r="A27" i="37"/>
  <c r="X28" i="37"/>
  <c r="A28" i="37"/>
  <c r="X29" i="37"/>
  <c r="A29" i="37"/>
  <c r="X30" i="37"/>
  <c r="A30" i="37"/>
  <c r="X31" i="37"/>
  <c r="A31" i="37"/>
  <c r="X32" i="37"/>
  <c r="A32" i="37"/>
  <c r="X33" i="37"/>
  <c r="A33" i="37"/>
  <c r="X34" i="37"/>
  <c r="A34" i="37"/>
  <c r="X35" i="37"/>
  <c r="A35" i="37"/>
  <c r="X11" i="37"/>
  <c r="A11" i="37"/>
  <c r="X12" i="37"/>
  <c r="A12" i="37"/>
  <c r="X13" i="37"/>
  <c r="A13" i="37"/>
  <c r="X14" i="37"/>
  <c r="A14" i="37"/>
  <c r="X15" i="37"/>
  <c r="A15" i="37"/>
  <c r="X16" i="37"/>
  <c r="A16" i="37"/>
  <c r="X17" i="37"/>
  <c r="A17" i="37"/>
  <c r="X18" i="37"/>
  <c r="A18" i="37"/>
  <c r="X19" i="37"/>
  <c r="A19" i="37"/>
  <c r="X20" i="37"/>
  <c r="A20" i="37"/>
  <c r="X21" i="37"/>
  <c r="A21" i="37"/>
  <c r="X22" i="37"/>
  <c r="A22" i="37"/>
  <c r="H22" i="37" l="1" a="1"/>
  <c r="H22" i="37" s="1"/>
  <c r="G22" i="37" a="1"/>
  <c r="G22" i="37" s="1"/>
  <c r="F22" i="37" a="1"/>
  <c r="F22" i="37" s="1"/>
  <c r="E22" i="37" a="1"/>
  <c r="E22" i="37" s="1"/>
  <c r="D22" i="37" a="1"/>
  <c r="D22" i="37" s="1"/>
  <c r="C22" i="37" a="1"/>
  <c r="C22" i="37" s="1"/>
  <c r="B22" i="37"/>
  <c r="H21" i="37" a="1"/>
  <c r="H21" i="37" s="1"/>
  <c r="G21" i="37" a="1"/>
  <c r="G21" i="37" s="1"/>
  <c r="F21" i="37" a="1"/>
  <c r="F21" i="37" s="1"/>
  <c r="E21" i="37" a="1"/>
  <c r="E21" i="37" s="1"/>
  <c r="D21" i="37" a="1"/>
  <c r="D21" i="37" s="1"/>
  <c r="C21" i="37" a="1"/>
  <c r="C21" i="37" s="1"/>
  <c r="B21" i="37"/>
  <c r="H20" i="37" a="1"/>
  <c r="H20" i="37" s="1"/>
  <c r="G20" i="37" a="1"/>
  <c r="G20" i="37" s="1"/>
  <c r="F20" i="37" a="1"/>
  <c r="F20" i="37" s="1"/>
  <c r="E20" i="37" a="1"/>
  <c r="E20" i="37" s="1"/>
  <c r="D20" i="37" a="1"/>
  <c r="D20" i="37" s="1"/>
  <c r="C20" i="37" a="1"/>
  <c r="C20" i="37" s="1"/>
  <c r="B20" i="37"/>
  <c r="H19" i="37" a="1"/>
  <c r="H19" i="37" s="1"/>
  <c r="G19" i="37" a="1"/>
  <c r="G19" i="37" s="1"/>
  <c r="F19" i="37" a="1"/>
  <c r="F19" i="37" s="1"/>
  <c r="E19" i="37" a="1"/>
  <c r="E19" i="37" s="1"/>
  <c r="D19" i="37" a="1"/>
  <c r="D19" i="37" s="1"/>
  <c r="C19" i="37" a="1"/>
  <c r="C19" i="37" s="1"/>
  <c r="B19" i="37"/>
  <c r="H18" i="37" a="1"/>
  <c r="H18" i="37" s="1"/>
  <c r="G18" i="37" a="1"/>
  <c r="G18" i="37" s="1"/>
  <c r="F18" i="37" a="1"/>
  <c r="F18" i="37" s="1"/>
  <c r="E18" i="37" a="1"/>
  <c r="E18" i="37" s="1"/>
  <c r="D18" i="37" a="1"/>
  <c r="D18" i="37" s="1"/>
  <c r="C18" i="37" a="1"/>
  <c r="C18" i="37" s="1"/>
  <c r="B18" i="37"/>
  <c r="H17" i="37" a="1"/>
  <c r="H17" i="37" s="1"/>
  <c r="G17" i="37" a="1"/>
  <c r="G17" i="37" s="1"/>
  <c r="F17" i="37" a="1"/>
  <c r="F17" i="37" s="1"/>
  <c r="E17" i="37" a="1"/>
  <c r="E17" i="37" s="1"/>
  <c r="D17" i="37" a="1"/>
  <c r="D17" i="37" s="1"/>
  <c r="C17" i="37" a="1"/>
  <c r="C17" i="37" s="1"/>
  <c r="B17" i="37"/>
  <c r="H16" i="37" a="1"/>
  <c r="H16" i="37" s="1"/>
  <c r="G16" i="37" a="1"/>
  <c r="G16" i="37" s="1"/>
  <c r="F16" i="37" a="1"/>
  <c r="F16" i="37" s="1"/>
  <c r="E16" i="37" a="1"/>
  <c r="E16" i="37" s="1"/>
  <c r="D16" i="37" a="1"/>
  <c r="D16" i="37" s="1"/>
  <c r="C16" i="37" a="1"/>
  <c r="C16" i="37" s="1"/>
  <c r="B16" i="37"/>
  <c r="H15" i="37" a="1"/>
  <c r="H15" i="37" s="1"/>
  <c r="G15" i="37" a="1"/>
  <c r="G15" i="37" s="1"/>
  <c r="F15" i="37" a="1"/>
  <c r="F15" i="37" s="1"/>
  <c r="E15" i="37" a="1"/>
  <c r="E15" i="37" s="1"/>
  <c r="D15" i="37" a="1"/>
  <c r="D15" i="37" s="1"/>
  <c r="C15" i="37" a="1"/>
  <c r="C15" i="37" s="1"/>
  <c r="B15" i="37"/>
  <c r="H14" i="37" a="1"/>
  <c r="H14" i="37" s="1"/>
  <c r="G14" i="37" a="1"/>
  <c r="G14" i="37" s="1"/>
  <c r="F14" i="37" a="1"/>
  <c r="F14" i="37" s="1"/>
  <c r="E14" i="37" a="1"/>
  <c r="E14" i="37" s="1"/>
  <c r="D14" i="37" a="1"/>
  <c r="D14" i="37" s="1"/>
  <c r="C14" i="37" a="1"/>
  <c r="C14" i="37" s="1"/>
  <c r="B14" i="37"/>
  <c r="H13" i="37" a="1"/>
  <c r="H13" i="37" s="1"/>
  <c r="G13" i="37" a="1"/>
  <c r="G13" i="37" s="1"/>
  <c r="F13" i="37" a="1"/>
  <c r="F13" i="37" s="1"/>
  <c r="E13" i="37" a="1"/>
  <c r="E13" i="37" s="1"/>
  <c r="D13" i="37" a="1"/>
  <c r="D13" i="37" s="1"/>
  <c r="C13" i="37" a="1"/>
  <c r="C13" i="37" s="1"/>
  <c r="B13" i="37"/>
  <c r="H12" i="37" a="1"/>
  <c r="H12" i="37" s="1"/>
  <c r="G12" i="37" a="1"/>
  <c r="G12" i="37" s="1"/>
  <c r="F12" i="37" a="1"/>
  <c r="F12" i="37" s="1"/>
  <c r="E12" i="37" a="1"/>
  <c r="E12" i="37" s="1"/>
  <c r="D12" i="37" a="1"/>
  <c r="D12" i="37" s="1"/>
  <c r="C12" i="37" a="1"/>
  <c r="C12" i="37" s="1"/>
  <c r="B12" i="37"/>
  <c r="H11" i="37" a="1"/>
  <c r="H11" i="37" s="1"/>
  <c r="G11" i="37" a="1"/>
  <c r="G11" i="37" s="1"/>
  <c r="F11" i="37" a="1"/>
  <c r="F11" i="37" s="1"/>
  <c r="E11" i="37" a="1"/>
  <c r="E11" i="37" s="1"/>
  <c r="D11" i="37" a="1"/>
  <c r="D11" i="37" s="1"/>
  <c r="C11" i="37" a="1"/>
  <c r="C11" i="37" s="1"/>
  <c r="B11" i="37"/>
  <c r="H35" i="37" a="1"/>
  <c r="H35" i="37" s="1"/>
  <c r="G35" i="37" a="1"/>
  <c r="G35" i="37" s="1"/>
  <c r="F35" i="37" a="1"/>
  <c r="F35" i="37" s="1"/>
  <c r="E35" i="37" a="1"/>
  <c r="E35" i="37" s="1"/>
  <c r="D35" i="37" a="1"/>
  <c r="D35" i="37" s="1"/>
  <c r="C35" i="37" a="1"/>
  <c r="C35" i="37" s="1"/>
  <c r="B35" i="37"/>
  <c r="H34" i="37" a="1"/>
  <c r="H34" i="37" s="1"/>
  <c r="G34" i="37" a="1"/>
  <c r="G34" i="37" s="1"/>
  <c r="F34" i="37" a="1"/>
  <c r="F34" i="37" s="1"/>
  <c r="E34" i="37" a="1"/>
  <c r="E34" i="37" s="1"/>
  <c r="D34" i="37" a="1"/>
  <c r="D34" i="37" s="1"/>
  <c r="C34" i="37" a="1"/>
  <c r="C34" i="37" s="1"/>
  <c r="B34" i="37"/>
  <c r="H33" i="37" a="1"/>
  <c r="H33" i="37" s="1"/>
  <c r="G33" i="37" a="1"/>
  <c r="G33" i="37" s="1"/>
  <c r="F33" i="37" a="1"/>
  <c r="F33" i="37" s="1"/>
  <c r="E33" i="37" a="1"/>
  <c r="E33" i="37" s="1"/>
  <c r="D33" i="37" a="1"/>
  <c r="D33" i="37" s="1"/>
  <c r="C33" i="37" a="1"/>
  <c r="C33" i="37" s="1"/>
  <c r="B33" i="37"/>
  <c r="H32" i="37" a="1"/>
  <c r="H32" i="37" s="1"/>
  <c r="G32" i="37" a="1"/>
  <c r="G32" i="37" s="1"/>
  <c r="F32" i="37" a="1"/>
  <c r="F32" i="37" s="1"/>
  <c r="E32" i="37" a="1"/>
  <c r="E32" i="37" s="1"/>
  <c r="D32" i="37" a="1"/>
  <c r="D32" i="37" s="1"/>
  <c r="C32" i="37" a="1"/>
  <c r="C32" i="37" s="1"/>
  <c r="B32" i="37"/>
  <c r="H31" i="37" a="1"/>
  <c r="H31" i="37" s="1"/>
  <c r="G31" i="37" a="1"/>
  <c r="G31" i="37" s="1"/>
  <c r="F31" i="37" a="1"/>
  <c r="F31" i="37" s="1"/>
  <c r="E31" i="37" a="1"/>
  <c r="E31" i="37" s="1"/>
  <c r="D31" i="37" a="1"/>
  <c r="D31" i="37" s="1"/>
  <c r="C31" i="37" a="1"/>
  <c r="C31" i="37" s="1"/>
  <c r="B31" i="37"/>
  <c r="H30" i="37" a="1"/>
  <c r="H30" i="37" s="1"/>
  <c r="G30" i="37" a="1"/>
  <c r="G30" i="37" s="1"/>
  <c r="F30" i="37" a="1"/>
  <c r="F30" i="37" s="1"/>
  <c r="E30" i="37" a="1"/>
  <c r="E30" i="37" s="1"/>
  <c r="D30" i="37" a="1"/>
  <c r="D30" i="37" s="1"/>
  <c r="C30" i="37" a="1"/>
  <c r="C30" i="37" s="1"/>
  <c r="B30" i="37"/>
  <c r="H29" i="37" a="1"/>
  <c r="H29" i="37" s="1"/>
  <c r="G29" i="37" a="1"/>
  <c r="G29" i="37" s="1"/>
  <c r="F29" i="37" a="1"/>
  <c r="F29" i="37" s="1"/>
  <c r="E29" i="37" a="1"/>
  <c r="E29" i="37" s="1"/>
  <c r="D29" i="37" a="1"/>
  <c r="D29" i="37" s="1"/>
  <c r="C29" i="37" a="1"/>
  <c r="C29" i="37" s="1"/>
  <c r="B29" i="37"/>
  <c r="H28" i="37" a="1"/>
  <c r="H28" i="37" s="1"/>
  <c r="G28" i="37" a="1"/>
  <c r="G28" i="37" s="1"/>
  <c r="F28" i="37" a="1"/>
  <c r="F28" i="37" s="1"/>
  <c r="E28" i="37" a="1"/>
  <c r="E28" i="37" s="1"/>
  <c r="D28" i="37" a="1"/>
  <c r="D28" i="37" s="1"/>
  <c r="C28" i="37" a="1"/>
  <c r="C28" i="37" s="1"/>
  <c r="B28" i="37"/>
  <c r="H27" i="37" a="1"/>
  <c r="H27" i="37" s="1"/>
  <c r="G27" i="37" a="1"/>
  <c r="G27" i="37" s="1"/>
  <c r="F27" i="37" a="1"/>
  <c r="F27" i="37" s="1"/>
  <c r="E27" i="37" a="1"/>
  <c r="E27" i="37" s="1"/>
  <c r="D27" i="37" a="1"/>
  <c r="D27" i="37" s="1"/>
  <c r="C27" i="37" a="1"/>
  <c r="C27" i="37" s="1"/>
  <c r="B27" i="37"/>
  <c r="H26" i="37" a="1"/>
  <c r="H26" i="37" s="1"/>
  <c r="G26" i="37" a="1"/>
  <c r="G26" i="37" s="1"/>
  <c r="F26" i="37" a="1"/>
  <c r="F26" i="37" s="1"/>
  <c r="E26" i="37" a="1"/>
  <c r="E26" i="37" s="1"/>
  <c r="D26" i="37" a="1"/>
  <c r="D26" i="37" s="1"/>
  <c r="C26" i="37" a="1"/>
  <c r="C26" i="37" s="1"/>
  <c r="B26" i="37"/>
  <c r="H25" i="37" a="1"/>
  <c r="H25" i="37" s="1"/>
  <c r="G25" i="37" a="1"/>
  <c r="G25" i="37" s="1"/>
  <c r="F25" i="37" a="1"/>
  <c r="F25" i="37" s="1"/>
  <c r="E25" i="37" a="1"/>
  <c r="E25" i="37" s="1"/>
  <c r="D25" i="37" a="1"/>
  <c r="D25" i="37" s="1"/>
  <c r="C25" i="37" a="1"/>
  <c r="C25" i="37" s="1"/>
  <c r="B25" i="37"/>
  <c r="H24" i="37" a="1"/>
  <c r="H24" i="37" s="1"/>
  <c r="G24" i="37" a="1"/>
  <c r="G24" i="37" s="1"/>
  <c r="F24" i="37" a="1"/>
  <c r="F24" i="37" s="1"/>
  <c r="E24" i="37" a="1"/>
  <c r="E24" i="37" s="1"/>
  <c r="D24" i="37" a="1"/>
  <c r="D24" i="37" s="1"/>
  <c r="C24" i="37" a="1"/>
  <c r="C24" i="37" s="1"/>
  <c r="B24" i="37"/>
  <c r="H48" i="37" a="1"/>
  <c r="H48" i="37" s="1"/>
  <c r="G48" i="37" a="1"/>
  <c r="G48" i="37" s="1"/>
  <c r="F48" i="37" a="1"/>
  <c r="F48" i="37" s="1"/>
  <c r="E48" i="37" a="1"/>
  <c r="E48" i="37" s="1"/>
  <c r="D48" i="37" a="1"/>
  <c r="D48" i="37" s="1"/>
  <c r="C48" i="37" a="1"/>
  <c r="C48" i="37" s="1"/>
  <c r="B48" i="37"/>
  <c r="H47" i="37" a="1"/>
  <c r="H47" i="37" s="1"/>
  <c r="G47" i="37" a="1"/>
  <c r="G47" i="37" s="1"/>
  <c r="F47" i="37" a="1"/>
  <c r="F47" i="37" s="1"/>
  <c r="E47" i="37" a="1"/>
  <c r="E47" i="37" s="1"/>
  <c r="D47" i="37" a="1"/>
  <c r="D47" i="37" s="1"/>
  <c r="C47" i="37" a="1"/>
  <c r="C47" i="37" s="1"/>
  <c r="B47" i="37"/>
  <c r="H46" i="37" a="1"/>
  <c r="H46" i="37" s="1"/>
  <c r="G46" i="37" a="1"/>
  <c r="G46" i="37" s="1"/>
  <c r="F46" i="37" a="1"/>
  <c r="F46" i="37" s="1"/>
  <c r="E46" i="37" a="1"/>
  <c r="E46" i="37" s="1"/>
  <c r="D46" i="37" a="1"/>
  <c r="D46" i="37" s="1"/>
  <c r="C46" i="37" a="1"/>
  <c r="C46" i="37" s="1"/>
  <c r="B46" i="37"/>
  <c r="H45" i="37" a="1"/>
  <c r="H45" i="37" s="1"/>
  <c r="G45" i="37" a="1"/>
  <c r="G45" i="37" s="1"/>
  <c r="F45" i="37" a="1"/>
  <c r="F45" i="37" s="1"/>
  <c r="E45" i="37" a="1"/>
  <c r="E45" i="37" s="1"/>
  <c r="D45" i="37" a="1"/>
  <c r="D45" i="37" s="1"/>
  <c r="C45" i="37" a="1"/>
  <c r="C45" i="37" s="1"/>
  <c r="B45" i="37"/>
  <c r="H44" i="37" a="1"/>
  <c r="H44" i="37" s="1"/>
  <c r="G44" i="37" a="1"/>
  <c r="G44" i="37" s="1"/>
  <c r="F44" i="37" a="1"/>
  <c r="F44" i="37" s="1"/>
  <c r="E44" i="37" a="1"/>
  <c r="E44" i="37" s="1"/>
  <c r="D44" i="37" a="1"/>
  <c r="D44" i="37" s="1"/>
  <c r="C44" i="37" a="1"/>
  <c r="C44" i="37" s="1"/>
  <c r="B44" i="37"/>
  <c r="H43" i="37" a="1"/>
  <c r="H43" i="37" s="1"/>
  <c r="G43" i="37" a="1"/>
  <c r="G43" i="37" s="1"/>
  <c r="F43" i="37" a="1"/>
  <c r="F43" i="37" s="1"/>
  <c r="E43" i="37" a="1"/>
  <c r="E43" i="37" s="1"/>
  <c r="D43" i="37" a="1"/>
  <c r="D43" i="37" s="1"/>
  <c r="C43" i="37" a="1"/>
  <c r="C43" i="37" s="1"/>
  <c r="B43" i="37"/>
  <c r="H42" i="37" a="1"/>
  <c r="H42" i="37" s="1"/>
  <c r="G42" i="37" a="1"/>
  <c r="G42" i="37" s="1"/>
  <c r="F42" i="37" a="1"/>
  <c r="F42" i="37" s="1"/>
  <c r="E42" i="37" a="1"/>
  <c r="E42" i="37" s="1"/>
  <c r="D42" i="37" a="1"/>
  <c r="D42" i="37" s="1"/>
  <c r="C42" i="37" a="1"/>
  <c r="C42" i="37" s="1"/>
  <c r="B42" i="37"/>
  <c r="H41" i="37" a="1"/>
  <c r="H41" i="37" s="1"/>
  <c r="G41" i="37" a="1"/>
  <c r="G41" i="37" s="1"/>
  <c r="F41" i="37" a="1"/>
  <c r="F41" i="37" s="1"/>
  <c r="E41" i="37" a="1"/>
  <c r="E41" i="37" s="1"/>
  <c r="D41" i="37" a="1"/>
  <c r="D41" i="37" s="1"/>
  <c r="C41" i="37" a="1"/>
  <c r="C41" i="37" s="1"/>
  <c r="B41" i="37"/>
  <c r="H40" i="37" a="1"/>
  <c r="H40" i="37" s="1"/>
  <c r="G40" i="37" a="1"/>
  <c r="G40" i="37" s="1"/>
  <c r="F40" i="37" a="1"/>
  <c r="F40" i="37" s="1"/>
  <c r="E40" i="37" a="1"/>
  <c r="E40" i="37" s="1"/>
  <c r="D40" i="37" a="1"/>
  <c r="D40" i="37" s="1"/>
  <c r="C40" i="37" a="1"/>
  <c r="C40" i="37" s="1"/>
  <c r="B40" i="37"/>
  <c r="H39" i="37" a="1"/>
  <c r="H39" i="37" s="1"/>
  <c r="G39" i="37" a="1"/>
  <c r="G39" i="37" s="1"/>
  <c r="F39" i="37" a="1"/>
  <c r="F39" i="37" s="1"/>
  <c r="E39" i="37" a="1"/>
  <c r="E39" i="37" s="1"/>
  <c r="D39" i="37" a="1"/>
  <c r="D39" i="37" s="1"/>
  <c r="C39" i="37" a="1"/>
  <c r="C39" i="37" s="1"/>
  <c r="B39" i="37"/>
  <c r="H38" i="37" a="1"/>
  <c r="H38" i="37" s="1"/>
  <c r="G38" i="37" a="1"/>
  <c r="G38" i="37" s="1"/>
  <c r="F38" i="37" a="1"/>
  <c r="F38" i="37" s="1"/>
  <c r="E38" i="37" a="1"/>
  <c r="E38" i="37" s="1"/>
  <c r="D38" i="37" a="1"/>
  <c r="D38" i="37" s="1"/>
  <c r="C38" i="37" a="1"/>
  <c r="C38" i="37" s="1"/>
  <c r="B38" i="37"/>
  <c r="H37" i="37" a="1"/>
  <c r="H37" i="37" s="1"/>
  <c r="G37" i="37" a="1"/>
  <c r="G37" i="37" s="1"/>
  <c r="F37" i="37" a="1"/>
  <c r="F37" i="37" s="1"/>
  <c r="E37" i="37" a="1"/>
  <c r="E37" i="37" s="1"/>
  <c r="D37" i="37" a="1"/>
  <c r="D37" i="37" s="1"/>
  <c r="C37" i="37" a="1"/>
  <c r="C37" i="37" s="1"/>
  <c r="B37" i="37"/>
  <c r="H61" i="37" a="1"/>
  <c r="H61" i="37" s="1"/>
  <c r="G61" i="37" a="1"/>
  <c r="G61" i="37" s="1"/>
  <c r="F61" i="37" a="1"/>
  <c r="F61" i="37" s="1"/>
  <c r="E61" i="37" a="1"/>
  <c r="E61" i="37" s="1"/>
  <c r="D61" i="37" a="1"/>
  <c r="D61" i="37" s="1"/>
  <c r="C61" i="37" a="1"/>
  <c r="C61" i="37" s="1"/>
  <c r="B61" i="37"/>
  <c r="H60" i="37" a="1"/>
  <c r="H60" i="37" s="1"/>
  <c r="G60" i="37" a="1"/>
  <c r="G60" i="37" s="1"/>
  <c r="F60" i="37" a="1"/>
  <c r="F60" i="37" s="1"/>
  <c r="E60" i="37" a="1"/>
  <c r="E60" i="37" s="1"/>
  <c r="D60" i="37" a="1"/>
  <c r="D60" i="37" s="1"/>
  <c r="C60" i="37" a="1"/>
  <c r="C60" i="37" s="1"/>
  <c r="B60" i="37"/>
  <c r="H59" i="37" a="1"/>
  <c r="H59" i="37" s="1"/>
  <c r="G59" i="37" a="1"/>
  <c r="G59" i="37" s="1"/>
  <c r="F59" i="37" a="1"/>
  <c r="F59" i="37" s="1"/>
  <c r="E59" i="37" a="1"/>
  <c r="E59" i="37" s="1"/>
  <c r="D59" i="37" a="1"/>
  <c r="D59" i="37" s="1"/>
  <c r="C59" i="37" a="1"/>
  <c r="C59" i="37" s="1"/>
  <c r="B59" i="37"/>
  <c r="H58" i="37" a="1"/>
  <c r="H58" i="37" s="1"/>
  <c r="G58" i="37" a="1"/>
  <c r="G58" i="37" s="1"/>
  <c r="F58" i="37" a="1"/>
  <c r="F58" i="37" s="1"/>
  <c r="E58" i="37" a="1"/>
  <c r="E58" i="37" s="1"/>
  <c r="D58" i="37" a="1"/>
  <c r="D58" i="37" s="1"/>
  <c r="C58" i="37" a="1"/>
  <c r="C58" i="37" s="1"/>
  <c r="B58" i="37"/>
  <c r="H57" i="37" a="1"/>
  <c r="H57" i="37" s="1"/>
  <c r="G57" i="37" a="1"/>
  <c r="G57" i="37" s="1"/>
  <c r="F57" i="37" a="1"/>
  <c r="F57" i="37" s="1"/>
  <c r="E57" i="37" a="1"/>
  <c r="E57" i="37" s="1"/>
  <c r="D57" i="37" a="1"/>
  <c r="D57" i="37" s="1"/>
  <c r="C57" i="37" a="1"/>
  <c r="C57" i="37" s="1"/>
  <c r="B57" i="37"/>
  <c r="H56" i="37" a="1"/>
  <c r="H56" i="37" s="1"/>
  <c r="G56" i="37" a="1"/>
  <c r="G56" i="37" s="1"/>
  <c r="F56" i="37" a="1"/>
  <c r="F56" i="37" s="1"/>
  <c r="E56" i="37" a="1"/>
  <c r="E56" i="37" s="1"/>
  <c r="D56" i="37" a="1"/>
  <c r="D56" i="37" s="1"/>
  <c r="C56" i="37" a="1"/>
  <c r="C56" i="37" s="1"/>
  <c r="B56" i="37"/>
  <c r="H55" i="37" a="1"/>
  <c r="H55" i="37" s="1"/>
  <c r="G55" i="37" a="1"/>
  <c r="G55" i="37" s="1"/>
  <c r="F55" i="37" a="1"/>
  <c r="F55" i="37" s="1"/>
  <c r="E55" i="37" a="1"/>
  <c r="E55" i="37" s="1"/>
  <c r="D55" i="37" a="1"/>
  <c r="D55" i="37" s="1"/>
  <c r="C55" i="37" a="1"/>
  <c r="C55" i="37" s="1"/>
  <c r="B55" i="37"/>
  <c r="H54" i="37" a="1"/>
  <c r="H54" i="37" s="1"/>
  <c r="G54" i="37" a="1"/>
  <c r="G54" i="37" s="1"/>
  <c r="F54" i="37" a="1"/>
  <c r="F54" i="37" s="1"/>
  <c r="E54" i="37" a="1"/>
  <c r="E54" i="37" s="1"/>
  <c r="D54" i="37" a="1"/>
  <c r="D54" i="37" s="1"/>
  <c r="C54" i="37" a="1"/>
  <c r="C54" i="37" s="1"/>
  <c r="B54" i="37"/>
  <c r="H53" i="37" a="1"/>
  <c r="H53" i="37" s="1"/>
  <c r="G53" i="37" a="1"/>
  <c r="G53" i="37" s="1"/>
  <c r="F53" i="37" a="1"/>
  <c r="F53" i="37" s="1"/>
  <c r="E53" i="37" a="1"/>
  <c r="E53" i="37" s="1"/>
  <c r="D53" i="37" a="1"/>
  <c r="D53" i="37" s="1"/>
  <c r="C53" i="37" a="1"/>
  <c r="C53" i="37" s="1"/>
  <c r="B53" i="37"/>
  <c r="H52" i="37" a="1"/>
  <c r="H52" i="37" s="1"/>
  <c r="G52" i="37" a="1"/>
  <c r="G52" i="37" s="1"/>
  <c r="F52" i="37" a="1"/>
  <c r="F52" i="37" s="1"/>
  <c r="E52" i="37" a="1"/>
  <c r="E52" i="37" s="1"/>
  <c r="D52" i="37" a="1"/>
  <c r="D52" i="37" s="1"/>
  <c r="C52" i="37" a="1"/>
  <c r="C52" i="37" s="1"/>
  <c r="B52" i="37"/>
  <c r="H51" i="37" a="1"/>
  <c r="H51" i="37" s="1"/>
  <c r="G51" i="37" a="1"/>
  <c r="G51" i="37" s="1"/>
  <c r="F51" i="37" a="1"/>
  <c r="F51" i="37" s="1"/>
  <c r="E51" i="37" a="1"/>
  <c r="E51" i="37" s="1"/>
  <c r="D51" i="37" a="1"/>
  <c r="D51" i="37" s="1"/>
  <c r="C51" i="37" a="1"/>
  <c r="C51" i="37" s="1"/>
  <c r="B51" i="37"/>
  <c r="H50" i="37" a="1"/>
  <c r="H50" i="37" s="1"/>
  <c r="G50" i="37" a="1"/>
  <c r="G50" i="37" s="1"/>
  <c r="F50" i="37" a="1"/>
  <c r="F50" i="37" s="1"/>
  <c r="E50" i="37" a="1"/>
  <c r="E50" i="37" s="1"/>
  <c r="D50" i="37" a="1"/>
  <c r="D50" i="37" s="1"/>
  <c r="C50" i="37" a="1"/>
  <c r="C50" i="37" s="1"/>
  <c r="B50" i="37"/>
  <c r="H22" i="35" a="1"/>
  <c r="H22" i="35" s="1"/>
  <c r="G22" i="35" a="1"/>
  <c r="G22" i="35" s="1"/>
  <c r="F22" i="35" a="1"/>
  <c r="F22" i="35" s="1"/>
  <c r="E22" i="35" a="1"/>
  <c r="E22" i="35" s="1"/>
  <c r="D22" i="35" a="1"/>
  <c r="D22" i="35" s="1"/>
  <c r="C22" i="35" a="1"/>
  <c r="C22" i="35" s="1"/>
  <c r="B22" i="35"/>
  <c r="H21" i="35" a="1"/>
  <c r="H21" i="35" s="1"/>
  <c r="G21" i="35" a="1"/>
  <c r="G21" i="35" s="1"/>
  <c r="F21" i="35" a="1"/>
  <c r="F21" i="35" s="1"/>
  <c r="E21" i="35" a="1"/>
  <c r="E21" i="35" s="1"/>
  <c r="D21" i="35" a="1"/>
  <c r="D21" i="35" s="1"/>
  <c r="C21" i="35" a="1"/>
  <c r="C21" i="35" s="1"/>
  <c r="B21" i="35"/>
  <c r="H20" i="35" a="1"/>
  <c r="H20" i="35" s="1"/>
  <c r="G20" i="35" a="1"/>
  <c r="G20" i="35" s="1"/>
  <c r="F20" i="35" a="1"/>
  <c r="F20" i="35" s="1"/>
  <c r="E20" i="35" a="1"/>
  <c r="E20" i="35" s="1"/>
  <c r="D20" i="35" a="1"/>
  <c r="D20" i="35" s="1"/>
  <c r="C20" i="35" a="1"/>
  <c r="C20" i="35" s="1"/>
  <c r="B20" i="35"/>
  <c r="H19" i="35" a="1"/>
  <c r="H19" i="35" s="1"/>
  <c r="G19" i="35" a="1"/>
  <c r="G19" i="35" s="1"/>
  <c r="F19" i="35" a="1"/>
  <c r="F19" i="35" s="1"/>
  <c r="E19" i="35" a="1"/>
  <c r="E19" i="35" s="1"/>
  <c r="D19" i="35" a="1"/>
  <c r="D19" i="35" s="1"/>
  <c r="C19" i="35" a="1"/>
  <c r="C19" i="35" s="1"/>
  <c r="B19" i="35"/>
  <c r="H18" i="35" a="1"/>
  <c r="H18" i="35" s="1"/>
  <c r="G18" i="35" a="1"/>
  <c r="G18" i="35" s="1"/>
  <c r="F18" i="35" a="1"/>
  <c r="F18" i="35" s="1"/>
  <c r="E18" i="35" a="1"/>
  <c r="E18" i="35" s="1"/>
  <c r="D18" i="35" a="1"/>
  <c r="D18" i="35" s="1"/>
  <c r="C18" i="35" a="1"/>
  <c r="C18" i="35" s="1"/>
  <c r="B18" i="35"/>
  <c r="H17" i="35" a="1"/>
  <c r="H17" i="35" s="1"/>
  <c r="G17" i="35" a="1"/>
  <c r="G17" i="35" s="1"/>
  <c r="F17" i="35" a="1"/>
  <c r="F17" i="35" s="1"/>
  <c r="E17" i="35" a="1"/>
  <c r="E17" i="35" s="1"/>
  <c r="D17" i="35" a="1"/>
  <c r="D17" i="35" s="1"/>
  <c r="C17" i="35" a="1"/>
  <c r="C17" i="35" s="1"/>
  <c r="B17" i="35"/>
  <c r="H16" i="35" a="1"/>
  <c r="H16" i="35" s="1"/>
  <c r="G16" i="35" a="1"/>
  <c r="G16" i="35" s="1"/>
  <c r="F16" i="35" a="1"/>
  <c r="F16" i="35" s="1"/>
  <c r="E16" i="35" a="1"/>
  <c r="E16" i="35" s="1"/>
  <c r="D16" i="35" a="1"/>
  <c r="D16" i="35" s="1"/>
  <c r="C16" i="35" a="1"/>
  <c r="C16" i="35" s="1"/>
  <c r="B16" i="35"/>
  <c r="H15" i="35" a="1"/>
  <c r="H15" i="35" s="1"/>
  <c r="G15" i="35" a="1"/>
  <c r="G15" i="35" s="1"/>
  <c r="F15" i="35" a="1"/>
  <c r="F15" i="35" s="1"/>
  <c r="E15" i="35" a="1"/>
  <c r="E15" i="35" s="1"/>
  <c r="D15" i="35" a="1"/>
  <c r="D15" i="35" s="1"/>
  <c r="C15" i="35" a="1"/>
  <c r="C15" i="35" s="1"/>
  <c r="B15" i="35"/>
  <c r="H14" i="35" a="1"/>
  <c r="H14" i="35" s="1"/>
  <c r="G14" i="35" a="1"/>
  <c r="G14" i="35" s="1"/>
  <c r="F14" i="35" a="1"/>
  <c r="F14" i="35" s="1"/>
  <c r="E14" i="35" a="1"/>
  <c r="E14" i="35" s="1"/>
  <c r="D14" i="35" a="1"/>
  <c r="D14" i="35" s="1"/>
  <c r="C14" i="35" a="1"/>
  <c r="C14" i="35" s="1"/>
  <c r="B14" i="35"/>
  <c r="H13" i="35" a="1"/>
  <c r="H13" i="35" s="1"/>
  <c r="G13" i="35" a="1"/>
  <c r="G13" i="35" s="1"/>
  <c r="F13" i="35" a="1"/>
  <c r="F13" i="35" s="1"/>
  <c r="E13" i="35" a="1"/>
  <c r="E13" i="35" s="1"/>
  <c r="D13" i="35" a="1"/>
  <c r="D13" i="35" s="1"/>
  <c r="C13" i="35" a="1"/>
  <c r="C13" i="35" s="1"/>
  <c r="B13" i="35"/>
  <c r="H12" i="35" a="1"/>
  <c r="H12" i="35" s="1"/>
  <c r="G12" i="35" a="1"/>
  <c r="G12" i="35" s="1"/>
  <c r="F12" i="35" a="1"/>
  <c r="F12" i="35" s="1"/>
  <c r="E12" i="35" a="1"/>
  <c r="E12" i="35" s="1"/>
  <c r="D12" i="35" a="1"/>
  <c r="D12" i="35" s="1"/>
  <c r="C12" i="35" a="1"/>
  <c r="C12" i="35" s="1"/>
  <c r="B12" i="35"/>
  <c r="H11" i="35" a="1"/>
  <c r="H11" i="35" s="1"/>
  <c r="G11" i="35" a="1"/>
  <c r="G11" i="35" s="1"/>
  <c r="F11" i="35" a="1"/>
  <c r="F11" i="35" s="1"/>
  <c r="E11" i="35" a="1"/>
  <c r="E11" i="35" s="1"/>
  <c r="D11" i="35" a="1"/>
  <c r="D11" i="35" s="1"/>
  <c r="C11" i="35" a="1"/>
  <c r="C11" i="35" s="1"/>
  <c r="B11" i="35"/>
  <c r="H35" i="35" a="1"/>
  <c r="H35" i="35" s="1"/>
  <c r="G35" i="35" a="1"/>
  <c r="G35" i="35" s="1"/>
  <c r="F35" i="35" a="1"/>
  <c r="F35" i="35" s="1"/>
  <c r="E35" i="35" a="1"/>
  <c r="E35" i="35" s="1"/>
  <c r="D35" i="35" a="1"/>
  <c r="D35" i="35" s="1"/>
  <c r="C35" i="35" a="1"/>
  <c r="C35" i="35" s="1"/>
  <c r="B35" i="35"/>
  <c r="H34" i="35" a="1"/>
  <c r="H34" i="35" s="1"/>
  <c r="G34" i="35" a="1"/>
  <c r="G34" i="35" s="1"/>
  <c r="F34" i="35" a="1"/>
  <c r="F34" i="35" s="1"/>
  <c r="E34" i="35" a="1"/>
  <c r="E34" i="35" s="1"/>
  <c r="D34" i="35" a="1"/>
  <c r="D34" i="35" s="1"/>
  <c r="C34" i="35" a="1"/>
  <c r="C34" i="35" s="1"/>
  <c r="B34" i="35"/>
  <c r="H33" i="35" a="1"/>
  <c r="H33" i="35" s="1"/>
  <c r="G33" i="35" a="1"/>
  <c r="G33" i="35" s="1"/>
  <c r="F33" i="35" a="1"/>
  <c r="F33" i="35" s="1"/>
  <c r="E33" i="35" a="1"/>
  <c r="E33" i="35" s="1"/>
  <c r="D33" i="35" a="1"/>
  <c r="D33" i="35" s="1"/>
  <c r="C33" i="35" a="1"/>
  <c r="C33" i="35" s="1"/>
  <c r="B33" i="35"/>
  <c r="H32" i="35" a="1"/>
  <c r="H32" i="35" s="1"/>
  <c r="G32" i="35" a="1"/>
  <c r="G32" i="35" s="1"/>
  <c r="F32" i="35" a="1"/>
  <c r="F32" i="35" s="1"/>
  <c r="E32" i="35" a="1"/>
  <c r="E32" i="35" s="1"/>
  <c r="D32" i="35" a="1"/>
  <c r="D32" i="35" s="1"/>
  <c r="C32" i="35" a="1"/>
  <c r="C32" i="35" s="1"/>
  <c r="B32" i="35"/>
  <c r="H31" i="35" a="1"/>
  <c r="H31" i="35" s="1"/>
  <c r="G31" i="35" a="1"/>
  <c r="G31" i="35" s="1"/>
  <c r="F31" i="35" a="1"/>
  <c r="F31" i="35" s="1"/>
  <c r="E31" i="35" a="1"/>
  <c r="E31" i="35" s="1"/>
  <c r="D31" i="35" a="1"/>
  <c r="D31" i="35" s="1"/>
  <c r="C31" i="35" a="1"/>
  <c r="C31" i="35" s="1"/>
  <c r="B31" i="35"/>
  <c r="H30" i="35" a="1"/>
  <c r="H30" i="35" s="1"/>
  <c r="G30" i="35" a="1"/>
  <c r="G30" i="35" s="1"/>
  <c r="F30" i="35" a="1"/>
  <c r="F30" i="35" s="1"/>
  <c r="E30" i="35" a="1"/>
  <c r="E30" i="35" s="1"/>
  <c r="D30" i="35" a="1"/>
  <c r="D30" i="35" s="1"/>
  <c r="C30" i="35" a="1"/>
  <c r="C30" i="35" s="1"/>
  <c r="B30" i="35"/>
  <c r="H29" i="35" a="1"/>
  <c r="H29" i="35" s="1"/>
  <c r="G29" i="35" a="1"/>
  <c r="G29" i="35" s="1"/>
  <c r="F29" i="35" a="1"/>
  <c r="F29" i="35" s="1"/>
  <c r="E29" i="35" a="1"/>
  <c r="E29" i="35" s="1"/>
  <c r="D29" i="35" a="1"/>
  <c r="D29" i="35" s="1"/>
  <c r="C29" i="35" a="1"/>
  <c r="C29" i="35" s="1"/>
  <c r="B29" i="35"/>
  <c r="H28" i="35" a="1"/>
  <c r="H28" i="35" s="1"/>
  <c r="G28" i="35" a="1"/>
  <c r="G28" i="35" s="1"/>
  <c r="F28" i="35" a="1"/>
  <c r="F28" i="35" s="1"/>
  <c r="E28" i="35" a="1"/>
  <c r="E28" i="35" s="1"/>
  <c r="D28" i="35" a="1"/>
  <c r="D28" i="35" s="1"/>
  <c r="C28" i="35" a="1"/>
  <c r="C28" i="35" s="1"/>
  <c r="B28" i="35"/>
  <c r="H27" i="35" a="1"/>
  <c r="H27" i="35" s="1"/>
  <c r="G27" i="35" a="1"/>
  <c r="G27" i="35" s="1"/>
  <c r="F27" i="35" a="1"/>
  <c r="F27" i="35" s="1"/>
  <c r="E27" i="35" a="1"/>
  <c r="E27" i="35" s="1"/>
  <c r="D27" i="35" a="1"/>
  <c r="D27" i="35" s="1"/>
  <c r="C27" i="35" a="1"/>
  <c r="C27" i="35" s="1"/>
  <c r="B27" i="35"/>
  <c r="H26" i="35" a="1"/>
  <c r="H26" i="35" s="1"/>
  <c r="G26" i="35" a="1"/>
  <c r="G26" i="35" s="1"/>
  <c r="F26" i="35" a="1"/>
  <c r="F26" i="35" s="1"/>
  <c r="E26" i="35" a="1"/>
  <c r="E26" i="35" s="1"/>
  <c r="D26" i="35" a="1"/>
  <c r="D26" i="35" s="1"/>
  <c r="C26" i="35" a="1"/>
  <c r="C26" i="35" s="1"/>
  <c r="B26" i="35"/>
  <c r="H25" i="35" a="1"/>
  <c r="H25" i="35" s="1"/>
  <c r="G25" i="35" a="1"/>
  <c r="G25" i="35" s="1"/>
  <c r="F25" i="35" a="1"/>
  <c r="F25" i="35" s="1"/>
  <c r="E25" i="35" a="1"/>
  <c r="E25" i="35" s="1"/>
  <c r="D25" i="35" a="1"/>
  <c r="D25" i="35" s="1"/>
  <c r="C25" i="35" a="1"/>
  <c r="C25" i="35" s="1"/>
  <c r="B25" i="35"/>
  <c r="H24" i="35" a="1"/>
  <c r="H24" i="35" s="1"/>
  <c r="G24" i="35" a="1"/>
  <c r="G24" i="35" s="1"/>
  <c r="F24" i="35" a="1"/>
  <c r="F24" i="35" s="1"/>
  <c r="E24" i="35" a="1"/>
  <c r="E24" i="35" s="1"/>
  <c r="D24" i="35" a="1"/>
  <c r="D24" i="35" s="1"/>
  <c r="C24" i="35" a="1"/>
  <c r="C24" i="35" s="1"/>
  <c r="B24" i="35"/>
  <c r="H48" i="35" a="1"/>
  <c r="H48" i="35" s="1"/>
  <c r="G48" i="35" a="1"/>
  <c r="G48" i="35" s="1"/>
  <c r="F48" i="35" a="1"/>
  <c r="F48" i="35" s="1"/>
  <c r="E48" i="35" a="1"/>
  <c r="E48" i="35" s="1"/>
  <c r="D48" i="35" a="1"/>
  <c r="D48" i="35" s="1"/>
  <c r="C48" i="35" a="1"/>
  <c r="C48" i="35" s="1"/>
  <c r="B48" i="35"/>
  <c r="H47" i="35" a="1"/>
  <c r="H47" i="35" s="1"/>
  <c r="G47" i="35" a="1"/>
  <c r="G47" i="35" s="1"/>
  <c r="F47" i="35" a="1"/>
  <c r="F47" i="35" s="1"/>
  <c r="E47" i="35" a="1"/>
  <c r="E47" i="35" s="1"/>
  <c r="D47" i="35" a="1"/>
  <c r="D47" i="35" s="1"/>
  <c r="C47" i="35" a="1"/>
  <c r="C47" i="35" s="1"/>
  <c r="B47" i="35"/>
  <c r="H46" i="35" a="1"/>
  <c r="H46" i="35" s="1"/>
  <c r="G46" i="35" a="1"/>
  <c r="G46" i="35" s="1"/>
  <c r="F46" i="35" a="1"/>
  <c r="F46" i="35" s="1"/>
  <c r="E46" i="35" a="1"/>
  <c r="E46" i="35" s="1"/>
  <c r="D46" i="35" a="1"/>
  <c r="D46" i="35" s="1"/>
  <c r="C46" i="35" a="1"/>
  <c r="C46" i="35" s="1"/>
  <c r="B46" i="35"/>
  <c r="H45" i="35" a="1"/>
  <c r="H45" i="35" s="1"/>
  <c r="G45" i="35" a="1"/>
  <c r="G45" i="35" s="1"/>
  <c r="F45" i="35" a="1"/>
  <c r="F45" i="35" s="1"/>
  <c r="E45" i="35" a="1"/>
  <c r="E45" i="35" s="1"/>
  <c r="D45" i="35" a="1"/>
  <c r="D45" i="35" s="1"/>
  <c r="C45" i="35" a="1"/>
  <c r="C45" i="35" s="1"/>
  <c r="B45" i="35"/>
  <c r="H44" i="35" a="1"/>
  <c r="H44" i="35" s="1"/>
  <c r="G44" i="35" a="1"/>
  <c r="G44" i="35" s="1"/>
  <c r="F44" i="35" a="1"/>
  <c r="F44" i="35" s="1"/>
  <c r="E44" i="35" a="1"/>
  <c r="E44" i="35" s="1"/>
  <c r="D44" i="35" a="1"/>
  <c r="D44" i="35" s="1"/>
  <c r="C44" i="35" a="1"/>
  <c r="C44" i="35" s="1"/>
  <c r="B44" i="35"/>
  <c r="H43" i="35" a="1"/>
  <c r="H43" i="35" s="1"/>
  <c r="G43" i="35" a="1"/>
  <c r="G43" i="35" s="1"/>
  <c r="F43" i="35" a="1"/>
  <c r="F43" i="35" s="1"/>
  <c r="E43" i="35" a="1"/>
  <c r="E43" i="35" s="1"/>
  <c r="D43" i="35" a="1"/>
  <c r="D43" i="35" s="1"/>
  <c r="C43" i="35" a="1"/>
  <c r="C43" i="35" s="1"/>
  <c r="B43" i="35"/>
  <c r="H42" i="35" a="1"/>
  <c r="H42" i="35" s="1"/>
  <c r="G42" i="35" a="1"/>
  <c r="G42" i="35" s="1"/>
  <c r="F42" i="35" a="1"/>
  <c r="F42" i="35" s="1"/>
  <c r="E42" i="35" a="1"/>
  <c r="E42" i="35" s="1"/>
  <c r="D42" i="35" a="1"/>
  <c r="D42" i="35" s="1"/>
  <c r="C42" i="35" a="1"/>
  <c r="C42" i="35" s="1"/>
  <c r="B42" i="35"/>
  <c r="H41" i="35" a="1"/>
  <c r="H41" i="35" s="1"/>
  <c r="G41" i="35" a="1"/>
  <c r="G41" i="35" s="1"/>
  <c r="F41" i="35" a="1"/>
  <c r="F41" i="35" s="1"/>
  <c r="E41" i="35" a="1"/>
  <c r="E41" i="35" s="1"/>
  <c r="D41" i="35" a="1"/>
  <c r="D41" i="35" s="1"/>
  <c r="C41" i="35" a="1"/>
  <c r="C41" i="35" s="1"/>
  <c r="B41" i="35"/>
  <c r="H40" i="35" a="1"/>
  <c r="H40" i="35" s="1"/>
  <c r="G40" i="35" a="1"/>
  <c r="G40" i="35" s="1"/>
  <c r="F40" i="35" a="1"/>
  <c r="F40" i="35" s="1"/>
  <c r="E40" i="35" a="1"/>
  <c r="E40" i="35" s="1"/>
  <c r="D40" i="35" a="1"/>
  <c r="D40" i="35" s="1"/>
  <c r="C40" i="35" a="1"/>
  <c r="C40" i="35" s="1"/>
  <c r="B40" i="35"/>
  <c r="H39" i="35" a="1"/>
  <c r="H39" i="35" s="1"/>
  <c r="G39" i="35" a="1"/>
  <c r="G39" i="35" s="1"/>
  <c r="F39" i="35" a="1"/>
  <c r="F39" i="35" s="1"/>
  <c r="E39" i="35" a="1"/>
  <c r="E39" i="35" s="1"/>
  <c r="D39" i="35" a="1"/>
  <c r="D39" i="35" s="1"/>
  <c r="C39" i="35" a="1"/>
  <c r="C39" i="35" s="1"/>
  <c r="B39" i="35"/>
  <c r="H38" i="35" a="1"/>
  <c r="H38" i="35" s="1"/>
  <c r="G38" i="35" a="1"/>
  <c r="G38" i="35" s="1"/>
  <c r="F38" i="35" a="1"/>
  <c r="F38" i="35" s="1"/>
  <c r="E38" i="35" a="1"/>
  <c r="E38" i="35" s="1"/>
  <c r="D38" i="35" a="1"/>
  <c r="D38" i="35" s="1"/>
  <c r="C38" i="35" a="1"/>
  <c r="C38" i="35" s="1"/>
  <c r="B38" i="35"/>
  <c r="H37" i="35" a="1"/>
  <c r="H37" i="35" s="1"/>
  <c r="G37" i="35" a="1"/>
  <c r="G37" i="35" s="1"/>
  <c r="F37" i="35" a="1"/>
  <c r="F37" i="35" s="1"/>
  <c r="E37" i="35" a="1"/>
  <c r="E37" i="35" s="1"/>
  <c r="D37" i="35" a="1"/>
  <c r="D37" i="35" s="1"/>
  <c r="C37" i="35" a="1"/>
  <c r="C37" i="35" s="1"/>
  <c r="B37" i="35"/>
  <c r="H61" i="35" a="1"/>
  <c r="H61" i="35" s="1"/>
  <c r="G61" i="35" a="1"/>
  <c r="G61" i="35" s="1"/>
  <c r="F61" i="35" a="1"/>
  <c r="F61" i="35" s="1"/>
  <c r="E61" i="35" a="1"/>
  <c r="E61" i="35" s="1"/>
  <c r="D61" i="35" a="1"/>
  <c r="D61" i="35" s="1"/>
  <c r="C61" i="35" a="1"/>
  <c r="C61" i="35" s="1"/>
  <c r="B61" i="35"/>
  <c r="H60" i="35" a="1"/>
  <c r="H60" i="35" s="1"/>
  <c r="G60" i="35" a="1"/>
  <c r="G60" i="35" s="1"/>
  <c r="F60" i="35" a="1"/>
  <c r="F60" i="35" s="1"/>
  <c r="E60" i="35" a="1"/>
  <c r="E60" i="35" s="1"/>
  <c r="D60" i="35" a="1"/>
  <c r="D60" i="35" s="1"/>
  <c r="C60" i="35" a="1"/>
  <c r="C60" i="35" s="1"/>
  <c r="B60" i="35"/>
  <c r="H59" i="35" a="1"/>
  <c r="H59" i="35" s="1"/>
  <c r="G59" i="35" a="1"/>
  <c r="G59" i="35" s="1"/>
  <c r="F59" i="35" a="1"/>
  <c r="F59" i="35" s="1"/>
  <c r="E59" i="35" a="1"/>
  <c r="E59" i="35" s="1"/>
  <c r="D59" i="35" a="1"/>
  <c r="D59" i="35" s="1"/>
  <c r="C59" i="35" a="1"/>
  <c r="C59" i="35" s="1"/>
  <c r="B59" i="35"/>
  <c r="H58" i="35" a="1"/>
  <c r="H58" i="35" s="1"/>
  <c r="G58" i="35" a="1"/>
  <c r="G58" i="35" s="1"/>
  <c r="F58" i="35" a="1"/>
  <c r="F58" i="35" s="1"/>
  <c r="E58" i="35" a="1"/>
  <c r="E58" i="35" s="1"/>
  <c r="D58" i="35" a="1"/>
  <c r="D58" i="35" s="1"/>
  <c r="C58" i="35" a="1"/>
  <c r="C58" i="35" s="1"/>
  <c r="B58" i="35"/>
  <c r="H57" i="35" a="1"/>
  <c r="H57" i="35" s="1"/>
  <c r="G57" i="35" a="1"/>
  <c r="G57" i="35" s="1"/>
  <c r="F57" i="35" a="1"/>
  <c r="F57" i="35" s="1"/>
  <c r="E57" i="35" a="1"/>
  <c r="E57" i="35" s="1"/>
  <c r="D57" i="35" a="1"/>
  <c r="D57" i="35" s="1"/>
  <c r="C57" i="35" a="1"/>
  <c r="C57" i="35" s="1"/>
  <c r="B57" i="35"/>
  <c r="H56" i="35" a="1"/>
  <c r="H56" i="35" s="1"/>
  <c r="G56" i="35" a="1"/>
  <c r="G56" i="35" s="1"/>
  <c r="F56" i="35" a="1"/>
  <c r="F56" i="35" s="1"/>
  <c r="E56" i="35" a="1"/>
  <c r="E56" i="35" s="1"/>
  <c r="D56" i="35" a="1"/>
  <c r="D56" i="35" s="1"/>
  <c r="C56" i="35" a="1"/>
  <c r="C56" i="35" s="1"/>
  <c r="B56" i="35"/>
  <c r="H55" i="35" a="1"/>
  <c r="H55" i="35" s="1"/>
  <c r="G55" i="35" a="1"/>
  <c r="G55" i="35" s="1"/>
  <c r="F55" i="35" a="1"/>
  <c r="F55" i="35" s="1"/>
  <c r="E55" i="35" a="1"/>
  <c r="E55" i="35" s="1"/>
  <c r="D55" i="35" a="1"/>
  <c r="D55" i="35" s="1"/>
  <c r="C55" i="35" a="1"/>
  <c r="C55" i="35" s="1"/>
  <c r="B55" i="35"/>
  <c r="H54" i="35" a="1"/>
  <c r="H54" i="35" s="1"/>
  <c r="G54" i="35" a="1"/>
  <c r="G54" i="35" s="1"/>
  <c r="F54" i="35" a="1"/>
  <c r="F54" i="35" s="1"/>
  <c r="E54" i="35" a="1"/>
  <c r="E54" i="35" s="1"/>
  <c r="D54" i="35" a="1"/>
  <c r="D54" i="35" s="1"/>
  <c r="C54" i="35" a="1"/>
  <c r="C54" i="35" s="1"/>
  <c r="B54" i="35"/>
  <c r="H53" i="35" a="1"/>
  <c r="H53" i="35" s="1"/>
  <c r="G53" i="35" a="1"/>
  <c r="G53" i="35" s="1"/>
  <c r="F53" i="35" a="1"/>
  <c r="F53" i="35" s="1"/>
  <c r="E53" i="35" a="1"/>
  <c r="E53" i="35" s="1"/>
  <c r="D53" i="35" a="1"/>
  <c r="D53" i="35" s="1"/>
  <c r="C53" i="35" a="1"/>
  <c r="C53" i="35" s="1"/>
  <c r="B53" i="35"/>
  <c r="H52" i="35" a="1"/>
  <c r="H52" i="35" s="1"/>
  <c r="G52" i="35" a="1"/>
  <c r="G52" i="35" s="1"/>
  <c r="F52" i="35" a="1"/>
  <c r="F52" i="35" s="1"/>
  <c r="E52" i="35" a="1"/>
  <c r="E52" i="35" s="1"/>
  <c r="D52" i="35" a="1"/>
  <c r="D52" i="35" s="1"/>
  <c r="C52" i="35" a="1"/>
  <c r="C52" i="35" s="1"/>
  <c r="B52" i="35"/>
  <c r="H51" i="35" a="1"/>
  <c r="H51" i="35" s="1"/>
  <c r="G51" i="35" a="1"/>
  <c r="G51" i="35" s="1"/>
  <c r="F51" i="35" a="1"/>
  <c r="F51" i="35" s="1"/>
  <c r="E51" i="35" a="1"/>
  <c r="E51" i="35" s="1"/>
  <c r="D51" i="35" a="1"/>
  <c r="D51" i="35" s="1"/>
  <c r="C51" i="35" a="1"/>
  <c r="C51" i="35" s="1"/>
  <c r="B51" i="35"/>
  <c r="H50" i="35" a="1"/>
  <c r="H50" i="35" s="1"/>
  <c r="G50" i="35" a="1"/>
  <c r="G50" i="35" s="1"/>
  <c r="F50" i="35" a="1"/>
  <c r="F50" i="35" s="1"/>
  <c r="E50" i="35" a="1"/>
  <c r="E50" i="35" s="1"/>
  <c r="D50" i="35" a="1"/>
  <c r="D50" i="35" s="1"/>
  <c r="C50" i="35" a="1"/>
  <c r="C50" i="35" s="1"/>
  <c r="B50" i="35"/>
  <c r="H22" i="33" a="1"/>
  <c r="H22" i="33" s="1"/>
  <c r="G22" i="33" a="1"/>
  <c r="G22" i="33" s="1"/>
  <c r="F22" i="33" a="1"/>
  <c r="F22" i="33" s="1"/>
  <c r="E22" i="33" a="1"/>
  <c r="E22" i="33" s="1"/>
  <c r="D22" i="33" a="1"/>
  <c r="D22" i="33" s="1"/>
  <c r="C22" i="33" a="1"/>
  <c r="C22" i="33" s="1"/>
  <c r="B22" i="33"/>
  <c r="H21" i="33" a="1"/>
  <c r="H21" i="33" s="1"/>
  <c r="G21" i="33" a="1"/>
  <c r="G21" i="33" s="1"/>
  <c r="F21" i="33" a="1"/>
  <c r="F21" i="33" s="1"/>
  <c r="E21" i="33" a="1"/>
  <c r="E21" i="33" s="1"/>
  <c r="D21" i="33" a="1"/>
  <c r="D21" i="33" s="1"/>
  <c r="C21" i="33" a="1"/>
  <c r="C21" i="33" s="1"/>
  <c r="B21" i="33"/>
  <c r="H20" i="33" a="1"/>
  <c r="H20" i="33" s="1"/>
  <c r="G20" i="33" a="1"/>
  <c r="G20" i="33" s="1"/>
  <c r="F20" i="33" a="1"/>
  <c r="F20" i="33" s="1"/>
  <c r="E20" i="33" a="1"/>
  <c r="E20" i="33" s="1"/>
  <c r="D20" i="33" a="1"/>
  <c r="D20" i="33" s="1"/>
  <c r="C20" i="33" a="1"/>
  <c r="C20" i="33" s="1"/>
  <c r="B20" i="33"/>
  <c r="H19" i="33" a="1"/>
  <c r="H19" i="33" s="1"/>
  <c r="G19" i="33" a="1"/>
  <c r="G19" i="33" s="1"/>
  <c r="F19" i="33" a="1"/>
  <c r="F19" i="33" s="1"/>
  <c r="E19" i="33" a="1"/>
  <c r="E19" i="33" s="1"/>
  <c r="D19" i="33" a="1"/>
  <c r="D19" i="33" s="1"/>
  <c r="C19" i="33" a="1"/>
  <c r="C19" i="33" s="1"/>
  <c r="B19" i="33"/>
  <c r="H18" i="33" a="1"/>
  <c r="H18" i="33" s="1"/>
  <c r="G18" i="33" a="1"/>
  <c r="G18" i="33" s="1"/>
  <c r="F18" i="33" a="1"/>
  <c r="F18" i="33" s="1"/>
  <c r="E18" i="33" a="1"/>
  <c r="E18" i="33" s="1"/>
  <c r="D18" i="33" a="1"/>
  <c r="D18" i="33" s="1"/>
  <c r="C18" i="33" a="1"/>
  <c r="C18" i="33" s="1"/>
  <c r="B18" i="33"/>
  <c r="H17" i="33" a="1"/>
  <c r="H17" i="33" s="1"/>
  <c r="G17" i="33" a="1"/>
  <c r="G17" i="33" s="1"/>
  <c r="F17" i="33" a="1"/>
  <c r="F17" i="33" s="1"/>
  <c r="E17" i="33" a="1"/>
  <c r="E17" i="33" s="1"/>
  <c r="D17" i="33" a="1"/>
  <c r="D17" i="33" s="1"/>
  <c r="C17" i="33" a="1"/>
  <c r="C17" i="33" s="1"/>
  <c r="B17" i="33"/>
  <c r="H16" i="33" a="1"/>
  <c r="H16" i="33" s="1"/>
  <c r="G16" i="33" a="1"/>
  <c r="G16" i="33" s="1"/>
  <c r="F16" i="33" a="1"/>
  <c r="F16" i="33" s="1"/>
  <c r="E16" i="33" a="1"/>
  <c r="E16" i="33" s="1"/>
  <c r="D16" i="33" a="1"/>
  <c r="D16" i="33" s="1"/>
  <c r="C16" i="33" a="1"/>
  <c r="C16" i="33" s="1"/>
  <c r="B16" i="33"/>
  <c r="H15" i="33" a="1"/>
  <c r="H15" i="33" s="1"/>
  <c r="G15" i="33" a="1"/>
  <c r="G15" i="33" s="1"/>
  <c r="F15" i="33" a="1"/>
  <c r="F15" i="33" s="1"/>
  <c r="E15" i="33" a="1"/>
  <c r="E15" i="33" s="1"/>
  <c r="D15" i="33" a="1"/>
  <c r="D15" i="33" s="1"/>
  <c r="C15" i="33" a="1"/>
  <c r="C15" i="33" s="1"/>
  <c r="B15" i="33"/>
  <c r="H14" i="33" a="1"/>
  <c r="H14" i="33" s="1"/>
  <c r="G14" i="33" a="1"/>
  <c r="G14" i="33" s="1"/>
  <c r="F14" i="33" a="1"/>
  <c r="F14" i="33" s="1"/>
  <c r="E14" i="33" a="1"/>
  <c r="E14" i="33" s="1"/>
  <c r="D14" i="33" a="1"/>
  <c r="D14" i="33" s="1"/>
  <c r="C14" i="33" a="1"/>
  <c r="C14" i="33" s="1"/>
  <c r="B14" i="33"/>
  <c r="H13" i="33" a="1"/>
  <c r="H13" i="33" s="1"/>
  <c r="G13" i="33" a="1"/>
  <c r="G13" i="33" s="1"/>
  <c r="F13" i="33" a="1"/>
  <c r="F13" i="33" s="1"/>
  <c r="E13" i="33" a="1"/>
  <c r="E13" i="33" s="1"/>
  <c r="D13" i="33" a="1"/>
  <c r="D13" i="33" s="1"/>
  <c r="C13" i="33" a="1"/>
  <c r="C13" i="33" s="1"/>
  <c r="B13" i="33"/>
  <c r="H12" i="33" a="1"/>
  <c r="H12" i="33" s="1"/>
  <c r="G12" i="33" a="1"/>
  <c r="G12" i="33" s="1"/>
  <c r="F12" i="33" a="1"/>
  <c r="F12" i="33" s="1"/>
  <c r="E12" i="33" a="1"/>
  <c r="E12" i="33" s="1"/>
  <c r="D12" i="33" a="1"/>
  <c r="D12" i="33" s="1"/>
  <c r="C12" i="33" a="1"/>
  <c r="C12" i="33" s="1"/>
  <c r="B12" i="33"/>
  <c r="H11" i="33" a="1"/>
  <c r="H11" i="33" s="1"/>
  <c r="G11" i="33" a="1"/>
  <c r="G11" i="33" s="1"/>
  <c r="F11" i="33" a="1"/>
  <c r="F11" i="33" s="1"/>
  <c r="E11" i="33" a="1"/>
  <c r="E11" i="33" s="1"/>
  <c r="C11" i="33" a="1"/>
  <c r="C11" i="33" s="1"/>
  <c r="B11" i="33"/>
  <c r="H35" i="33" a="1"/>
  <c r="H35" i="33" s="1"/>
  <c r="G35" i="33" a="1"/>
  <c r="G35" i="33" s="1"/>
  <c r="F35" i="33" a="1"/>
  <c r="F35" i="33" s="1"/>
  <c r="E35" i="33" a="1"/>
  <c r="E35" i="33" s="1"/>
  <c r="D35" i="33" a="1"/>
  <c r="D35" i="33" s="1"/>
  <c r="C35" i="33" a="1"/>
  <c r="C35" i="33" s="1"/>
  <c r="B35" i="33"/>
  <c r="H34" i="33" a="1"/>
  <c r="H34" i="33" s="1"/>
  <c r="G34" i="33" a="1"/>
  <c r="G34" i="33" s="1"/>
  <c r="F34" i="33" a="1"/>
  <c r="F34" i="33" s="1"/>
  <c r="E34" i="33" a="1"/>
  <c r="E34" i="33" s="1"/>
  <c r="D34" i="33" a="1"/>
  <c r="D34" i="33" s="1"/>
  <c r="C34" i="33" a="1"/>
  <c r="C34" i="33" s="1"/>
  <c r="B34" i="33"/>
  <c r="H33" i="33" a="1"/>
  <c r="H33" i="33" s="1"/>
  <c r="G33" i="33" a="1"/>
  <c r="G33" i="33" s="1"/>
  <c r="F33" i="33" a="1"/>
  <c r="F33" i="33" s="1"/>
  <c r="E33" i="33" a="1"/>
  <c r="E33" i="33" s="1"/>
  <c r="D33" i="33" a="1"/>
  <c r="D33" i="33" s="1"/>
  <c r="C33" i="33" a="1"/>
  <c r="C33" i="33" s="1"/>
  <c r="B33" i="33"/>
  <c r="H32" i="33" a="1"/>
  <c r="H32" i="33" s="1"/>
  <c r="G32" i="33" a="1"/>
  <c r="G32" i="33" s="1"/>
  <c r="F32" i="33" a="1"/>
  <c r="F32" i="33" s="1"/>
  <c r="E32" i="33" a="1"/>
  <c r="E32" i="33" s="1"/>
  <c r="D32" i="33" a="1"/>
  <c r="D32" i="33" s="1"/>
  <c r="C32" i="33" a="1"/>
  <c r="C32" i="33" s="1"/>
  <c r="B32" i="33"/>
  <c r="H31" i="33" a="1"/>
  <c r="H31" i="33" s="1"/>
  <c r="G31" i="33" a="1"/>
  <c r="G31" i="33" s="1"/>
  <c r="F31" i="33" a="1"/>
  <c r="F31" i="33" s="1"/>
  <c r="E31" i="33" a="1"/>
  <c r="E31" i="33" s="1"/>
  <c r="D31" i="33" a="1"/>
  <c r="D31" i="33" s="1"/>
  <c r="C31" i="33" a="1"/>
  <c r="C31" i="33" s="1"/>
  <c r="B31" i="33"/>
  <c r="H30" i="33" a="1"/>
  <c r="H30" i="33" s="1"/>
  <c r="G30" i="33" a="1"/>
  <c r="G30" i="33" s="1"/>
  <c r="F30" i="33" a="1"/>
  <c r="F30" i="33" s="1"/>
  <c r="E30" i="33" a="1"/>
  <c r="E30" i="33" s="1"/>
  <c r="D30" i="33" a="1"/>
  <c r="D30" i="33" s="1"/>
  <c r="C30" i="33" a="1"/>
  <c r="C30" i="33" s="1"/>
  <c r="B30" i="33"/>
  <c r="H29" i="33" a="1"/>
  <c r="H29" i="33" s="1"/>
  <c r="G29" i="33" a="1"/>
  <c r="G29" i="33" s="1"/>
  <c r="F29" i="33" a="1"/>
  <c r="F29" i="33" s="1"/>
  <c r="E29" i="33" a="1"/>
  <c r="E29" i="33" s="1"/>
  <c r="D29" i="33" a="1"/>
  <c r="D29" i="33" s="1"/>
  <c r="C29" i="33" a="1"/>
  <c r="C29" i="33" s="1"/>
  <c r="B29" i="33"/>
  <c r="H28" i="33" a="1"/>
  <c r="H28" i="33" s="1"/>
  <c r="G28" i="33" a="1"/>
  <c r="G28" i="33" s="1"/>
  <c r="F28" i="33" a="1"/>
  <c r="F28" i="33" s="1"/>
  <c r="E28" i="33" a="1"/>
  <c r="E28" i="33" s="1"/>
  <c r="D28" i="33" a="1"/>
  <c r="D28" i="33" s="1"/>
  <c r="C28" i="33" a="1"/>
  <c r="C28" i="33" s="1"/>
  <c r="B28" i="33"/>
  <c r="H27" i="33" a="1"/>
  <c r="H27" i="33" s="1"/>
  <c r="G27" i="33" a="1"/>
  <c r="G27" i="33" s="1"/>
  <c r="F27" i="33" a="1"/>
  <c r="F27" i="33" s="1"/>
  <c r="E27" i="33" a="1"/>
  <c r="E27" i="33" s="1"/>
  <c r="D27" i="33" a="1"/>
  <c r="D27" i="33" s="1"/>
  <c r="C27" i="33" a="1"/>
  <c r="C27" i="33" s="1"/>
  <c r="B27" i="33"/>
  <c r="H26" i="33" a="1"/>
  <c r="H26" i="33" s="1"/>
  <c r="G26" i="33" a="1"/>
  <c r="G26" i="33" s="1"/>
  <c r="F26" i="33" a="1"/>
  <c r="F26" i="33" s="1"/>
  <c r="E26" i="33" a="1"/>
  <c r="E26" i="33" s="1"/>
  <c r="D26" i="33" a="1"/>
  <c r="D26" i="33" s="1"/>
  <c r="C26" i="33" a="1"/>
  <c r="C26" i="33" s="1"/>
  <c r="B26" i="33"/>
  <c r="H25" i="33" a="1"/>
  <c r="H25" i="33" s="1"/>
  <c r="G25" i="33" a="1"/>
  <c r="G25" i="33" s="1"/>
  <c r="F25" i="33" a="1"/>
  <c r="F25" i="33" s="1"/>
  <c r="E25" i="33" a="1"/>
  <c r="E25" i="33" s="1"/>
  <c r="D25" i="33" a="1"/>
  <c r="D25" i="33" s="1"/>
  <c r="C25" i="33" a="1"/>
  <c r="C25" i="33" s="1"/>
  <c r="B25" i="33"/>
  <c r="H24" i="33" a="1"/>
  <c r="H24" i="33" s="1"/>
  <c r="G24" i="33" a="1"/>
  <c r="G24" i="33" s="1"/>
  <c r="F24" i="33" a="1"/>
  <c r="F24" i="33" s="1"/>
  <c r="E24" i="33" a="1"/>
  <c r="E24" i="33" s="1"/>
  <c r="D24" i="33" a="1"/>
  <c r="D24" i="33" s="1"/>
  <c r="C24" i="33" a="1"/>
  <c r="C24" i="33" s="1"/>
  <c r="B24" i="33"/>
  <c r="H48" i="33" a="1"/>
  <c r="H48" i="33" s="1"/>
  <c r="G48" i="33" a="1"/>
  <c r="G48" i="33" s="1"/>
  <c r="F48" i="33" a="1"/>
  <c r="F48" i="33" s="1"/>
  <c r="E48" i="33" a="1"/>
  <c r="E48" i="33" s="1"/>
  <c r="D48" i="33" a="1"/>
  <c r="D48" i="33" s="1"/>
  <c r="C48" i="33" a="1"/>
  <c r="C48" i="33" s="1"/>
  <c r="B48" i="33"/>
  <c r="H47" i="33" a="1"/>
  <c r="H47" i="33" s="1"/>
  <c r="G47" i="33" a="1"/>
  <c r="G47" i="33" s="1"/>
  <c r="F47" i="33" a="1"/>
  <c r="F47" i="33" s="1"/>
  <c r="E47" i="33" a="1"/>
  <c r="E47" i="33" s="1"/>
  <c r="D47" i="33" a="1"/>
  <c r="D47" i="33" s="1"/>
  <c r="C47" i="33" a="1"/>
  <c r="C47" i="33" s="1"/>
  <c r="B47" i="33"/>
  <c r="H46" i="33" a="1"/>
  <c r="H46" i="33" s="1"/>
  <c r="G46" i="33" a="1"/>
  <c r="G46" i="33" s="1"/>
  <c r="F46" i="33" a="1"/>
  <c r="F46" i="33" s="1"/>
  <c r="E46" i="33" a="1"/>
  <c r="E46" i="33" s="1"/>
  <c r="D46" i="33" a="1"/>
  <c r="D46" i="33" s="1"/>
  <c r="C46" i="33" a="1"/>
  <c r="C46" i="33" s="1"/>
  <c r="B46" i="33"/>
  <c r="H45" i="33" a="1"/>
  <c r="H45" i="33" s="1"/>
  <c r="G45" i="33" a="1"/>
  <c r="G45" i="33" s="1"/>
  <c r="F45" i="33" a="1"/>
  <c r="F45" i="33" s="1"/>
  <c r="E45" i="33" a="1"/>
  <c r="E45" i="33" s="1"/>
  <c r="D45" i="33" a="1"/>
  <c r="D45" i="33" s="1"/>
  <c r="C45" i="33" a="1"/>
  <c r="C45" i="33" s="1"/>
  <c r="B45" i="33"/>
  <c r="H44" i="33" a="1"/>
  <c r="H44" i="33" s="1"/>
  <c r="G44" i="33" a="1"/>
  <c r="G44" i="33" s="1"/>
  <c r="F44" i="33" a="1"/>
  <c r="F44" i="33" s="1"/>
  <c r="E44" i="33" a="1"/>
  <c r="E44" i="33" s="1"/>
  <c r="D44" i="33" a="1"/>
  <c r="D44" i="33" s="1"/>
  <c r="C44" i="33" a="1"/>
  <c r="C44" i="33" s="1"/>
  <c r="B44" i="33"/>
  <c r="H43" i="33" a="1"/>
  <c r="H43" i="33" s="1"/>
  <c r="G43" i="33" a="1"/>
  <c r="G43" i="33" s="1"/>
  <c r="F43" i="33" a="1"/>
  <c r="F43" i="33" s="1"/>
  <c r="E43" i="33" a="1"/>
  <c r="E43" i="33" s="1"/>
  <c r="D43" i="33" a="1"/>
  <c r="D43" i="33" s="1"/>
  <c r="C43" i="33" a="1"/>
  <c r="C43" i="33" s="1"/>
  <c r="B43" i="33"/>
  <c r="H42" i="33" a="1"/>
  <c r="H42" i="33" s="1"/>
  <c r="G42" i="33" a="1"/>
  <c r="G42" i="33" s="1"/>
  <c r="F42" i="33" a="1"/>
  <c r="F42" i="33" s="1"/>
  <c r="E42" i="33" a="1"/>
  <c r="E42" i="33" s="1"/>
  <c r="D42" i="33" a="1"/>
  <c r="D42" i="33" s="1"/>
  <c r="C42" i="33" a="1"/>
  <c r="C42" i="33" s="1"/>
  <c r="B42" i="33"/>
  <c r="H41" i="33" a="1"/>
  <c r="H41" i="33" s="1"/>
  <c r="G41" i="33" a="1"/>
  <c r="G41" i="33" s="1"/>
  <c r="F41" i="33" a="1"/>
  <c r="F41" i="33" s="1"/>
  <c r="E41" i="33" a="1"/>
  <c r="E41" i="33" s="1"/>
  <c r="D41" i="33" a="1"/>
  <c r="D41" i="33" s="1"/>
  <c r="C41" i="33" a="1"/>
  <c r="C41" i="33" s="1"/>
  <c r="B41" i="33"/>
  <c r="H40" i="33" a="1"/>
  <c r="H40" i="33" s="1"/>
  <c r="G40" i="33" a="1"/>
  <c r="G40" i="33" s="1"/>
  <c r="F40" i="33" a="1"/>
  <c r="F40" i="33" s="1"/>
  <c r="E40" i="33" a="1"/>
  <c r="E40" i="33" s="1"/>
  <c r="D40" i="33" a="1"/>
  <c r="D40" i="33" s="1"/>
  <c r="C40" i="33" a="1"/>
  <c r="C40" i="33" s="1"/>
  <c r="B40" i="33"/>
  <c r="H39" i="33" a="1"/>
  <c r="H39" i="33" s="1"/>
  <c r="G39" i="33" a="1"/>
  <c r="G39" i="33" s="1"/>
  <c r="F39" i="33" a="1"/>
  <c r="F39" i="33" s="1"/>
  <c r="E39" i="33" a="1"/>
  <c r="E39" i="33" s="1"/>
  <c r="D39" i="33" a="1"/>
  <c r="D39" i="33" s="1"/>
  <c r="C39" i="33" a="1"/>
  <c r="C39" i="33" s="1"/>
  <c r="B39" i="33"/>
  <c r="H38" i="33" a="1"/>
  <c r="H38" i="33" s="1"/>
  <c r="G38" i="33" a="1"/>
  <c r="G38" i="33" s="1"/>
  <c r="F38" i="33" a="1"/>
  <c r="F38" i="33" s="1"/>
  <c r="E38" i="33" a="1"/>
  <c r="E38" i="33" s="1"/>
  <c r="D38" i="33" a="1"/>
  <c r="D38" i="33" s="1"/>
  <c r="C38" i="33" a="1"/>
  <c r="C38" i="33" s="1"/>
  <c r="B38" i="33"/>
  <c r="H37" i="33" a="1"/>
  <c r="H37" i="33" s="1"/>
  <c r="G37" i="33" a="1"/>
  <c r="G37" i="33" s="1"/>
  <c r="F37" i="33" a="1"/>
  <c r="F37" i="33" s="1"/>
  <c r="E37" i="33" a="1"/>
  <c r="E37" i="33" s="1"/>
  <c r="D37" i="33" a="1"/>
  <c r="D37" i="33" s="1"/>
  <c r="C37" i="33" a="1"/>
  <c r="C37" i="33" s="1"/>
  <c r="B37" i="33"/>
  <c r="H61" i="33" a="1"/>
  <c r="H61" i="33" s="1"/>
  <c r="G61" i="33" a="1"/>
  <c r="G61" i="33" s="1"/>
  <c r="F61" i="33" a="1"/>
  <c r="F61" i="33" s="1"/>
  <c r="E61" i="33" a="1"/>
  <c r="E61" i="33" s="1"/>
  <c r="D61" i="33" a="1"/>
  <c r="D61" i="33" s="1"/>
  <c r="C61" i="33" a="1"/>
  <c r="C61" i="33" s="1"/>
  <c r="B61" i="33"/>
  <c r="H60" i="33" a="1"/>
  <c r="H60" i="33" s="1"/>
  <c r="G60" i="33" a="1"/>
  <c r="G60" i="33" s="1"/>
  <c r="F60" i="33" a="1"/>
  <c r="F60" i="33" s="1"/>
  <c r="E60" i="33" a="1"/>
  <c r="E60" i="33" s="1"/>
  <c r="D60" i="33" a="1"/>
  <c r="D60" i="33" s="1"/>
  <c r="C60" i="33" a="1"/>
  <c r="C60" i="33" s="1"/>
  <c r="B60" i="33"/>
  <c r="H59" i="33" a="1"/>
  <c r="H59" i="33" s="1"/>
  <c r="G59" i="33" a="1"/>
  <c r="G59" i="33" s="1"/>
  <c r="F59" i="33" a="1"/>
  <c r="F59" i="33" s="1"/>
  <c r="E59" i="33" a="1"/>
  <c r="E59" i="33" s="1"/>
  <c r="D59" i="33" a="1"/>
  <c r="D59" i="33" s="1"/>
  <c r="C59" i="33" a="1"/>
  <c r="C59" i="33" s="1"/>
  <c r="B59" i="33"/>
  <c r="H58" i="33" a="1"/>
  <c r="H58" i="33" s="1"/>
  <c r="G58" i="33" a="1"/>
  <c r="G58" i="33" s="1"/>
  <c r="F58" i="33" a="1"/>
  <c r="F58" i="33" s="1"/>
  <c r="E58" i="33" a="1"/>
  <c r="E58" i="33" s="1"/>
  <c r="D58" i="33" a="1"/>
  <c r="D58" i="33" s="1"/>
  <c r="C58" i="33" a="1"/>
  <c r="C58" i="33" s="1"/>
  <c r="B58" i="33"/>
  <c r="H57" i="33" a="1"/>
  <c r="H57" i="33" s="1"/>
  <c r="G57" i="33" a="1"/>
  <c r="G57" i="33" s="1"/>
  <c r="F57" i="33" a="1"/>
  <c r="F57" i="33" s="1"/>
  <c r="E57" i="33" a="1"/>
  <c r="E57" i="33" s="1"/>
  <c r="D57" i="33" a="1"/>
  <c r="D57" i="33" s="1"/>
  <c r="C57" i="33" a="1"/>
  <c r="C57" i="33" s="1"/>
  <c r="B57" i="33"/>
  <c r="H56" i="33" a="1"/>
  <c r="H56" i="33" s="1"/>
  <c r="G56" i="33" a="1"/>
  <c r="G56" i="33" s="1"/>
  <c r="F56" i="33" a="1"/>
  <c r="F56" i="33" s="1"/>
  <c r="E56" i="33" a="1"/>
  <c r="E56" i="33" s="1"/>
  <c r="D56" i="33" a="1"/>
  <c r="D56" i="33" s="1"/>
  <c r="C56" i="33" a="1"/>
  <c r="C56" i="33" s="1"/>
  <c r="B56" i="33"/>
  <c r="H55" i="33" a="1"/>
  <c r="H55" i="33" s="1"/>
  <c r="G55" i="33" a="1"/>
  <c r="G55" i="33" s="1"/>
  <c r="F55" i="33" a="1"/>
  <c r="F55" i="33" s="1"/>
  <c r="E55" i="33" a="1"/>
  <c r="E55" i="33" s="1"/>
  <c r="D55" i="33" a="1"/>
  <c r="D55" i="33" s="1"/>
  <c r="C55" i="33" a="1"/>
  <c r="C55" i="33" s="1"/>
  <c r="B55" i="33"/>
  <c r="H54" i="33" a="1"/>
  <c r="H54" i="33" s="1"/>
  <c r="G54" i="33" a="1"/>
  <c r="G54" i="33" s="1"/>
  <c r="F54" i="33" a="1"/>
  <c r="F54" i="33" s="1"/>
  <c r="E54" i="33" a="1"/>
  <c r="E54" i="33" s="1"/>
  <c r="D54" i="33" a="1"/>
  <c r="D54" i="33" s="1"/>
  <c r="C54" i="33" a="1"/>
  <c r="C54" i="33" s="1"/>
  <c r="B54" i="33"/>
  <c r="H53" i="33" a="1"/>
  <c r="H53" i="33" s="1"/>
  <c r="G53" i="33" a="1"/>
  <c r="G53" i="33" s="1"/>
  <c r="F53" i="33" a="1"/>
  <c r="F53" i="33" s="1"/>
  <c r="E53" i="33" a="1"/>
  <c r="E53" i="33" s="1"/>
  <c r="D53" i="33" a="1"/>
  <c r="D53" i="33" s="1"/>
  <c r="C53" i="33" a="1"/>
  <c r="C53" i="33" s="1"/>
  <c r="B53" i="33"/>
  <c r="H52" i="33" a="1"/>
  <c r="H52" i="33" s="1"/>
  <c r="G52" i="33" a="1"/>
  <c r="G52" i="33" s="1"/>
  <c r="F52" i="33" a="1"/>
  <c r="F52" i="33" s="1"/>
  <c r="E52" i="33" a="1"/>
  <c r="E52" i="33" s="1"/>
  <c r="D52" i="33" a="1"/>
  <c r="D52" i="33" s="1"/>
  <c r="C52" i="33" a="1"/>
  <c r="C52" i="33" s="1"/>
  <c r="B52" i="33"/>
  <c r="H51" i="33" a="1"/>
  <c r="H51" i="33" s="1"/>
  <c r="G51" i="33" a="1"/>
  <c r="G51" i="33" s="1"/>
  <c r="F51" i="33" a="1"/>
  <c r="F51" i="33" s="1"/>
  <c r="E51" i="33" a="1"/>
  <c r="E51" i="33" s="1"/>
  <c r="D51" i="33" a="1"/>
  <c r="D51" i="33" s="1"/>
  <c r="C51" i="33" a="1"/>
  <c r="C51" i="33" s="1"/>
  <c r="B51" i="33"/>
  <c r="H50" i="33" a="1"/>
  <c r="H50" i="33" s="1"/>
  <c r="G50" i="33" a="1"/>
  <c r="G50" i="33" s="1"/>
  <c r="F50" i="33" a="1"/>
  <c r="F50" i="33" s="1"/>
  <c r="E50" i="33" a="1"/>
  <c r="E50" i="33" s="1"/>
  <c r="C50" i="33" a="1"/>
  <c r="C50" i="33" s="1"/>
  <c r="B50" i="33"/>
  <c r="D50" i="33" s="1" a="1"/>
  <c r="D50" i="33" s="1"/>
  <c r="H22" i="31" a="1"/>
  <c r="H22" i="31" s="1"/>
  <c r="G22" i="31" a="1"/>
  <c r="G22" i="31" s="1"/>
  <c r="F22" i="31" a="1"/>
  <c r="F22" i="31" s="1"/>
  <c r="E22" i="31" a="1"/>
  <c r="E22" i="31" s="1"/>
  <c r="D22" i="31" a="1"/>
  <c r="D22" i="31" s="1"/>
  <c r="C22" i="31" a="1"/>
  <c r="C22" i="31" s="1"/>
  <c r="B22" i="31"/>
  <c r="H21" i="31" a="1"/>
  <c r="H21" i="31" s="1"/>
  <c r="G21" i="31" a="1"/>
  <c r="G21" i="31" s="1"/>
  <c r="F21" i="31" a="1"/>
  <c r="F21" i="31" s="1"/>
  <c r="E21" i="31" a="1"/>
  <c r="E21" i="31" s="1"/>
  <c r="D21" i="31" a="1"/>
  <c r="D21" i="31" s="1"/>
  <c r="C21" i="31" a="1"/>
  <c r="C21" i="31" s="1"/>
  <c r="B21" i="31"/>
  <c r="H20" i="31" a="1"/>
  <c r="H20" i="31" s="1"/>
  <c r="G20" i="31" a="1"/>
  <c r="G20" i="31" s="1"/>
  <c r="F20" i="31" a="1"/>
  <c r="F20" i="31" s="1"/>
  <c r="E20" i="31" a="1"/>
  <c r="E20" i="31" s="1"/>
  <c r="D20" i="31" a="1"/>
  <c r="D20" i="31" s="1"/>
  <c r="C20" i="31" a="1"/>
  <c r="C20" i="31" s="1"/>
  <c r="B20" i="31"/>
  <c r="H19" i="31" a="1"/>
  <c r="H19" i="31" s="1"/>
  <c r="G19" i="31" a="1"/>
  <c r="G19" i="31" s="1"/>
  <c r="F19" i="31" a="1"/>
  <c r="F19" i="31" s="1"/>
  <c r="E19" i="31" a="1"/>
  <c r="E19" i="31" s="1"/>
  <c r="D19" i="31" a="1"/>
  <c r="D19" i="31" s="1"/>
  <c r="C19" i="31" a="1"/>
  <c r="C19" i="31" s="1"/>
  <c r="B19" i="31"/>
  <c r="H18" i="31" a="1"/>
  <c r="H18" i="31" s="1"/>
  <c r="G18" i="31" a="1"/>
  <c r="G18" i="31" s="1"/>
  <c r="F18" i="31" a="1"/>
  <c r="F18" i="31" s="1"/>
  <c r="E18" i="31" a="1"/>
  <c r="E18" i="31" s="1"/>
  <c r="D18" i="31" a="1"/>
  <c r="D18" i="31" s="1"/>
  <c r="C18" i="31" a="1"/>
  <c r="C18" i="31" s="1"/>
  <c r="B18" i="31"/>
  <c r="H17" i="31" a="1"/>
  <c r="H17" i="31" s="1"/>
  <c r="G17" i="31" a="1"/>
  <c r="G17" i="31" s="1"/>
  <c r="F17" i="31" a="1"/>
  <c r="F17" i="31" s="1"/>
  <c r="E17" i="31" a="1"/>
  <c r="E17" i="31" s="1"/>
  <c r="D17" i="31" a="1"/>
  <c r="D17" i="31" s="1"/>
  <c r="C17" i="31" a="1"/>
  <c r="C17" i="31" s="1"/>
  <c r="B17" i="31"/>
  <c r="H16" i="31" a="1"/>
  <c r="H16" i="31" s="1"/>
  <c r="G16" i="31" a="1"/>
  <c r="G16" i="31" s="1"/>
  <c r="F16" i="31" a="1"/>
  <c r="F16" i="31" s="1"/>
  <c r="E16" i="31" a="1"/>
  <c r="E16" i="31" s="1"/>
  <c r="D16" i="31" a="1"/>
  <c r="D16" i="31" s="1"/>
  <c r="C16" i="31" a="1"/>
  <c r="C16" i="31" s="1"/>
  <c r="B16" i="31"/>
  <c r="H15" i="31" a="1"/>
  <c r="H15" i="31" s="1"/>
  <c r="G15" i="31" a="1"/>
  <c r="G15" i="31" s="1"/>
  <c r="F15" i="31" a="1"/>
  <c r="F15" i="31" s="1"/>
  <c r="E15" i="31" a="1"/>
  <c r="E15" i="31" s="1"/>
  <c r="D15" i="31" a="1"/>
  <c r="D15" i="31" s="1"/>
  <c r="C15" i="31" a="1"/>
  <c r="C15" i="31" s="1"/>
  <c r="B15" i="31"/>
  <c r="H14" i="31" a="1"/>
  <c r="H14" i="31" s="1"/>
  <c r="G14" i="31" a="1"/>
  <c r="G14" i="31" s="1"/>
  <c r="F14" i="31" a="1"/>
  <c r="F14" i="31" s="1"/>
  <c r="E14" i="31" a="1"/>
  <c r="E14" i="31" s="1"/>
  <c r="D14" i="31" a="1"/>
  <c r="D14" i="31" s="1"/>
  <c r="C14" i="31" a="1"/>
  <c r="C14" i="31" s="1"/>
  <c r="B14" i="31"/>
  <c r="H13" i="31" a="1"/>
  <c r="H13" i="31" s="1"/>
  <c r="G13" i="31" a="1"/>
  <c r="G13" i="31" s="1"/>
  <c r="F13" i="31" a="1"/>
  <c r="F13" i="31" s="1"/>
  <c r="E13" i="31" a="1"/>
  <c r="E13" i="31" s="1"/>
  <c r="D13" i="31" a="1"/>
  <c r="D13" i="31" s="1"/>
  <c r="C13" i="31" a="1"/>
  <c r="C13" i="31" s="1"/>
  <c r="B13" i="31"/>
  <c r="H12" i="31" a="1"/>
  <c r="H12" i="31" s="1"/>
  <c r="G12" i="31" a="1"/>
  <c r="G12" i="31" s="1"/>
  <c r="F12" i="31" a="1"/>
  <c r="F12" i="31" s="1"/>
  <c r="E12" i="31" a="1"/>
  <c r="E12" i="31" s="1"/>
  <c r="D12" i="31" a="1"/>
  <c r="D12" i="31" s="1"/>
  <c r="C12" i="31" a="1"/>
  <c r="C12" i="31" s="1"/>
  <c r="B12" i="31"/>
  <c r="H11" i="31" a="1"/>
  <c r="H11" i="31" s="1"/>
  <c r="G11" i="31" a="1"/>
  <c r="G11" i="31" s="1"/>
  <c r="F11" i="31" a="1"/>
  <c r="F11" i="31" s="1"/>
  <c r="E11" i="31" a="1"/>
  <c r="E11" i="31" s="1"/>
  <c r="D11" i="31" a="1"/>
  <c r="D11" i="31" s="1"/>
  <c r="C11" i="31" a="1"/>
  <c r="C11" i="31" s="1"/>
  <c r="B11" i="31"/>
  <c r="H35" i="31" a="1"/>
  <c r="H35" i="31" s="1"/>
  <c r="G35" i="31" a="1"/>
  <c r="G35" i="31" s="1"/>
  <c r="F35" i="31" a="1"/>
  <c r="F35" i="31" s="1"/>
  <c r="E35" i="31" a="1"/>
  <c r="E35" i="31" s="1"/>
  <c r="D35" i="31" a="1"/>
  <c r="D35" i="31" s="1"/>
  <c r="C35" i="31" a="1"/>
  <c r="C35" i="31" s="1"/>
  <c r="B35" i="31"/>
  <c r="H34" i="31" a="1"/>
  <c r="H34" i="31" s="1"/>
  <c r="G34" i="31" a="1"/>
  <c r="G34" i="31" s="1"/>
  <c r="F34" i="31" a="1"/>
  <c r="F34" i="31" s="1"/>
  <c r="E34" i="31" a="1"/>
  <c r="E34" i="31" s="1"/>
  <c r="D34" i="31" a="1"/>
  <c r="D34" i="31" s="1"/>
  <c r="C34" i="31" a="1"/>
  <c r="C34" i="31" s="1"/>
  <c r="B34" i="31"/>
  <c r="H33" i="31" a="1"/>
  <c r="H33" i="31" s="1"/>
  <c r="G33" i="31" a="1"/>
  <c r="G33" i="31" s="1"/>
  <c r="F33" i="31" a="1"/>
  <c r="F33" i="31" s="1"/>
  <c r="E33" i="31" a="1"/>
  <c r="E33" i="31" s="1"/>
  <c r="D33" i="31" a="1"/>
  <c r="D33" i="31" s="1"/>
  <c r="C33" i="31" a="1"/>
  <c r="C33" i="31" s="1"/>
  <c r="B33" i="31"/>
  <c r="H32" i="31" a="1"/>
  <c r="H32" i="31" s="1"/>
  <c r="G32" i="31" a="1"/>
  <c r="G32" i="31" s="1"/>
  <c r="F32" i="31" a="1"/>
  <c r="F32" i="31" s="1"/>
  <c r="E32" i="31" a="1"/>
  <c r="E32" i="31" s="1"/>
  <c r="D32" i="31" a="1"/>
  <c r="D32" i="31" s="1"/>
  <c r="C32" i="31" a="1"/>
  <c r="C32" i="31" s="1"/>
  <c r="B32" i="31"/>
  <c r="H31" i="31" a="1"/>
  <c r="H31" i="31" s="1"/>
  <c r="G31" i="31" a="1"/>
  <c r="G31" i="31" s="1"/>
  <c r="F31" i="31" a="1"/>
  <c r="F31" i="31" s="1"/>
  <c r="E31" i="31" a="1"/>
  <c r="E31" i="31" s="1"/>
  <c r="D31" i="31" a="1"/>
  <c r="D31" i="31" s="1"/>
  <c r="C31" i="31" a="1"/>
  <c r="C31" i="31" s="1"/>
  <c r="B31" i="31"/>
  <c r="H30" i="31" a="1"/>
  <c r="H30" i="31" s="1"/>
  <c r="G30" i="31" a="1"/>
  <c r="G30" i="31" s="1"/>
  <c r="F30" i="31" a="1"/>
  <c r="F30" i="31" s="1"/>
  <c r="E30" i="31" a="1"/>
  <c r="E30" i="31" s="1"/>
  <c r="D30" i="31" a="1"/>
  <c r="D30" i="31" s="1"/>
  <c r="C30" i="31" a="1"/>
  <c r="C30" i="31" s="1"/>
  <c r="B30" i="31"/>
  <c r="H29" i="31" a="1"/>
  <c r="H29" i="31" s="1"/>
  <c r="G29" i="31" a="1"/>
  <c r="G29" i="31" s="1"/>
  <c r="F29" i="31" a="1"/>
  <c r="F29" i="31" s="1"/>
  <c r="E29" i="31" a="1"/>
  <c r="E29" i="31" s="1"/>
  <c r="D29" i="31" a="1"/>
  <c r="D29" i="31" s="1"/>
  <c r="C29" i="31" a="1"/>
  <c r="C29" i="31" s="1"/>
  <c r="B29" i="31"/>
  <c r="H28" i="31" a="1"/>
  <c r="H28" i="31" s="1"/>
  <c r="G28" i="31" a="1"/>
  <c r="G28" i="31" s="1"/>
  <c r="F28" i="31" a="1"/>
  <c r="F28" i="31" s="1"/>
  <c r="E28" i="31" a="1"/>
  <c r="E28" i="31" s="1"/>
  <c r="D28" i="31" a="1"/>
  <c r="D28" i="31" s="1"/>
  <c r="C28" i="31" a="1"/>
  <c r="C28" i="31" s="1"/>
  <c r="B28" i="31"/>
  <c r="H27" i="31" a="1"/>
  <c r="H27" i="31" s="1"/>
  <c r="G27" i="31" a="1"/>
  <c r="G27" i="31" s="1"/>
  <c r="F27" i="31" a="1"/>
  <c r="F27" i="31" s="1"/>
  <c r="E27" i="31" a="1"/>
  <c r="E27" i="31" s="1"/>
  <c r="D27" i="31" a="1"/>
  <c r="D27" i="31" s="1"/>
  <c r="C27" i="31" a="1"/>
  <c r="C27" i="31" s="1"/>
  <c r="B27" i="31"/>
  <c r="H26" i="31" a="1"/>
  <c r="H26" i="31" s="1"/>
  <c r="G26" i="31" a="1"/>
  <c r="G26" i="31" s="1"/>
  <c r="F26" i="31" a="1"/>
  <c r="F26" i="31" s="1"/>
  <c r="E26" i="31" a="1"/>
  <c r="E26" i="31" s="1"/>
  <c r="D26" i="31" a="1"/>
  <c r="D26" i="31" s="1"/>
  <c r="C26" i="31" a="1"/>
  <c r="C26" i="31" s="1"/>
  <c r="B26" i="31"/>
  <c r="H25" i="31" a="1"/>
  <c r="H25" i="31" s="1"/>
  <c r="G25" i="31" a="1"/>
  <c r="G25" i="31" s="1"/>
  <c r="F25" i="31" a="1"/>
  <c r="F25" i="31" s="1"/>
  <c r="E25" i="31" a="1"/>
  <c r="E25" i="31" s="1"/>
  <c r="D25" i="31" a="1"/>
  <c r="D25" i="31" s="1"/>
  <c r="C25" i="31" a="1"/>
  <c r="C25" i="31" s="1"/>
  <c r="B25" i="31"/>
  <c r="H24" i="31" a="1"/>
  <c r="H24" i="31" s="1"/>
  <c r="G24" i="31" a="1"/>
  <c r="G24" i="31" s="1"/>
  <c r="F24" i="31" a="1"/>
  <c r="F24" i="31" s="1"/>
  <c r="E24" i="31" a="1"/>
  <c r="E24" i="31" s="1"/>
  <c r="D24" i="31" a="1"/>
  <c r="D24" i="31" s="1"/>
  <c r="C24" i="31" a="1"/>
  <c r="C24" i="31" s="1"/>
  <c r="B24" i="31"/>
  <c r="H48" i="31" a="1"/>
  <c r="H48" i="31" s="1"/>
  <c r="G48" i="31" a="1"/>
  <c r="G48" i="31" s="1"/>
  <c r="F48" i="31" a="1"/>
  <c r="F48" i="31" s="1"/>
  <c r="E48" i="31" a="1"/>
  <c r="E48" i="31" s="1"/>
  <c r="D48" i="31" a="1"/>
  <c r="D48" i="31" s="1"/>
  <c r="C48" i="31" a="1"/>
  <c r="C48" i="31" s="1"/>
  <c r="B48" i="31"/>
  <c r="H47" i="31" a="1"/>
  <c r="H47" i="31" s="1"/>
  <c r="G47" i="31" a="1"/>
  <c r="G47" i="31" s="1"/>
  <c r="F47" i="31" a="1"/>
  <c r="F47" i="31" s="1"/>
  <c r="E47" i="31" a="1"/>
  <c r="E47" i="31" s="1"/>
  <c r="D47" i="31" a="1"/>
  <c r="D47" i="31" s="1"/>
  <c r="C47" i="31" a="1"/>
  <c r="C47" i="31" s="1"/>
  <c r="B47" i="31"/>
  <c r="H46" i="31" a="1"/>
  <c r="H46" i="31" s="1"/>
  <c r="G46" i="31" a="1"/>
  <c r="G46" i="31" s="1"/>
  <c r="F46" i="31" a="1"/>
  <c r="F46" i="31" s="1"/>
  <c r="E46" i="31" a="1"/>
  <c r="E46" i="31" s="1"/>
  <c r="D46" i="31" a="1"/>
  <c r="D46" i="31" s="1"/>
  <c r="C46" i="31" a="1"/>
  <c r="C46" i="31" s="1"/>
  <c r="B46" i="31"/>
  <c r="H45" i="31" a="1"/>
  <c r="H45" i="31" s="1"/>
  <c r="G45" i="31" a="1"/>
  <c r="G45" i="31" s="1"/>
  <c r="F45" i="31" a="1"/>
  <c r="F45" i="31" s="1"/>
  <c r="E45" i="31" a="1"/>
  <c r="E45" i="31" s="1"/>
  <c r="D45" i="31" a="1"/>
  <c r="D45" i="31" s="1"/>
  <c r="C45" i="31" a="1"/>
  <c r="C45" i="31" s="1"/>
  <c r="B45" i="31"/>
  <c r="H44" i="31" a="1"/>
  <c r="H44" i="31" s="1"/>
  <c r="G44" i="31" a="1"/>
  <c r="G44" i="31" s="1"/>
  <c r="F44" i="31" a="1"/>
  <c r="F44" i="31" s="1"/>
  <c r="E44" i="31" a="1"/>
  <c r="E44" i="31" s="1"/>
  <c r="D44" i="31" a="1"/>
  <c r="D44" i="31" s="1"/>
  <c r="C44" i="31" a="1"/>
  <c r="C44" i="31" s="1"/>
  <c r="B44" i="31"/>
  <c r="H43" i="31" a="1"/>
  <c r="H43" i="31" s="1"/>
  <c r="G43" i="31" a="1"/>
  <c r="G43" i="31" s="1"/>
  <c r="F43" i="31" a="1"/>
  <c r="F43" i="31" s="1"/>
  <c r="E43" i="31" a="1"/>
  <c r="E43" i="31" s="1"/>
  <c r="D43" i="31" a="1"/>
  <c r="D43" i="31" s="1"/>
  <c r="C43" i="31" a="1"/>
  <c r="C43" i="31" s="1"/>
  <c r="B43" i="31"/>
  <c r="H42" i="31" a="1"/>
  <c r="H42" i="31" s="1"/>
  <c r="G42" i="31" a="1"/>
  <c r="G42" i="31" s="1"/>
  <c r="F42" i="31" a="1"/>
  <c r="F42" i="31" s="1"/>
  <c r="E42" i="31" a="1"/>
  <c r="E42" i="31" s="1"/>
  <c r="D42" i="31" a="1"/>
  <c r="D42" i="31" s="1"/>
  <c r="C42" i="31" a="1"/>
  <c r="C42" i="31" s="1"/>
  <c r="B42" i="31"/>
  <c r="H41" i="31" a="1"/>
  <c r="H41" i="31" s="1"/>
  <c r="G41" i="31" a="1"/>
  <c r="G41" i="31" s="1"/>
  <c r="F41" i="31" a="1"/>
  <c r="F41" i="31" s="1"/>
  <c r="E41" i="31" a="1"/>
  <c r="E41" i="31" s="1"/>
  <c r="D41" i="31" a="1"/>
  <c r="D41" i="31" s="1"/>
  <c r="C41" i="31" a="1"/>
  <c r="C41" i="31" s="1"/>
  <c r="B41" i="31"/>
  <c r="H40" i="31" a="1"/>
  <c r="H40" i="31" s="1"/>
  <c r="G40" i="31" a="1"/>
  <c r="G40" i="31" s="1"/>
  <c r="F40" i="31" a="1"/>
  <c r="F40" i="31" s="1"/>
  <c r="E40" i="31" a="1"/>
  <c r="E40" i="31" s="1"/>
  <c r="D40" i="31" a="1"/>
  <c r="D40" i="31" s="1"/>
  <c r="C40" i="31" a="1"/>
  <c r="C40" i="31" s="1"/>
  <c r="B40" i="31"/>
  <c r="H39" i="31" a="1"/>
  <c r="H39" i="31" s="1"/>
  <c r="G39" i="31" a="1"/>
  <c r="G39" i="31" s="1"/>
  <c r="F39" i="31" a="1"/>
  <c r="F39" i="31" s="1"/>
  <c r="E39" i="31" a="1"/>
  <c r="E39" i="31" s="1"/>
  <c r="D39" i="31" a="1"/>
  <c r="D39" i="31" s="1"/>
  <c r="C39" i="31" a="1"/>
  <c r="C39" i="31" s="1"/>
  <c r="B39" i="31"/>
  <c r="H38" i="31" a="1"/>
  <c r="H38" i="31" s="1"/>
  <c r="G38" i="31" a="1"/>
  <c r="G38" i="31" s="1"/>
  <c r="F38" i="31" a="1"/>
  <c r="F38" i="31" s="1"/>
  <c r="E38" i="31" a="1"/>
  <c r="E38" i="31" s="1"/>
  <c r="D38" i="31" a="1"/>
  <c r="D38" i="31" s="1"/>
  <c r="C38" i="31" a="1"/>
  <c r="C38" i="31" s="1"/>
  <c r="B38" i="31"/>
  <c r="H37" i="31" a="1"/>
  <c r="H37" i="31" s="1"/>
  <c r="G37" i="31" a="1"/>
  <c r="G37" i="31" s="1"/>
  <c r="F37" i="31" a="1"/>
  <c r="F37" i="31" s="1"/>
  <c r="E37" i="31" a="1"/>
  <c r="E37" i="31" s="1"/>
  <c r="D37" i="31" a="1"/>
  <c r="D37" i="31" s="1"/>
  <c r="C37" i="31" a="1"/>
  <c r="C37" i="31" s="1"/>
  <c r="B37" i="31"/>
  <c r="H61" i="31" a="1"/>
  <c r="H61" i="31" s="1"/>
  <c r="G61" i="31" a="1"/>
  <c r="G61" i="31" s="1"/>
  <c r="F61" i="31" a="1"/>
  <c r="F61" i="31" s="1"/>
  <c r="E61" i="31" a="1"/>
  <c r="E61" i="31" s="1"/>
  <c r="D61" i="31" a="1"/>
  <c r="D61" i="31" s="1"/>
  <c r="C61" i="31" a="1"/>
  <c r="C61" i="31" s="1"/>
  <c r="B61" i="31"/>
  <c r="H60" i="31" a="1"/>
  <c r="H60" i="31" s="1"/>
  <c r="G60" i="31" a="1"/>
  <c r="G60" i="31" s="1"/>
  <c r="F60" i="31" a="1"/>
  <c r="F60" i="31" s="1"/>
  <c r="E60" i="31" a="1"/>
  <c r="E60" i="31" s="1"/>
  <c r="D60" i="31" a="1"/>
  <c r="D60" i="31" s="1"/>
  <c r="C60" i="31" a="1"/>
  <c r="C60" i="31" s="1"/>
  <c r="B60" i="31"/>
  <c r="H59" i="31" a="1"/>
  <c r="H59" i="31" s="1"/>
  <c r="G59" i="31" a="1"/>
  <c r="G59" i="31" s="1"/>
  <c r="F59" i="31" a="1"/>
  <c r="F59" i="31" s="1"/>
  <c r="E59" i="31" a="1"/>
  <c r="E59" i="31" s="1"/>
  <c r="D59" i="31" a="1"/>
  <c r="D59" i="31" s="1"/>
  <c r="C59" i="31" a="1"/>
  <c r="C59" i="31" s="1"/>
  <c r="B59" i="31"/>
  <c r="H58" i="31" a="1"/>
  <c r="H58" i="31" s="1"/>
  <c r="G58" i="31" a="1"/>
  <c r="G58" i="31" s="1"/>
  <c r="F58" i="31" a="1"/>
  <c r="F58" i="31" s="1"/>
  <c r="E58" i="31" a="1"/>
  <c r="E58" i="31" s="1"/>
  <c r="D58" i="31" a="1"/>
  <c r="D58" i="31" s="1"/>
  <c r="C58" i="31" a="1"/>
  <c r="C58" i="31" s="1"/>
  <c r="B58" i="31"/>
  <c r="H57" i="31" a="1"/>
  <c r="H57" i="31" s="1"/>
  <c r="G57" i="31" a="1"/>
  <c r="G57" i="31" s="1"/>
  <c r="F57" i="31" a="1"/>
  <c r="F57" i="31" s="1"/>
  <c r="E57" i="31" a="1"/>
  <c r="E57" i="31" s="1"/>
  <c r="D57" i="31" a="1"/>
  <c r="D57" i="31" s="1"/>
  <c r="C57" i="31" a="1"/>
  <c r="C57" i="31" s="1"/>
  <c r="B57" i="31"/>
  <c r="H56" i="31" a="1"/>
  <c r="H56" i="31" s="1"/>
  <c r="G56" i="31" a="1"/>
  <c r="G56" i="31" s="1"/>
  <c r="F56" i="31" a="1"/>
  <c r="F56" i="31" s="1"/>
  <c r="E56" i="31" a="1"/>
  <c r="E56" i="31" s="1"/>
  <c r="D56" i="31" a="1"/>
  <c r="D56" i="31" s="1"/>
  <c r="C56" i="31" a="1"/>
  <c r="C56" i="31" s="1"/>
  <c r="B56" i="31"/>
  <c r="H55" i="31" a="1"/>
  <c r="H55" i="31" s="1"/>
  <c r="G55" i="31" a="1"/>
  <c r="G55" i="31" s="1"/>
  <c r="F55" i="31" a="1"/>
  <c r="F55" i="31" s="1"/>
  <c r="E55" i="31" a="1"/>
  <c r="E55" i="31" s="1"/>
  <c r="D55" i="31" a="1"/>
  <c r="D55" i="31" s="1"/>
  <c r="C55" i="31" a="1"/>
  <c r="C55" i="31" s="1"/>
  <c r="B55" i="31"/>
  <c r="H54" i="31" a="1"/>
  <c r="H54" i="31" s="1"/>
  <c r="G54" i="31" a="1"/>
  <c r="G54" i="31" s="1"/>
  <c r="F54" i="31" a="1"/>
  <c r="F54" i="31" s="1"/>
  <c r="E54" i="31" a="1"/>
  <c r="E54" i="31" s="1"/>
  <c r="D54" i="31" a="1"/>
  <c r="D54" i="31" s="1"/>
  <c r="C54" i="31" a="1"/>
  <c r="C54" i="31" s="1"/>
  <c r="B54" i="31"/>
  <c r="H53" i="31" a="1"/>
  <c r="H53" i="31" s="1"/>
  <c r="G53" i="31" a="1"/>
  <c r="G53" i="31" s="1"/>
  <c r="F53" i="31" a="1"/>
  <c r="F53" i="31" s="1"/>
  <c r="E53" i="31" a="1"/>
  <c r="E53" i="31" s="1"/>
  <c r="D53" i="31" a="1"/>
  <c r="D53" i="31" s="1"/>
  <c r="C53" i="31" a="1"/>
  <c r="C53" i="31" s="1"/>
  <c r="B53" i="31"/>
  <c r="H52" i="31" a="1"/>
  <c r="H52" i="31" s="1"/>
  <c r="G52" i="31" a="1"/>
  <c r="G52" i="31" s="1"/>
  <c r="F52" i="31" a="1"/>
  <c r="F52" i="31" s="1"/>
  <c r="E52" i="31" a="1"/>
  <c r="E52" i="31" s="1"/>
  <c r="D52" i="31" a="1"/>
  <c r="D52" i="31" s="1"/>
  <c r="C52" i="31" a="1"/>
  <c r="C52" i="31" s="1"/>
  <c r="B52" i="31"/>
  <c r="H51" i="31" a="1"/>
  <c r="H51" i="31" s="1"/>
  <c r="G51" i="31" a="1"/>
  <c r="G51" i="31" s="1"/>
  <c r="F51" i="31" a="1"/>
  <c r="F51" i="31" s="1"/>
  <c r="E51" i="31" a="1"/>
  <c r="E51" i="31" s="1"/>
  <c r="D51" i="31" a="1"/>
  <c r="D51" i="31" s="1"/>
  <c r="C51" i="31" a="1"/>
  <c r="C51" i="31" s="1"/>
  <c r="B51" i="31"/>
  <c r="H50" i="31" a="1"/>
  <c r="H50" i="31" s="1"/>
  <c r="G50" i="31" a="1"/>
  <c r="G50" i="31" s="1"/>
  <c r="F50" i="31" a="1"/>
  <c r="F50" i="31" s="1"/>
  <c r="E50" i="31" a="1"/>
  <c r="E50" i="31" s="1"/>
  <c r="D50" i="31" a="1"/>
  <c r="D50" i="31" s="1"/>
  <c r="C50" i="31" a="1"/>
  <c r="C50" i="31" s="1"/>
  <c r="B50" i="31"/>
  <c r="H22" i="29" a="1"/>
  <c r="H22" i="29" s="1"/>
  <c r="G22" i="29" a="1"/>
  <c r="G22" i="29" s="1"/>
  <c r="F22" i="29" a="1"/>
  <c r="F22" i="29" s="1"/>
  <c r="E22" i="29" a="1"/>
  <c r="E22" i="29" s="1"/>
  <c r="D22" i="29" a="1"/>
  <c r="D22" i="29" s="1"/>
  <c r="C22" i="29" a="1"/>
  <c r="C22" i="29" s="1"/>
  <c r="B22" i="29"/>
  <c r="H21" i="29" a="1"/>
  <c r="H21" i="29" s="1"/>
  <c r="G21" i="29" a="1"/>
  <c r="G21" i="29" s="1"/>
  <c r="F21" i="29" a="1"/>
  <c r="F21" i="29" s="1"/>
  <c r="E21" i="29" a="1"/>
  <c r="E21" i="29" s="1"/>
  <c r="D21" i="29" a="1"/>
  <c r="D21" i="29" s="1"/>
  <c r="C21" i="29" a="1"/>
  <c r="C21" i="29" s="1"/>
  <c r="B21" i="29"/>
  <c r="H20" i="29" a="1"/>
  <c r="H20" i="29" s="1"/>
  <c r="G20" i="29" a="1"/>
  <c r="G20" i="29" s="1"/>
  <c r="F20" i="29" a="1"/>
  <c r="F20" i="29" s="1"/>
  <c r="E20" i="29" a="1"/>
  <c r="E20" i="29" s="1"/>
  <c r="D20" i="29" a="1"/>
  <c r="D20" i="29" s="1"/>
  <c r="C20" i="29" a="1"/>
  <c r="C20" i="29" s="1"/>
  <c r="B20" i="29"/>
  <c r="H19" i="29" a="1"/>
  <c r="H19" i="29" s="1"/>
  <c r="G19" i="29" a="1"/>
  <c r="G19" i="29" s="1"/>
  <c r="F19" i="29" a="1"/>
  <c r="F19" i="29" s="1"/>
  <c r="E19" i="29" a="1"/>
  <c r="E19" i="29" s="1"/>
  <c r="D19" i="29" a="1"/>
  <c r="D19" i="29" s="1"/>
  <c r="C19" i="29" a="1"/>
  <c r="C19" i="29" s="1"/>
  <c r="B19" i="29"/>
  <c r="H18" i="29" a="1"/>
  <c r="H18" i="29" s="1"/>
  <c r="G18" i="29" a="1"/>
  <c r="G18" i="29" s="1"/>
  <c r="F18" i="29" a="1"/>
  <c r="F18" i="29" s="1"/>
  <c r="E18" i="29" a="1"/>
  <c r="E18" i="29" s="1"/>
  <c r="D18" i="29" a="1"/>
  <c r="D18" i="29" s="1"/>
  <c r="C18" i="29" a="1"/>
  <c r="C18" i="29" s="1"/>
  <c r="B18" i="29"/>
  <c r="H17" i="29" a="1"/>
  <c r="H17" i="29" s="1"/>
  <c r="G17" i="29" a="1"/>
  <c r="G17" i="29" s="1"/>
  <c r="F17" i="29" a="1"/>
  <c r="F17" i="29" s="1"/>
  <c r="E17" i="29" a="1"/>
  <c r="E17" i="29" s="1"/>
  <c r="D17" i="29" a="1"/>
  <c r="D17" i="29" s="1"/>
  <c r="C17" i="29" a="1"/>
  <c r="C17" i="29" s="1"/>
  <c r="B17" i="29"/>
  <c r="H16" i="29" a="1"/>
  <c r="H16" i="29" s="1"/>
  <c r="G16" i="29" a="1"/>
  <c r="G16" i="29" s="1"/>
  <c r="F16" i="29" a="1"/>
  <c r="F16" i="29" s="1"/>
  <c r="E16" i="29" a="1"/>
  <c r="E16" i="29" s="1"/>
  <c r="D16" i="29" a="1"/>
  <c r="D16" i="29" s="1"/>
  <c r="C16" i="29" a="1"/>
  <c r="C16" i="29" s="1"/>
  <c r="B16" i="29"/>
  <c r="H15" i="29" a="1"/>
  <c r="H15" i="29" s="1"/>
  <c r="G15" i="29" a="1"/>
  <c r="G15" i="29" s="1"/>
  <c r="F15" i="29" a="1"/>
  <c r="F15" i="29" s="1"/>
  <c r="E15" i="29" a="1"/>
  <c r="E15" i="29" s="1"/>
  <c r="D15" i="29" a="1"/>
  <c r="D15" i="29" s="1"/>
  <c r="C15" i="29" a="1"/>
  <c r="C15" i="29" s="1"/>
  <c r="B15" i="29"/>
  <c r="H14" i="29" a="1"/>
  <c r="H14" i="29" s="1"/>
  <c r="G14" i="29" a="1"/>
  <c r="G14" i="29" s="1"/>
  <c r="F14" i="29" a="1"/>
  <c r="F14" i="29" s="1"/>
  <c r="E14" i="29" a="1"/>
  <c r="E14" i="29" s="1"/>
  <c r="D14" i="29" a="1"/>
  <c r="D14" i="29" s="1"/>
  <c r="C14" i="29" a="1"/>
  <c r="C14" i="29" s="1"/>
  <c r="B14" i="29"/>
  <c r="H13" i="29" a="1"/>
  <c r="H13" i="29" s="1"/>
  <c r="G13" i="29" a="1"/>
  <c r="G13" i="29" s="1"/>
  <c r="F13" i="29" a="1"/>
  <c r="F13" i="29" s="1"/>
  <c r="E13" i="29" a="1"/>
  <c r="E13" i="29" s="1"/>
  <c r="D13" i="29" a="1"/>
  <c r="D13" i="29" s="1"/>
  <c r="C13" i="29" a="1"/>
  <c r="C13" i="29" s="1"/>
  <c r="B13" i="29"/>
  <c r="H12" i="29" a="1"/>
  <c r="H12" i="29" s="1"/>
  <c r="G12" i="29" a="1"/>
  <c r="G12" i="29" s="1"/>
  <c r="F12" i="29" a="1"/>
  <c r="F12" i="29" s="1"/>
  <c r="E12" i="29" a="1"/>
  <c r="E12" i="29" s="1"/>
  <c r="D12" i="29" a="1"/>
  <c r="D12" i="29" s="1"/>
  <c r="C12" i="29" a="1"/>
  <c r="C12" i="29" s="1"/>
  <c r="B12" i="29"/>
  <c r="H11" i="29" a="1"/>
  <c r="H11" i="29" s="1"/>
  <c r="G11" i="29" a="1"/>
  <c r="G11" i="29" s="1"/>
  <c r="F11" i="29" a="1"/>
  <c r="F11" i="29" s="1"/>
  <c r="E11" i="29" a="1"/>
  <c r="E11" i="29" s="1"/>
  <c r="D11" i="29" a="1"/>
  <c r="D11" i="29" s="1"/>
  <c r="C11" i="29" a="1"/>
  <c r="C11" i="29" s="1"/>
  <c r="B11" i="29"/>
  <c r="H35" i="29" a="1"/>
  <c r="H35" i="29" s="1"/>
  <c r="G35" i="29" a="1"/>
  <c r="G35" i="29" s="1"/>
  <c r="F35" i="29" a="1"/>
  <c r="F35" i="29" s="1"/>
  <c r="E35" i="29" a="1"/>
  <c r="E35" i="29" s="1"/>
  <c r="D35" i="29" a="1"/>
  <c r="D35" i="29" s="1"/>
  <c r="C35" i="29" a="1"/>
  <c r="C35" i="29" s="1"/>
  <c r="B35" i="29"/>
  <c r="H34" i="29" a="1"/>
  <c r="H34" i="29" s="1"/>
  <c r="G34" i="29" a="1"/>
  <c r="G34" i="29" s="1"/>
  <c r="F34" i="29" a="1"/>
  <c r="F34" i="29" s="1"/>
  <c r="E34" i="29" a="1"/>
  <c r="E34" i="29" s="1"/>
  <c r="D34" i="29" a="1"/>
  <c r="D34" i="29" s="1"/>
  <c r="C34" i="29" a="1"/>
  <c r="C34" i="29" s="1"/>
  <c r="B34" i="29"/>
  <c r="H33" i="29" a="1"/>
  <c r="H33" i="29" s="1"/>
  <c r="G33" i="29" a="1"/>
  <c r="G33" i="29" s="1"/>
  <c r="F33" i="29" a="1"/>
  <c r="F33" i="29" s="1"/>
  <c r="E33" i="29" a="1"/>
  <c r="E33" i="29" s="1"/>
  <c r="D33" i="29" a="1"/>
  <c r="D33" i="29" s="1"/>
  <c r="C33" i="29" a="1"/>
  <c r="C33" i="29" s="1"/>
  <c r="B33" i="29"/>
  <c r="H32" i="29" a="1"/>
  <c r="H32" i="29" s="1"/>
  <c r="G32" i="29" a="1"/>
  <c r="G32" i="29" s="1"/>
  <c r="F32" i="29" a="1"/>
  <c r="F32" i="29" s="1"/>
  <c r="E32" i="29" a="1"/>
  <c r="E32" i="29" s="1"/>
  <c r="D32" i="29" a="1"/>
  <c r="D32" i="29" s="1"/>
  <c r="C32" i="29" a="1"/>
  <c r="C32" i="29" s="1"/>
  <c r="B32" i="29"/>
  <c r="H31" i="29" a="1"/>
  <c r="H31" i="29" s="1"/>
  <c r="G31" i="29" a="1"/>
  <c r="G31" i="29" s="1"/>
  <c r="F31" i="29" a="1"/>
  <c r="F31" i="29" s="1"/>
  <c r="E31" i="29" a="1"/>
  <c r="E31" i="29" s="1"/>
  <c r="D31" i="29" a="1"/>
  <c r="D31" i="29" s="1"/>
  <c r="C31" i="29" a="1"/>
  <c r="C31" i="29" s="1"/>
  <c r="B31" i="29"/>
  <c r="H30" i="29" a="1"/>
  <c r="H30" i="29" s="1"/>
  <c r="G30" i="29" a="1"/>
  <c r="G30" i="29" s="1"/>
  <c r="F30" i="29" a="1"/>
  <c r="F30" i="29" s="1"/>
  <c r="E30" i="29" a="1"/>
  <c r="E30" i="29" s="1"/>
  <c r="D30" i="29" a="1"/>
  <c r="D30" i="29" s="1"/>
  <c r="C30" i="29" a="1"/>
  <c r="C30" i="29" s="1"/>
  <c r="B30" i="29"/>
  <c r="H29" i="29" a="1"/>
  <c r="H29" i="29" s="1"/>
  <c r="G29" i="29" a="1"/>
  <c r="G29" i="29" s="1"/>
  <c r="F29" i="29" a="1"/>
  <c r="F29" i="29" s="1"/>
  <c r="E29" i="29" a="1"/>
  <c r="E29" i="29" s="1"/>
  <c r="D29" i="29" a="1"/>
  <c r="D29" i="29" s="1"/>
  <c r="C29" i="29" a="1"/>
  <c r="C29" i="29" s="1"/>
  <c r="B29" i="29"/>
  <c r="H28" i="29" a="1"/>
  <c r="H28" i="29" s="1"/>
  <c r="G28" i="29" a="1"/>
  <c r="G28" i="29" s="1"/>
  <c r="F28" i="29" a="1"/>
  <c r="F28" i="29" s="1"/>
  <c r="E28" i="29" a="1"/>
  <c r="E28" i="29" s="1"/>
  <c r="D28" i="29" a="1"/>
  <c r="D28" i="29" s="1"/>
  <c r="C28" i="29" a="1"/>
  <c r="C28" i="29" s="1"/>
  <c r="B28" i="29"/>
  <c r="H27" i="29" a="1"/>
  <c r="H27" i="29" s="1"/>
  <c r="G27" i="29" a="1"/>
  <c r="G27" i="29" s="1"/>
  <c r="F27" i="29" a="1"/>
  <c r="F27" i="29" s="1"/>
  <c r="E27" i="29" a="1"/>
  <c r="E27" i="29" s="1"/>
  <c r="D27" i="29" a="1"/>
  <c r="D27" i="29" s="1"/>
  <c r="C27" i="29" a="1"/>
  <c r="C27" i="29" s="1"/>
  <c r="B27" i="29"/>
  <c r="H26" i="29" a="1"/>
  <c r="H26" i="29" s="1"/>
  <c r="G26" i="29" a="1"/>
  <c r="G26" i="29" s="1"/>
  <c r="F26" i="29" a="1"/>
  <c r="F26" i="29" s="1"/>
  <c r="E26" i="29" a="1"/>
  <c r="E26" i="29" s="1"/>
  <c r="D26" i="29" a="1"/>
  <c r="D26" i="29" s="1"/>
  <c r="C26" i="29" a="1"/>
  <c r="C26" i="29" s="1"/>
  <c r="B26" i="29"/>
  <c r="H25" i="29" a="1"/>
  <c r="H25" i="29" s="1"/>
  <c r="G25" i="29" a="1"/>
  <c r="G25" i="29" s="1"/>
  <c r="F25" i="29" a="1"/>
  <c r="F25" i="29" s="1"/>
  <c r="E25" i="29" a="1"/>
  <c r="E25" i="29" s="1"/>
  <c r="D25" i="29" a="1"/>
  <c r="D25" i="29" s="1"/>
  <c r="C25" i="29" a="1"/>
  <c r="C25" i="29" s="1"/>
  <c r="B25" i="29"/>
  <c r="H24" i="29" a="1"/>
  <c r="H24" i="29" s="1"/>
  <c r="G24" i="29" a="1"/>
  <c r="G24" i="29" s="1"/>
  <c r="F24" i="29" a="1"/>
  <c r="F24" i="29" s="1"/>
  <c r="E24" i="29" a="1"/>
  <c r="E24" i="29" s="1"/>
  <c r="D24" i="29" a="1"/>
  <c r="D24" i="29" s="1"/>
  <c r="C24" i="29" a="1"/>
  <c r="C24" i="29" s="1"/>
  <c r="B24" i="29"/>
  <c r="H48" i="29" a="1"/>
  <c r="H48" i="29" s="1"/>
  <c r="G48" i="29" a="1"/>
  <c r="G48" i="29" s="1"/>
  <c r="F48" i="29" a="1"/>
  <c r="F48" i="29" s="1"/>
  <c r="E48" i="29" a="1"/>
  <c r="E48" i="29" s="1"/>
  <c r="D48" i="29" a="1"/>
  <c r="D48" i="29" s="1"/>
  <c r="C48" i="29" a="1"/>
  <c r="C48" i="29" s="1"/>
  <c r="B48" i="29"/>
  <c r="H47" i="29" a="1"/>
  <c r="H47" i="29" s="1"/>
  <c r="G47" i="29" a="1"/>
  <c r="G47" i="29" s="1"/>
  <c r="F47" i="29" a="1"/>
  <c r="F47" i="29" s="1"/>
  <c r="E47" i="29" a="1"/>
  <c r="E47" i="29" s="1"/>
  <c r="D47" i="29" a="1"/>
  <c r="D47" i="29" s="1"/>
  <c r="C47" i="29" a="1"/>
  <c r="C47" i="29" s="1"/>
  <c r="B47" i="29"/>
  <c r="H46" i="29" a="1"/>
  <c r="H46" i="29" s="1"/>
  <c r="G46" i="29" a="1"/>
  <c r="G46" i="29" s="1"/>
  <c r="F46" i="29" a="1"/>
  <c r="F46" i="29" s="1"/>
  <c r="E46" i="29" a="1"/>
  <c r="E46" i="29" s="1"/>
  <c r="D46" i="29" a="1"/>
  <c r="D46" i="29" s="1"/>
  <c r="C46" i="29" a="1"/>
  <c r="C46" i="29" s="1"/>
  <c r="B46" i="29"/>
  <c r="H45" i="29" a="1"/>
  <c r="H45" i="29" s="1"/>
  <c r="G45" i="29" a="1"/>
  <c r="G45" i="29" s="1"/>
  <c r="F45" i="29" a="1"/>
  <c r="F45" i="29" s="1"/>
  <c r="E45" i="29" a="1"/>
  <c r="E45" i="29" s="1"/>
  <c r="D45" i="29" a="1"/>
  <c r="D45" i="29" s="1"/>
  <c r="C45" i="29" a="1"/>
  <c r="C45" i="29" s="1"/>
  <c r="B45" i="29"/>
  <c r="H44" i="29" a="1"/>
  <c r="H44" i="29" s="1"/>
  <c r="G44" i="29" a="1"/>
  <c r="G44" i="29" s="1"/>
  <c r="F44" i="29" a="1"/>
  <c r="F44" i="29" s="1"/>
  <c r="E44" i="29" a="1"/>
  <c r="E44" i="29" s="1"/>
  <c r="D44" i="29" a="1"/>
  <c r="D44" i="29" s="1"/>
  <c r="C44" i="29" a="1"/>
  <c r="C44" i="29" s="1"/>
  <c r="B44" i="29"/>
  <c r="H43" i="29" a="1"/>
  <c r="H43" i="29" s="1"/>
  <c r="G43" i="29" a="1"/>
  <c r="G43" i="29" s="1"/>
  <c r="F43" i="29" a="1"/>
  <c r="F43" i="29" s="1"/>
  <c r="E43" i="29" a="1"/>
  <c r="E43" i="29" s="1"/>
  <c r="D43" i="29" a="1"/>
  <c r="D43" i="29" s="1"/>
  <c r="C43" i="29" a="1"/>
  <c r="C43" i="29" s="1"/>
  <c r="B43" i="29"/>
  <c r="H42" i="29" a="1"/>
  <c r="H42" i="29" s="1"/>
  <c r="G42" i="29" a="1"/>
  <c r="G42" i="29" s="1"/>
  <c r="F42" i="29" a="1"/>
  <c r="F42" i="29" s="1"/>
  <c r="E42" i="29" a="1"/>
  <c r="E42" i="29" s="1"/>
  <c r="D42" i="29" a="1"/>
  <c r="D42" i="29" s="1"/>
  <c r="C42" i="29" a="1"/>
  <c r="C42" i="29" s="1"/>
  <c r="B42" i="29"/>
  <c r="H41" i="29" a="1"/>
  <c r="H41" i="29" s="1"/>
  <c r="G41" i="29" a="1"/>
  <c r="G41" i="29" s="1"/>
  <c r="F41" i="29" a="1"/>
  <c r="F41" i="29" s="1"/>
  <c r="E41" i="29" a="1"/>
  <c r="E41" i="29" s="1"/>
  <c r="D41" i="29" a="1"/>
  <c r="D41" i="29" s="1"/>
  <c r="C41" i="29" a="1"/>
  <c r="C41" i="29" s="1"/>
  <c r="B41" i="29"/>
  <c r="H40" i="29" a="1"/>
  <c r="H40" i="29" s="1"/>
  <c r="G40" i="29" a="1"/>
  <c r="G40" i="29" s="1"/>
  <c r="F40" i="29" a="1"/>
  <c r="F40" i="29" s="1"/>
  <c r="E40" i="29" a="1"/>
  <c r="E40" i="29" s="1"/>
  <c r="D40" i="29" a="1"/>
  <c r="D40" i="29" s="1"/>
  <c r="C40" i="29" a="1"/>
  <c r="C40" i="29" s="1"/>
  <c r="B40" i="29"/>
  <c r="H39" i="29" a="1"/>
  <c r="H39" i="29" s="1"/>
  <c r="G39" i="29" a="1"/>
  <c r="G39" i="29" s="1"/>
  <c r="F39" i="29" a="1"/>
  <c r="F39" i="29" s="1"/>
  <c r="E39" i="29" a="1"/>
  <c r="E39" i="29" s="1"/>
  <c r="D39" i="29" a="1"/>
  <c r="D39" i="29" s="1"/>
  <c r="C39" i="29" a="1"/>
  <c r="C39" i="29" s="1"/>
  <c r="B39" i="29"/>
  <c r="H38" i="29" a="1"/>
  <c r="H38" i="29" s="1"/>
  <c r="G38" i="29" a="1"/>
  <c r="G38" i="29" s="1"/>
  <c r="F38" i="29" a="1"/>
  <c r="F38" i="29" s="1"/>
  <c r="E38" i="29" a="1"/>
  <c r="E38" i="29" s="1"/>
  <c r="D38" i="29" a="1"/>
  <c r="D38" i="29" s="1"/>
  <c r="C38" i="29" a="1"/>
  <c r="C38" i="29" s="1"/>
  <c r="B38" i="29"/>
  <c r="H37" i="29" a="1"/>
  <c r="H37" i="29" s="1"/>
  <c r="G37" i="29" a="1"/>
  <c r="G37" i="29" s="1"/>
  <c r="F37" i="29" a="1"/>
  <c r="F37" i="29" s="1"/>
  <c r="E37" i="29" a="1"/>
  <c r="E37" i="29" s="1"/>
  <c r="D37" i="29" a="1"/>
  <c r="D37" i="29" s="1"/>
  <c r="C37" i="29" a="1"/>
  <c r="C37" i="29" s="1"/>
  <c r="B37" i="29"/>
  <c r="H61" i="29" a="1"/>
  <c r="H61" i="29" s="1"/>
  <c r="G61" i="29" a="1"/>
  <c r="G61" i="29" s="1"/>
  <c r="F61" i="29" a="1"/>
  <c r="F61" i="29" s="1"/>
  <c r="E61" i="29" a="1"/>
  <c r="E61" i="29" s="1"/>
  <c r="D61" i="29" a="1"/>
  <c r="D61" i="29" s="1"/>
  <c r="C61" i="29" a="1"/>
  <c r="C61" i="29" s="1"/>
  <c r="B61" i="29"/>
  <c r="H60" i="29" a="1"/>
  <c r="H60" i="29" s="1"/>
  <c r="G60" i="29" a="1"/>
  <c r="G60" i="29" s="1"/>
  <c r="F60" i="29" a="1"/>
  <c r="F60" i="29" s="1"/>
  <c r="E60" i="29" a="1"/>
  <c r="E60" i="29" s="1"/>
  <c r="D60" i="29" a="1"/>
  <c r="D60" i="29" s="1"/>
  <c r="C60" i="29" a="1"/>
  <c r="C60" i="29" s="1"/>
  <c r="B60" i="29"/>
  <c r="H59" i="29" a="1"/>
  <c r="H59" i="29" s="1"/>
  <c r="G59" i="29" a="1"/>
  <c r="G59" i="29" s="1"/>
  <c r="F59" i="29" a="1"/>
  <c r="F59" i="29" s="1"/>
  <c r="E59" i="29" a="1"/>
  <c r="E59" i="29" s="1"/>
  <c r="D59" i="29" a="1"/>
  <c r="D59" i="29" s="1"/>
  <c r="C59" i="29" a="1"/>
  <c r="C59" i="29" s="1"/>
  <c r="B59" i="29"/>
  <c r="H58" i="29" a="1"/>
  <c r="H58" i="29" s="1"/>
  <c r="G58" i="29" a="1"/>
  <c r="G58" i="29" s="1"/>
  <c r="F58" i="29" a="1"/>
  <c r="F58" i="29" s="1"/>
  <c r="E58" i="29" a="1"/>
  <c r="E58" i="29" s="1"/>
  <c r="D58" i="29" a="1"/>
  <c r="D58" i="29" s="1"/>
  <c r="C58" i="29" a="1"/>
  <c r="C58" i="29" s="1"/>
  <c r="B58" i="29"/>
  <c r="H57" i="29" a="1"/>
  <c r="H57" i="29" s="1"/>
  <c r="G57" i="29" a="1"/>
  <c r="G57" i="29" s="1"/>
  <c r="F57" i="29" a="1"/>
  <c r="F57" i="29" s="1"/>
  <c r="E57" i="29" a="1"/>
  <c r="E57" i="29" s="1"/>
  <c r="D57" i="29" a="1"/>
  <c r="D57" i="29" s="1"/>
  <c r="C57" i="29" a="1"/>
  <c r="C57" i="29" s="1"/>
  <c r="B57" i="29"/>
  <c r="H56" i="29" a="1"/>
  <c r="H56" i="29" s="1"/>
  <c r="G56" i="29" a="1"/>
  <c r="G56" i="29" s="1"/>
  <c r="F56" i="29" a="1"/>
  <c r="F56" i="29" s="1"/>
  <c r="E56" i="29" a="1"/>
  <c r="E56" i="29" s="1"/>
  <c r="D56" i="29" a="1"/>
  <c r="D56" i="29" s="1"/>
  <c r="C56" i="29" a="1"/>
  <c r="C56" i="29" s="1"/>
  <c r="B56" i="29"/>
  <c r="H55" i="29" a="1"/>
  <c r="H55" i="29" s="1"/>
  <c r="G55" i="29" a="1"/>
  <c r="G55" i="29" s="1"/>
  <c r="F55" i="29" a="1"/>
  <c r="F55" i="29" s="1"/>
  <c r="E55" i="29" a="1"/>
  <c r="E55" i="29" s="1"/>
  <c r="D55" i="29" a="1"/>
  <c r="D55" i="29" s="1"/>
  <c r="C55" i="29" a="1"/>
  <c r="C55" i="29" s="1"/>
  <c r="B55" i="29"/>
  <c r="H54" i="29" a="1"/>
  <c r="H54" i="29" s="1"/>
  <c r="G54" i="29" a="1"/>
  <c r="G54" i="29" s="1"/>
  <c r="F54" i="29" a="1"/>
  <c r="F54" i="29" s="1"/>
  <c r="E54" i="29" a="1"/>
  <c r="E54" i="29" s="1"/>
  <c r="D54" i="29" a="1"/>
  <c r="D54" i="29" s="1"/>
  <c r="C54" i="29" a="1"/>
  <c r="C54" i="29" s="1"/>
  <c r="B54" i="29"/>
  <c r="H53" i="29" a="1"/>
  <c r="H53" i="29" s="1"/>
  <c r="G53" i="29" a="1"/>
  <c r="G53" i="29" s="1"/>
  <c r="F53" i="29" a="1"/>
  <c r="F53" i="29" s="1"/>
  <c r="E53" i="29" a="1"/>
  <c r="E53" i="29" s="1"/>
  <c r="D53" i="29" a="1"/>
  <c r="D53" i="29" s="1"/>
  <c r="C53" i="29" a="1"/>
  <c r="C53" i="29" s="1"/>
  <c r="B53" i="29"/>
  <c r="H52" i="29" a="1"/>
  <c r="H52" i="29" s="1"/>
  <c r="G52" i="29" a="1"/>
  <c r="G52" i="29" s="1"/>
  <c r="F52" i="29" a="1"/>
  <c r="F52" i="29" s="1"/>
  <c r="E52" i="29" a="1"/>
  <c r="E52" i="29" s="1"/>
  <c r="D52" i="29" a="1"/>
  <c r="D52" i="29" s="1"/>
  <c r="C52" i="29" a="1"/>
  <c r="C52" i="29" s="1"/>
  <c r="B52" i="29"/>
  <c r="H51" i="29" a="1"/>
  <c r="H51" i="29" s="1"/>
  <c r="G51" i="29" a="1"/>
  <c r="G51" i="29" s="1"/>
  <c r="F51" i="29" a="1"/>
  <c r="F51" i="29" s="1"/>
  <c r="E51" i="29" a="1"/>
  <c r="E51" i="29" s="1"/>
  <c r="D51" i="29" a="1"/>
  <c r="D51" i="29" s="1"/>
  <c r="C51" i="29" a="1"/>
  <c r="C51" i="29" s="1"/>
  <c r="B51" i="29"/>
  <c r="H50" i="29" a="1"/>
  <c r="H50" i="29" s="1"/>
  <c r="G50" i="29" a="1"/>
  <c r="G50" i="29" s="1"/>
  <c r="F50" i="29" a="1"/>
  <c r="F50" i="29" s="1"/>
  <c r="E50" i="29" a="1"/>
  <c r="E50" i="29" s="1"/>
  <c r="D50" i="29" a="1"/>
  <c r="D50" i="29" s="1"/>
  <c r="C50" i="29" a="1"/>
  <c r="C50" i="29" s="1"/>
  <c r="B50" i="29"/>
  <c r="H22" i="27" a="1"/>
  <c r="H22" i="27" s="1"/>
  <c r="G22" i="27" a="1"/>
  <c r="G22" i="27" s="1"/>
  <c r="F22" i="27" a="1"/>
  <c r="F22" i="27" s="1"/>
  <c r="E22" i="27" a="1"/>
  <c r="E22" i="27" s="1"/>
  <c r="D22" i="27" a="1"/>
  <c r="D22" i="27" s="1"/>
  <c r="C22" i="27" a="1"/>
  <c r="C22" i="27" s="1"/>
  <c r="B22" i="27"/>
  <c r="H21" i="27" a="1"/>
  <c r="H21" i="27" s="1"/>
  <c r="G21" i="27" a="1"/>
  <c r="G21" i="27" s="1"/>
  <c r="F21" i="27" a="1"/>
  <c r="F21" i="27" s="1"/>
  <c r="E21" i="27" a="1"/>
  <c r="E21" i="27" s="1"/>
  <c r="D21" i="27" a="1"/>
  <c r="D21" i="27" s="1"/>
  <c r="C21" i="27" a="1"/>
  <c r="C21" i="27" s="1"/>
  <c r="B21" i="27"/>
  <c r="H20" i="27" a="1"/>
  <c r="H20" i="27" s="1"/>
  <c r="G20" i="27" a="1"/>
  <c r="G20" i="27" s="1"/>
  <c r="F20" i="27" a="1"/>
  <c r="F20" i="27" s="1"/>
  <c r="E20" i="27" a="1"/>
  <c r="E20" i="27" s="1"/>
  <c r="D20" i="27" a="1"/>
  <c r="D20" i="27" s="1"/>
  <c r="C20" i="27" a="1"/>
  <c r="C20" i="27" s="1"/>
  <c r="B20" i="27"/>
  <c r="H19" i="27" a="1"/>
  <c r="H19" i="27" s="1"/>
  <c r="G19" i="27" a="1"/>
  <c r="G19" i="27" s="1"/>
  <c r="F19" i="27" a="1"/>
  <c r="F19" i="27" s="1"/>
  <c r="E19" i="27" a="1"/>
  <c r="E19" i="27" s="1"/>
  <c r="D19" i="27" a="1"/>
  <c r="D19" i="27" s="1"/>
  <c r="C19" i="27" a="1"/>
  <c r="C19" i="27" s="1"/>
  <c r="B19" i="27"/>
  <c r="H18" i="27" a="1"/>
  <c r="H18" i="27" s="1"/>
  <c r="G18" i="27" a="1"/>
  <c r="G18" i="27" s="1"/>
  <c r="F18" i="27" a="1"/>
  <c r="F18" i="27" s="1"/>
  <c r="E18" i="27" a="1"/>
  <c r="E18" i="27" s="1"/>
  <c r="D18" i="27" a="1"/>
  <c r="D18" i="27" s="1"/>
  <c r="C18" i="27" a="1"/>
  <c r="C18" i="27" s="1"/>
  <c r="B18" i="27"/>
  <c r="H17" i="27" a="1"/>
  <c r="H17" i="27" s="1"/>
  <c r="G17" i="27" a="1"/>
  <c r="G17" i="27" s="1"/>
  <c r="F17" i="27" a="1"/>
  <c r="F17" i="27" s="1"/>
  <c r="E17" i="27" a="1"/>
  <c r="E17" i="27" s="1"/>
  <c r="D17" i="27" a="1"/>
  <c r="D17" i="27" s="1"/>
  <c r="C17" i="27" a="1"/>
  <c r="C17" i="27" s="1"/>
  <c r="B17" i="27"/>
  <c r="H16" i="27" a="1"/>
  <c r="H16" i="27" s="1"/>
  <c r="G16" i="27" a="1"/>
  <c r="G16" i="27" s="1"/>
  <c r="F16" i="27" a="1"/>
  <c r="F16" i="27" s="1"/>
  <c r="E16" i="27" a="1"/>
  <c r="E16" i="27" s="1"/>
  <c r="D16" i="27" a="1"/>
  <c r="D16" i="27" s="1"/>
  <c r="C16" i="27" a="1"/>
  <c r="C16" i="27" s="1"/>
  <c r="B16" i="27"/>
  <c r="H15" i="27" a="1"/>
  <c r="H15" i="27" s="1"/>
  <c r="G15" i="27" a="1"/>
  <c r="G15" i="27" s="1"/>
  <c r="F15" i="27" a="1"/>
  <c r="F15" i="27" s="1"/>
  <c r="E15" i="27" a="1"/>
  <c r="E15" i="27" s="1"/>
  <c r="D15" i="27" a="1"/>
  <c r="D15" i="27" s="1"/>
  <c r="C15" i="27" a="1"/>
  <c r="C15" i="27" s="1"/>
  <c r="B15" i="27"/>
  <c r="H14" i="27" a="1"/>
  <c r="H14" i="27" s="1"/>
  <c r="G14" i="27" a="1"/>
  <c r="G14" i="27" s="1"/>
  <c r="F14" i="27" a="1"/>
  <c r="F14" i="27" s="1"/>
  <c r="E14" i="27" a="1"/>
  <c r="E14" i="27" s="1"/>
  <c r="D14" i="27" a="1"/>
  <c r="D14" i="27" s="1"/>
  <c r="C14" i="27" a="1"/>
  <c r="C14" i="27" s="1"/>
  <c r="B14" i="27"/>
  <c r="H13" i="27" a="1"/>
  <c r="H13" i="27" s="1"/>
  <c r="G13" i="27" a="1"/>
  <c r="G13" i="27" s="1"/>
  <c r="F13" i="27" a="1"/>
  <c r="F13" i="27" s="1"/>
  <c r="E13" i="27" a="1"/>
  <c r="E13" i="27" s="1"/>
  <c r="D13" i="27" a="1"/>
  <c r="D13" i="27" s="1"/>
  <c r="C13" i="27" a="1"/>
  <c r="C13" i="27" s="1"/>
  <c r="B13" i="27"/>
  <c r="H12" i="27" a="1"/>
  <c r="H12" i="27" s="1"/>
  <c r="G12" i="27" a="1"/>
  <c r="G12" i="27" s="1"/>
  <c r="F12" i="27" a="1"/>
  <c r="F12" i="27" s="1"/>
  <c r="E12" i="27" a="1"/>
  <c r="E12" i="27" s="1"/>
  <c r="D12" i="27" a="1"/>
  <c r="D12" i="27" s="1"/>
  <c r="C12" i="27" a="1"/>
  <c r="C12" i="27" s="1"/>
  <c r="B12" i="27"/>
  <c r="H11" i="27" a="1"/>
  <c r="H11" i="27" s="1"/>
  <c r="G11" i="27" a="1"/>
  <c r="G11" i="27" s="1"/>
  <c r="F11" i="27" a="1"/>
  <c r="F11" i="27" s="1"/>
  <c r="E11" i="27" a="1"/>
  <c r="E11" i="27" s="1"/>
  <c r="D11" i="27" a="1"/>
  <c r="D11" i="27" s="1"/>
  <c r="C11" i="27" a="1"/>
  <c r="C11" i="27" s="1"/>
  <c r="B11" i="27"/>
  <c r="H35" i="27" a="1"/>
  <c r="H35" i="27" s="1"/>
  <c r="G35" i="27" a="1"/>
  <c r="G35" i="27" s="1"/>
  <c r="F35" i="27" a="1"/>
  <c r="F35" i="27" s="1"/>
  <c r="E35" i="27" a="1"/>
  <c r="E35" i="27" s="1"/>
  <c r="D35" i="27" a="1"/>
  <c r="D35" i="27" s="1"/>
  <c r="C35" i="27" a="1"/>
  <c r="C35" i="27" s="1"/>
  <c r="B35" i="27"/>
  <c r="H34" i="27" a="1"/>
  <c r="H34" i="27" s="1"/>
  <c r="G34" i="27" a="1"/>
  <c r="G34" i="27" s="1"/>
  <c r="F34" i="27" a="1"/>
  <c r="F34" i="27" s="1"/>
  <c r="E34" i="27" a="1"/>
  <c r="E34" i="27" s="1"/>
  <c r="D34" i="27" a="1"/>
  <c r="D34" i="27" s="1"/>
  <c r="C34" i="27" a="1"/>
  <c r="C34" i="27" s="1"/>
  <c r="B34" i="27"/>
  <c r="H33" i="27" a="1"/>
  <c r="H33" i="27" s="1"/>
  <c r="G33" i="27" a="1"/>
  <c r="G33" i="27" s="1"/>
  <c r="F33" i="27" a="1"/>
  <c r="F33" i="27" s="1"/>
  <c r="E33" i="27" a="1"/>
  <c r="E33" i="27" s="1"/>
  <c r="D33" i="27" a="1"/>
  <c r="D33" i="27" s="1"/>
  <c r="C33" i="27" a="1"/>
  <c r="C33" i="27" s="1"/>
  <c r="B33" i="27"/>
  <c r="H32" i="27" a="1"/>
  <c r="H32" i="27" s="1"/>
  <c r="G32" i="27" a="1"/>
  <c r="G32" i="27" s="1"/>
  <c r="F32" i="27" a="1"/>
  <c r="F32" i="27" s="1"/>
  <c r="E32" i="27" a="1"/>
  <c r="E32" i="27" s="1"/>
  <c r="D32" i="27" a="1"/>
  <c r="D32" i="27" s="1"/>
  <c r="C32" i="27" a="1"/>
  <c r="C32" i="27" s="1"/>
  <c r="B32" i="27"/>
  <c r="H31" i="27" a="1"/>
  <c r="H31" i="27" s="1"/>
  <c r="G31" i="27" a="1"/>
  <c r="G31" i="27" s="1"/>
  <c r="F31" i="27" a="1"/>
  <c r="F31" i="27" s="1"/>
  <c r="E31" i="27" a="1"/>
  <c r="E31" i="27" s="1"/>
  <c r="D31" i="27" a="1"/>
  <c r="D31" i="27" s="1"/>
  <c r="C31" i="27" a="1"/>
  <c r="C31" i="27" s="1"/>
  <c r="B31" i="27"/>
  <c r="H30" i="27" a="1"/>
  <c r="H30" i="27" s="1"/>
  <c r="G30" i="27" a="1"/>
  <c r="G30" i="27" s="1"/>
  <c r="F30" i="27" a="1"/>
  <c r="F30" i="27" s="1"/>
  <c r="E30" i="27" a="1"/>
  <c r="E30" i="27" s="1"/>
  <c r="D30" i="27" a="1"/>
  <c r="D30" i="27" s="1"/>
  <c r="C30" i="27" a="1"/>
  <c r="C30" i="27" s="1"/>
  <c r="B30" i="27"/>
  <c r="H29" i="27" a="1"/>
  <c r="H29" i="27" s="1"/>
  <c r="G29" i="27" a="1"/>
  <c r="G29" i="27" s="1"/>
  <c r="F29" i="27" a="1"/>
  <c r="F29" i="27" s="1"/>
  <c r="E29" i="27" a="1"/>
  <c r="E29" i="27" s="1"/>
  <c r="D29" i="27" a="1"/>
  <c r="D29" i="27" s="1"/>
  <c r="C29" i="27" a="1"/>
  <c r="C29" i="27" s="1"/>
  <c r="B29" i="27"/>
  <c r="H28" i="27" a="1"/>
  <c r="H28" i="27" s="1"/>
  <c r="G28" i="27" a="1"/>
  <c r="G28" i="27" s="1"/>
  <c r="F28" i="27" a="1"/>
  <c r="F28" i="27" s="1"/>
  <c r="E28" i="27" a="1"/>
  <c r="E28" i="27" s="1"/>
  <c r="D28" i="27" a="1"/>
  <c r="D28" i="27" s="1"/>
  <c r="C28" i="27" a="1"/>
  <c r="C28" i="27" s="1"/>
  <c r="B28" i="27"/>
  <c r="H27" i="27" a="1"/>
  <c r="H27" i="27" s="1"/>
  <c r="G27" i="27" a="1"/>
  <c r="G27" i="27" s="1"/>
  <c r="F27" i="27" a="1"/>
  <c r="F27" i="27" s="1"/>
  <c r="E27" i="27" a="1"/>
  <c r="E27" i="27" s="1"/>
  <c r="D27" i="27" a="1"/>
  <c r="D27" i="27" s="1"/>
  <c r="C27" i="27" a="1"/>
  <c r="C27" i="27" s="1"/>
  <c r="B27" i="27"/>
  <c r="H26" i="27" a="1"/>
  <c r="H26" i="27" s="1"/>
  <c r="G26" i="27" a="1"/>
  <c r="G26" i="27" s="1"/>
  <c r="F26" i="27" a="1"/>
  <c r="F26" i="27" s="1"/>
  <c r="E26" i="27" a="1"/>
  <c r="E26" i="27" s="1"/>
  <c r="D26" i="27" a="1"/>
  <c r="D26" i="27" s="1"/>
  <c r="C26" i="27" a="1"/>
  <c r="C26" i="27" s="1"/>
  <c r="B26" i="27"/>
  <c r="H25" i="27" a="1"/>
  <c r="H25" i="27" s="1"/>
  <c r="G25" i="27" a="1"/>
  <c r="G25" i="27" s="1"/>
  <c r="F25" i="27" a="1"/>
  <c r="F25" i="27" s="1"/>
  <c r="E25" i="27" a="1"/>
  <c r="E25" i="27" s="1"/>
  <c r="D25" i="27" a="1"/>
  <c r="D25" i="27" s="1"/>
  <c r="C25" i="27" a="1"/>
  <c r="C25" i="27" s="1"/>
  <c r="B25" i="27"/>
  <c r="H24" i="27" a="1"/>
  <c r="H24" i="27" s="1"/>
  <c r="G24" i="27" a="1"/>
  <c r="G24" i="27" s="1"/>
  <c r="F24" i="27" a="1"/>
  <c r="F24" i="27" s="1"/>
  <c r="E24" i="27" a="1"/>
  <c r="E24" i="27" s="1"/>
  <c r="D24" i="27" a="1"/>
  <c r="D24" i="27" s="1"/>
  <c r="C24" i="27" a="1"/>
  <c r="C24" i="27" s="1"/>
  <c r="B24" i="27"/>
  <c r="H48" i="27" a="1"/>
  <c r="H48" i="27" s="1"/>
  <c r="G48" i="27" a="1"/>
  <c r="G48" i="27" s="1"/>
  <c r="F48" i="27" a="1"/>
  <c r="F48" i="27" s="1"/>
  <c r="E48" i="27" a="1"/>
  <c r="E48" i="27" s="1"/>
  <c r="D48" i="27" a="1"/>
  <c r="D48" i="27" s="1"/>
  <c r="C48" i="27" a="1"/>
  <c r="C48" i="27" s="1"/>
  <c r="B48" i="27"/>
  <c r="H47" i="27" a="1"/>
  <c r="H47" i="27" s="1"/>
  <c r="G47" i="27" a="1"/>
  <c r="G47" i="27" s="1"/>
  <c r="F47" i="27" a="1"/>
  <c r="F47" i="27" s="1"/>
  <c r="E47" i="27" a="1"/>
  <c r="E47" i="27" s="1"/>
  <c r="D47" i="27" a="1"/>
  <c r="D47" i="27" s="1"/>
  <c r="C47" i="27" a="1"/>
  <c r="C47" i="27" s="1"/>
  <c r="B47" i="27"/>
  <c r="H46" i="27" a="1"/>
  <c r="H46" i="27" s="1"/>
  <c r="G46" i="27" a="1"/>
  <c r="G46" i="27" s="1"/>
  <c r="F46" i="27" a="1"/>
  <c r="F46" i="27" s="1"/>
  <c r="E46" i="27" a="1"/>
  <c r="E46" i="27" s="1"/>
  <c r="D46" i="27" a="1"/>
  <c r="D46" i="27" s="1"/>
  <c r="C46" i="27" a="1"/>
  <c r="C46" i="27" s="1"/>
  <c r="B46" i="27"/>
  <c r="H45" i="27" a="1"/>
  <c r="H45" i="27" s="1"/>
  <c r="G45" i="27" a="1"/>
  <c r="G45" i="27" s="1"/>
  <c r="F45" i="27" a="1"/>
  <c r="F45" i="27" s="1"/>
  <c r="E45" i="27" a="1"/>
  <c r="E45" i="27" s="1"/>
  <c r="D45" i="27" a="1"/>
  <c r="D45" i="27" s="1"/>
  <c r="C45" i="27" a="1"/>
  <c r="C45" i="27" s="1"/>
  <c r="B45" i="27"/>
  <c r="H44" i="27" a="1"/>
  <c r="H44" i="27" s="1"/>
  <c r="G44" i="27" a="1"/>
  <c r="G44" i="27" s="1"/>
  <c r="F44" i="27" a="1"/>
  <c r="F44" i="27" s="1"/>
  <c r="E44" i="27" a="1"/>
  <c r="E44" i="27" s="1"/>
  <c r="D44" i="27" a="1"/>
  <c r="D44" i="27" s="1"/>
  <c r="C44" i="27" a="1"/>
  <c r="C44" i="27" s="1"/>
  <c r="B44" i="27"/>
  <c r="H43" i="27" a="1"/>
  <c r="H43" i="27" s="1"/>
  <c r="G43" i="27" a="1"/>
  <c r="G43" i="27" s="1"/>
  <c r="F43" i="27" a="1"/>
  <c r="F43" i="27" s="1"/>
  <c r="E43" i="27" a="1"/>
  <c r="E43" i="27" s="1"/>
  <c r="D43" i="27" a="1"/>
  <c r="D43" i="27" s="1"/>
  <c r="C43" i="27" a="1"/>
  <c r="C43" i="27" s="1"/>
  <c r="B43" i="27"/>
  <c r="H42" i="27" a="1"/>
  <c r="H42" i="27" s="1"/>
  <c r="G42" i="27" a="1"/>
  <c r="G42" i="27" s="1"/>
  <c r="F42" i="27" a="1"/>
  <c r="F42" i="27" s="1"/>
  <c r="E42" i="27" a="1"/>
  <c r="E42" i="27" s="1"/>
  <c r="D42" i="27" a="1"/>
  <c r="D42" i="27" s="1"/>
  <c r="C42" i="27" a="1"/>
  <c r="C42" i="27" s="1"/>
  <c r="B42" i="27"/>
  <c r="H41" i="27" a="1"/>
  <c r="H41" i="27" s="1"/>
  <c r="G41" i="27" a="1"/>
  <c r="G41" i="27" s="1"/>
  <c r="F41" i="27" a="1"/>
  <c r="F41" i="27" s="1"/>
  <c r="E41" i="27" a="1"/>
  <c r="E41" i="27" s="1"/>
  <c r="D41" i="27" a="1"/>
  <c r="D41" i="27" s="1"/>
  <c r="C41" i="27" a="1"/>
  <c r="C41" i="27" s="1"/>
  <c r="B41" i="27"/>
  <c r="H40" i="27" a="1"/>
  <c r="H40" i="27" s="1"/>
  <c r="G40" i="27" a="1"/>
  <c r="G40" i="27" s="1"/>
  <c r="F40" i="27" a="1"/>
  <c r="F40" i="27" s="1"/>
  <c r="E40" i="27" a="1"/>
  <c r="E40" i="27" s="1"/>
  <c r="D40" i="27" a="1"/>
  <c r="D40" i="27" s="1"/>
  <c r="C40" i="27" a="1"/>
  <c r="C40" i="27" s="1"/>
  <c r="B40" i="27"/>
  <c r="H39" i="27" a="1"/>
  <c r="H39" i="27" s="1"/>
  <c r="G39" i="27" a="1"/>
  <c r="G39" i="27" s="1"/>
  <c r="F39" i="27" a="1"/>
  <c r="F39" i="27" s="1"/>
  <c r="E39" i="27" a="1"/>
  <c r="E39" i="27" s="1"/>
  <c r="D39" i="27" a="1"/>
  <c r="D39" i="27" s="1"/>
  <c r="C39" i="27" a="1"/>
  <c r="C39" i="27" s="1"/>
  <c r="B39" i="27"/>
  <c r="H38" i="27" a="1"/>
  <c r="H38" i="27" s="1"/>
  <c r="G38" i="27" a="1"/>
  <c r="G38" i="27" s="1"/>
  <c r="F38" i="27" a="1"/>
  <c r="F38" i="27" s="1"/>
  <c r="E38" i="27" a="1"/>
  <c r="E38" i="27" s="1"/>
  <c r="D38" i="27" a="1"/>
  <c r="D38" i="27" s="1"/>
  <c r="C38" i="27" a="1"/>
  <c r="C38" i="27" s="1"/>
  <c r="B38" i="27"/>
  <c r="H37" i="27" a="1"/>
  <c r="H37" i="27" s="1"/>
  <c r="G37" i="27" a="1"/>
  <c r="G37" i="27" s="1"/>
  <c r="F37" i="27" a="1"/>
  <c r="F37" i="27" s="1"/>
  <c r="E37" i="27" a="1"/>
  <c r="E37" i="27" s="1"/>
  <c r="D37" i="27" a="1"/>
  <c r="D37" i="27" s="1"/>
  <c r="C37" i="27" a="1"/>
  <c r="C37" i="27" s="1"/>
  <c r="B37" i="27"/>
  <c r="H61" i="27" a="1"/>
  <c r="H61" i="27" s="1"/>
  <c r="G61" i="27" a="1"/>
  <c r="G61" i="27" s="1"/>
  <c r="F61" i="27" a="1"/>
  <c r="F61" i="27" s="1"/>
  <c r="E61" i="27" a="1"/>
  <c r="E61" i="27" s="1"/>
  <c r="D61" i="27" a="1"/>
  <c r="D61" i="27" s="1"/>
  <c r="C61" i="27" a="1"/>
  <c r="C61" i="27" s="1"/>
  <c r="B61" i="27"/>
  <c r="H60" i="27" a="1"/>
  <c r="H60" i="27" s="1"/>
  <c r="G60" i="27" a="1"/>
  <c r="G60" i="27" s="1"/>
  <c r="F60" i="27" a="1"/>
  <c r="F60" i="27" s="1"/>
  <c r="E60" i="27" a="1"/>
  <c r="E60" i="27" s="1"/>
  <c r="D60" i="27" a="1"/>
  <c r="D60" i="27" s="1"/>
  <c r="C60" i="27" a="1"/>
  <c r="C60" i="27" s="1"/>
  <c r="B60" i="27"/>
  <c r="H59" i="27" a="1"/>
  <c r="H59" i="27" s="1"/>
  <c r="G59" i="27" a="1"/>
  <c r="G59" i="27" s="1"/>
  <c r="F59" i="27" a="1"/>
  <c r="F59" i="27" s="1"/>
  <c r="E59" i="27" a="1"/>
  <c r="E59" i="27" s="1"/>
  <c r="D59" i="27" a="1"/>
  <c r="D59" i="27" s="1"/>
  <c r="C59" i="27" a="1"/>
  <c r="C59" i="27" s="1"/>
  <c r="B59" i="27"/>
  <c r="H58" i="27" a="1"/>
  <c r="H58" i="27" s="1"/>
  <c r="G58" i="27" a="1"/>
  <c r="G58" i="27" s="1"/>
  <c r="F58" i="27" a="1"/>
  <c r="F58" i="27" s="1"/>
  <c r="E58" i="27" a="1"/>
  <c r="E58" i="27" s="1"/>
  <c r="D58" i="27" a="1"/>
  <c r="D58" i="27" s="1"/>
  <c r="C58" i="27" a="1"/>
  <c r="C58" i="27" s="1"/>
  <c r="B58" i="27"/>
  <c r="H57" i="27" a="1"/>
  <c r="H57" i="27" s="1"/>
  <c r="G57" i="27" a="1"/>
  <c r="G57" i="27" s="1"/>
  <c r="F57" i="27" a="1"/>
  <c r="F57" i="27" s="1"/>
  <c r="E57" i="27" a="1"/>
  <c r="E57" i="27" s="1"/>
  <c r="D57" i="27" a="1"/>
  <c r="D57" i="27" s="1"/>
  <c r="C57" i="27" a="1"/>
  <c r="C57" i="27" s="1"/>
  <c r="B57" i="27"/>
  <c r="H56" i="27" a="1"/>
  <c r="H56" i="27" s="1"/>
  <c r="G56" i="27" a="1"/>
  <c r="G56" i="27" s="1"/>
  <c r="F56" i="27" a="1"/>
  <c r="F56" i="27" s="1"/>
  <c r="E56" i="27" a="1"/>
  <c r="E56" i="27" s="1"/>
  <c r="D56" i="27" a="1"/>
  <c r="D56" i="27" s="1"/>
  <c r="C56" i="27" a="1"/>
  <c r="C56" i="27" s="1"/>
  <c r="B56" i="27"/>
  <c r="H55" i="27" a="1"/>
  <c r="H55" i="27" s="1"/>
  <c r="G55" i="27" a="1"/>
  <c r="G55" i="27" s="1"/>
  <c r="F55" i="27" a="1"/>
  <c r="F55" i="27" s="1"/>
  <c r="E55" i="27" a="1"/>
  <c r="E55" i="27" s="1"/>
  <c r="D55" i="27" a="1"/>
  <c r="D55" i="27" s="1"/>
  <c r="C55" i="27" a="1"/>
  <c r="C55" i="27" s="1"/>
  <c r="B55" i="27"/>
  <c r="H54" i="27" a="1"/>
  <c r="H54" i="27" s="1"/>
  <c r="G54" i="27" a="1"/>
  <c r="G54" i="27" s="1"/>
  <c r="F54" i="27" a="1"/>
  <c r="F54" i="27" s="1"/>
  <c r="E54" i="27" a="1"/>
  <c r="E54" i="27" s="1"/>
  <c r="D54" i="27" a="1"/>
  <c r="D54" i="27" s="1"/>
  <c r="C54" i="27" a="1"/>
  <c r="C54" i="27" s="1"/>
  <c r="B54" i="27"/>
  <c r="H53" i="27" a="1"/>
  <c r="H53" i="27" s="1"/>
  <c r="G53" i="27" a="1"/>
  <c r="G53" i="27" s="1"/>
  <c r="F53" i="27" a="1"/>
  <c r="F53" i="27" s="1"/>
  <c r="E53" i="27" a="1"/>
  <c r="E53" i="27" s="1"/>
  <c r="D53" i="27" a="1"/>
  <c r="D53" i="27" s="1"/>
  <c r="C53" i="27" a="1"/>
  <c r="C53" i="27" s="1"/>
  <c r="B53" i="27"/>
  <c r="H52" i="27" a="1"/>
  <c r="H52" i="27" s="1"/>
  <c r="G52" i="27" a="1"/>
  <c r="G52" i="27" s="1"/>
  <c r="F52" i="27" a="1"/>
  <c r="F52" i="27" s="1"/>
  <c r="E52" i="27" a="1"/>
  <c r="E52" i="27" s="1"/>
  <c r="D52" i="27" a="1"/>
  <c r="D52" i="27" s="1"/>
  <c r="C52" i="27" a="1"/>
  <c r="C52" i="27" s="1"/>
  <c r="B52" i="27"/>
  <c r="H51" i="27" a="1"/>
  <c r="H51" i="27" s="1"/>
  <c r="G51" i="27" a="1"/>
  <c r="G51" i="27" s="1"/>
  <c r="F51" i="27" a="1"/>
  <c r="F51" i="27" s="1"/>
  <c r="E51" i="27" a="1"/>
  <c r="E51" i="27" s="1"/>
  <c r="D51" i="27" a="1"/>
  <c r="D51" i="27" s="1"/>
  <c r="C51" i="27" a="1"/>
  <c r="C51" i="27" s="1"/>
  <c r="B51" i="27"/>
  <c r="H50" i="27" a="1"/>
  <c r="H50" i="27" s="1"/>
  <c r="G50" i="27" a="1"/>
  <c r="G50" i="27" s="1"/>
  <c r="F50" i="27" a="1"/>
  <c r="F50" i="27" s="1"/>
  <c r="E50" i="27" a="1"/>
  <c r="E50" i="27" s="1"/>
  <c r="D50" i="27" a="1"/>
  <c r="D50" i="27" s="1"/>
  <c r="C50" i="27" a="1"/>
  <c r="C50" i="27" s="1"/>
  <c r="B50" i="27"/>
  <c r="H22" i="25" a="1"/>
  <c r="H22" i="25" s="1"/>
  <c r="G22" i="25" a="1"/>
  <c r="G22" i="25" s="1"/>
  <c r="F22" i="25" a="1"/>
  <c r="F22" i="25" s="1"/>
  <c r="E22" i="25" a="1"/>
  <c r="E22" i="25" s="1"/>
  <c r="D22" i="25" a="1"/>
  <c r="D22" i="25" s="1"/>
  <c r="C22" i="25" a="1"/>
  <c r="C22" i="25" s="1"/>
  <c r="B22" i="25"/>
  <c r="H21" i="25" a="1"/>
  <c r="H21" i="25" s="1"/>
  <c r="G21" i="25" a="1"/>
  <c r="G21" i="25" s="1"/>
  <c r="F21" i="25" a="1"/>
  <c r="F21" i="25" s="1"/>
  <c r="E21" i="25" a="1"/>
  <c r="E21" i="25" s="1"/>
  <c r="D21" i="25" a="1"/>
  <c r="D21" i="25" s="1"/>
  <c r="C21" i="25" a="1"/>
  <c r="C21" i="25" s="1"/>
  <c r="B21" i="25"/>
  <c r="H20" i="25" a="1"/>
  <c r="H20" i="25" s="1"/>
  <c r="G20" i="25" a="1"/>
  <c r="G20" i="25" s="1"/>
  <c r="F20" i="25" a="1"/>
  <c r="F20" i="25" s="1"/>
  <c r="E20" i="25" a="1"/>
  <c r="E20" i="25" s="1"/>
  <c r="D20" i="25" a="1"/>
  <c r="D20" i="25" s="1"/>
  <c r="C20" i="25" a="1"/>
  <c r="C20" i="25" s="1"/>
  <c r="B20" i="25"/>
  <c r="H19" i="25" a="1"/>
  <c r="H19" i="25" s="1"/>
  <c r="G19" i="25" a="1"/>
  <c r="G19" i="25" s="1"/>
  <c r="F19" i="25" a="1"/>
  <c r="F19" i="25" s="1"/>
  <c r="E19" i="25" a="1"/>
  <c r="E19" i="25" s="1"/>
  <c r="D19" i="25" a="1"/>
  <c r="D19" i="25" s="1"/>
  <c r="C19" i="25" a="1"/>
  <c r="C19" i="25" s="1"/>
  <c r="B19" i="25"/>
  <c r="H18" i="25" a="1"/>
  <c r="H18" i="25" s="1"/>
  <c r="G18" i="25" a="1"/>
  <c r="G18" i="25" s="1"/>
  <c r="F18" i="25" a="1"/>
  <c r="F18" i="25" s="1"/>
  <c r="E18" i="25" a="1"/>
  <c r="E18" i="25" s="1"/>
  <c r="D18" i="25" a="1"/>
  <c r="D18" i="25" s="1"/>
  <c r="C18" i="25" a="1"/>
  <c r="C18" i="25" s="1"/>
  <c r="B18" i="25"/>
  <c r="H17" i="25" a="1"/>
  <c r="H17" i="25" s="1"/>
  <c r="G17" i="25" a="1"/>
  <c r="G17" i="25" s="1"/>
  <c r="F17" i="25" a="1"/>
  <c r="F17" i="25" s="1"/>
  <c r="E17" i="25" a="1"/>
  <c r="E17" i="25" s="1"/>
  <c r="D17" i="25" a="1"/>
  <c r="D17" i="25" s="1"/>
  <c r="C17" i="25" a="1"/>
  <c r="C17" i="25" s="1"/>
  <c r="B17" i="25"/>
  <c r="H16" i="25" a="1"/>
  <c r="H16" i="25" s="1"/>
  <c r="G16" i="25" a="1"/>
  <c r="G16" i="25" s="1"/>
  <c r="F16" i="25" a="1"/>
  <c r="F16" i="25" s="1"/>
  <c r="E16" i="25" a="1"/>
  <c r="E16" i="25" s="1"/>
  <c r="D16" i="25" a="1"/>
  <c r="D16" i="25" s="1"/>
  <c r="C16" i="25" a="1"/>
  <c r="C16" i="25" s="1"/>
  <c r="B16" i="25"/>
  <c r="H15" i="25" a="1"/>
  <c r="H15" i="25" s="1"/>
  <c r="G15" i="25" a="1"/>
  <c r="G15" i="25" s="1"/>
  <c r="F15" i="25" a="1"/>
  <c r="F15" i="25" s="1"/>
  <c r="E15" i="25" a="1"/>
  <c r="E15" i="25" s="1"/>
  <c r="D15" i="25" a="1"/>
  <c r="D15" i="25" s="1"/>
  <c r="C15" i="25" a="1"/>
  <c r="C15" i="25" s="1"/>
  <c r="B15" i="25"/>
  <c r="H14" i="25" a="1"/>
  <c r="H14" i="25" s="1"/>
  <c r="G14" i="25" a="1"/>
  <c r="G14" i="25" s="1"/>
  <c r="F14" i="25" a="1"/>
  <c r="F14" i="25" s="1"/>
  <c r="E14" i="25" a="1"/>
  <c r="E14" i="25" s="1"/>
  <c r="D14" i="25" a="1"/>
  <c r="D14" i="25" s="1"/>
  <c r="C14" i="25" a="1"/>
  <c r="C14" i="25" s="1"/>
  <c r="B14" i="25"/>
  <c r="H13" i="25" a="1"/>
  <c r="H13" i="25" s="1"/>
  <c r="G13" i="25" a="1"/>
  <c r="G13" i="25" s="1"/>
  <c r="F13" i="25" a="1"/>
  <c r="F13" i="25" s="1"/>
  <c r="E13" i="25" a="1"/>
  <c r="E13" i="25" s="1"/>
  <c r="D13" i="25" a="1"/>
  <c r="D13" i="25" s="1"/>
  <c r="C13" i="25" a="1"/>
  <c r="C13" i="25" s="1"/>
  <c r="B13" i="25"/>
  <c r="H12" i="25" a="1"/>
  <c r="H12" i="25" s="1"/>
  <c r="G12" i="25" a="1"/>
  <c r="G12" i="25" s="1"/>
  <c r="F12" i="25" a="1"/>
  <c r="F12" i="25" s="1"/>
  <c r="E12" i="25" a="1"/>
  <c r="E12" i="25" s="1"/>
  <c r="D12" i="25" a="1"/>
  <c r="D12" i="25" s="1"/>
  <c r="C12" i="25" a="1"/>
  <c r="C12" i="25" s="1"/>
  <c r="B12" i="25"/>
  <c r="H11" i="25" a="1"/>
  <c r="H11" i="25" s="1"/>
  <c r="G11" i="25" a="1"/>
  <c r="G11" i="25" s="1"/>
  <c r="F11" i="25" a="1"/>
  <c r="F11" i="25" s="1"/>
  <c r="E11" i="25" a="1"/>
  <c r="E11" i="25" s="1"/>
  <c r="D11" i="25" a="1"/>
  <c r="D11" i="25" s="1"/>
  <c r="C11" i="25" a="1"/>
  <c r="C11" i="25" s="1"/>
  <c r="B11" i="25"/>
  <c r="H35" i="25" a="1"/>
  <c r="H35" i="25" s="1"/>
  <c r="G35" i="25" a="1"/>
  <c r="G35" i="25" s="1"/>
  <c r="F35" i="25" a="1"/>
  <c r="F35" i="25" s="1"/>
  <c r="E35" i="25" a="1"/>
  <c r="E35" i="25" s="1"/>
  <c r="D35" i="25" a="1"/>
  <c r="D35" i="25" s="1"/>
  <c r="C35" i="25" a="1"/>
  <c r="C35" i="25" s="1"/>
  <c r="B35" i="25"/>
  <c r="H34" i="25" a="1"/>
  <c r="H34" i="25" s="1"/>
  <c r="G34" i="25" a="1"/>
  <c r="G34" i="25" s="1"/>
  <c r="F34" i="25" a="1"/>
  <c r="F34" i="25" s="1"/>
  <c r="E34" i="25" a="1"/>
  <c r="E34" i="25" s="1"/>
  <c r="D34" i="25" a="1"/>
  <c r="D34" i="25" s="1"/>
  <c r="C34" i="25" a="1"/>
  <c r="C34" i="25" s="1"/>
  <c r="B34" i="25"/>
  <c r="H33" i="25" a="1"/>
  <c r="H33" i="25" s="1"/>
  <c r="G33" i="25" a="1"/>
  <c r="G33" i="25" s="1"/>
  <c r="F33" i="25" a="1"/>
  <c r="F33" i="25" s="1"/>
  <c r="E33" i="25" a="1"/>
  <c r="E33" i="25" s="1"/>
  <c r="D33" i="25" a="1"/>
  <c r="D33" i="25" s="1"/>
  <c r="C33" i="25" a="1"/>
  <c r="C33" i="25" s="1"/>
  <c r="B33" i="25"/>
  <c r="H32" i="25" a="1"/>
  <c r="H32" i="25" s="1"/>
  <c r="G32" i="25" a="1"/>
  <c r="G32" i="25" s="1"/>
  <c r="F32" i="25" a="1"/>
  <c r="F32" i="25" s="1"/>
  <c r="E32" i="25" a="1"/>
  <c r="E32" i="25" s="1"/>
  <c r="D32" i="25" a="1"/>
  <c r="D32" i="25" s="1"/>
  <c r="C32" i="25" a="1"/>
  <c r="C32" i="25" s="1"/>
  <c r="B32" i="25"/>
  <c r="H31" i="25" a="1"/>
  <c r="H31" i="25" s="1"/>
  <c r="G31" i="25" a="1"/>
  <c r="G31" i="25" s="1"/>
  <c r="F31" i="25" a="1"/>
  <c r="F31" i="25" s="1"/>
  <c r="E31" i="25" a="1"/>
  <c r="E31" i="25" s="1"/>
  <c r="D31" i="25" a="1"/>
  <c r="D31" i="25" s="1"/>
  <c r="C31" i="25" a="1"/>
  <c r="C31" i="25" s="1"/>
  <c r="B31" i="25"/>
  <c r="H30" i="25" a="1"/>
  <c r="H30" i="25" s="1"/>
  <c r="G30" i="25" a="1"/>
  <c r="G30" i="25" s="1"/>
  <c r="F30" i="25" a="1"/>
  <c r="F30" i="25" s="1"/>
  <c r="E30" i="25" a="1"/>
  <c r="E30" i="25" s="1"/>
  <c r="D30" i="25" a="1"/>
  <c r="D30" i="25" s="1"/>
  <c r="C30" i="25" a="1"/>
  <c r="C30" i="25" s="1"/>
  <c r="B30" i="25"/>
  <c r="H29" i="25" a="1"/>
  <c r="H29" i="25" s="1"/>
  <c r="G29" i="25" a="1"/>
  <c r="G29" i="25" s="1"/>
  <c r="F29" i="25" a="1"/>
  <c r="F29" i="25" s="1"/>
  <c r="E29" i="25" a="1"/>
  <c r="E29" i="25" s="1"/>
  <c r="D29" i="25" a="1"/>
  <c r="D29" i="25" s="1"/>
  <c r="C29" i="25" a="1"/>
  <c r="C29" i="25" s="1"/>
  <c r="B29" i="25"/>
  <c r="H28" i="25" a="1"/>
  <c r="H28" i="25" s="1"/>
  <c r="G28" i="25" a="1"/>
  <c r="G28" i="25" s="1"/>
  <c r="F28" i="25" a="1"/>
  <c r="F28" i="25" s="1"/>
  <c r="E28" i="25" a="1"/>
  <c r="E28" i="25" s="1"/>
  <c r="D28" i="25" a="1"/>
  <c r="D28" i="25" s="1"/>
  <c r="C28" i="25" a="1"/>
  <c r="C28" i="25" s="1"/>
  <c r="B28" i="25"/>
  <c r="H27" i="25" a="1"/>
  <c r="H27" i="25" s="1"/>
  <c r="G27" i="25" a="1"/>
  <c r="G27" i="25" s="1"/>
  <c r="F27" i="25" a="1"/>
  <c r="F27" i="25" s="1"/>
  <c r="E27" i="25" a="1"/>
  <c r="E27" i="25" s="1"/>
  <c r="D27" i="25" a="1"/>
  <c r="D27" i="25" s="1"/>
  <c r="C27" i="25" a="1"/>
  <c r="C27" i="25" s="1"/>
  <c r="B27" i="25"/>
  <c r="H26" i="25" a="1"/>
  <c r="H26" i="25" s="1"/>
  <c r="G26" i="25" a="1"/>
  <c r="G26" i="25" s="1"/>
  <c r="F26" i="25" a="1"/>
  <c r="F26" i="25" s="1"/>
  <c r="E26" i="25" a="1"/>
  <c r="E26" i="25" s="1"/>
  <c r="D26" i="25" a="1"/>
  <c r="D26" i="25" s="1"/>
  <c r="C26" i="25" a="1"/>
  <c r="C26" i="25" s="1"/>
  <c r="B26" i="25"/>
  <c r="H25" i="25" a="1"/>
  <c r="H25" i="25" s="1"/>
  <c r="G25" i="25" a="1"/>
  <c r="G25" i="25" s="1"/>
  <c r="F25" i="25" a="1"/>
  <c r="F25" i="25" s="1"/>
  <c r="E25" i="25" a="1"/>
  <c r="E25" i="25" s="1"/>
  <c r="D25" i="25" a="1"/>
  <c r="D25" i="25" s="1"/>
  <c r="C25" i="25" a="1"/>
  <c r="C25" i="25" s="1"/>
  <c r="B25" i="25"/>
  <c r="H24" i="25" a="1"/>
  <c r="H24" i="25" s="1"/>
  <c r="G24" i="25" a="1"/>
  <c r="G24" i="25" s="1"/>
  <c r="F24" i="25" a="1"/>
  <c r="F24" i="25" s="1"/>
  <c r="E24" i="25" a="1"/>
  <c r="E24" i="25" s="1"/>
  <c r="D24" i="25" a="1"/>
  <c r="D24" i="25" s="1"/>
  <c r="C24" i="25" a="1"/>
  <c r="C24" i="25" s="1"/>
  <c r="B24" i="25"/>
  <c r="H48" i="25" a="1"/>
  <c r="H48" i="25" s="1"/>
  <c r="G48" i="25" a="1"/>
  <c r="G48" i="25" s="1"/>
  <c r="F48" i="25" a="1"/>
  <c r="F48" i="25" s="1"/>
  <c r="E48" i="25" a="1"/>
  <c r="E48" i="25" s="1"/>
  <c r="D48" i="25" a="1"/>
  <c r="D48" i="25" s="1"/>
  <c r="C48" i="25" a="1"/>
  <c r="C48" i="25" s="1"/>
  <c r="B48" i="25"/>
  <c r="H47" i="25" a="1"/>
  <c r="H47" i="25" s="1"/>
  <c r="G47" i="25" a="1"/>
  <c r="G47" i="25" s="1"/>
  <c r="F47" i="25" a="1"/>
  <c r="F47" i="25" s="1"/>
  <c r="E47" i="25" a="1"/>
  <c r="E47" i="25" s="1"/>
  <c r="D47" i="25" a="1"/>
  <c r="D47" i="25" s="1"/>
  <c r="C47" i="25" a="1"/>
  <c r="C47" i="25" s="1"/>
  <c r="B47" i="25"/>
  <c r="H46" i="25" a="1"/>
  <c r="H46" i="25" s="1"/>
  <c r="G46" i="25" a="1"/>
  <c r="G46" i="25" s="1"/>
  <c r="F46" i="25" a="1"/>
  <c r="F46" i="25" s="1"/>
  <c r="E46" i="25" a="1"/>
  <c r="E46" i="25" s="1"/>
  <c r="D46" i="25" a="1"/>
  <c r="D46" i="25" s="1"/>
  <c r="C46" i="25" a="1"/>
  <c r="C46" i="25" s="1"/>
  <c r="B46" i="25"/>
  <c r="H45" i="25" a="1"/>
  <c r="H45" i="25" s="1"/>
  <c r="G45" i="25" a="1"/>
  <c r="G45" i="25" s="1"/>
  <c r="F45" i="25" a="1"/>
  <c r="F45" i="25" s="1"/>
  <c r="E45" i="25" a="1"/>
  <c r="E45" i="25" s="1"/>
  <c r="D45" i="25" a="1"/>
  <c r="D45" i="25" s="1"/>
  <c r="C45" i="25" a="1"/>
  <c r="C45" i="25" s="1"/>
  <c r="B45" i="25"/>
  <c r="H44" i="25" a="1"/>
  <c r="H44" i="25" s="1"/>
  <c r="G44" i="25" a="1"/>
  <c r="G44" i="25" s="1"/>
  <c r="F44" i="25" a="1"/>
  <c r="F44" i="25" s="1"/>
  <c r="E44" i="25" a="1"/>
  <c r="E44" i="25" s="1"/>
  <c r="D44" i="25" a="1"/>
  <c r="D44" i="25" s="1"/>
  <c r="C44" i="25" a="1"/>
  <c r="C44" i="25" s="1"/>
  <c r="B44" i="25"/>
  <c r="H43" i="25" a="1"/>
  <c r="H43" i="25" s="1"/>
  <c r="G43" i="25" a="1"/>
  <c r="G43" i="25" s="1"/>
  <c r="F43" i="25" a="1"/>
  <c r="F43" i="25" s="1"/>
  <c r="E43" i="25" a="1"/>
  <c r="E43" i="25" s="1"/>
  <c r="D43" i="25" a="1"/>
  <c r="D43" i="25" s="1"/>
  <c r="C43" i="25" a="1"/>
  <c r="C43" i="25" s="1"/>
  <c r="B43" i="25"/>
  <c r="H42" i="25" a="1"/>
  <c r="H42" i="25" s="1"/>
  <c r="G42" i="25" a="1"/>
  <c r="G42" i="25" s="1"/>
  <c r="F42" i="25" a="1"/>
  <c r="F42" i="25" s="1"/>
  <c r="E42" i="25" a="1"/>
  <c r="E42" i="25" s="1"/>
  <c r="D42" i="25" a="1"/>
  <c r="D42" i="25" s="1"/>
  <c r="C42" i="25" a="1"/>
  <c r="C42" i="25" s="1"/>
  <c r="B42" i="25"/>
  <c r="H41" i="25" a="1"/>
  <c r="H41" i="25" s="1"/>
  <c r="G41" i="25" a="1"/>
  <c r="G41" i="25" s="1"/>
  <c r="F41" i="25" a="1"/>
  <c r="F41" i="25" s="1"/>
  <c r="E41" i="25" a="1"/>
  <c r="E41" i="25" s="1"/>
  <c r="D41" i="25" a="1"/>
  <c r="D41" i="25" s="1"/>
  <c r="C41" i="25" a="1"/>
  <c r="C41" i="25" s="1"/>
  <c r="B41" i="25"/>
  <c r="H40" i="25" a="1"/>
  <c r="H40" i="25" s="1"/>
  <c r="G40" i="25" a="1"/>
  <c r="G40" i="25" s="1"/>
  <c r="F40" i="25" a="1"/>
  <c r="F40" i="25" s="1"/>
  <c r="E40" i="25" a="1"/>
  <c r="E40" i="25" s="1"/>
  <c r="D40" i="25" a="1"/>
  <c r="D40" i="25" s="1"/>
  <c r="C40" i="25" a="1"/>
  <c r="C40" i="25" s="1"/>
  <c r="B40" i="25"/>
  <c r="H39" i="25" a="1"/>
  <c r="H39" i="25" s="1"/>
  <c r="G39" i="25" a="1"/>
  <c r="G39" i="25" s="1"/>
  <c r="F39" i="25" a="1"/>
  <c r="F39" i="25" s="1"/>
  <c r="E39" i="25" a="1"/>
  <c r="E39" i="25" s="1"/>
  <c r="D39" i="25" a="1"/>
  <c r="D39" i="25" s="1"/>
  <c r="C39" i="25" a="1"/>
  <c r="C39" i="25" s="1"/>
  <c r="B39" i="25"/>
  <c r="H38" i="25" a="1"/>
  <c r="H38" i="25" s="1"/>
  <c r="G38" i="25" a="1"/>
  <c r="G38" i="25" s="1"/>
  <c r="F38" i="25" a="1"/>
  <c r="F38" i="25" s="1"/>
  <c r="E38" i="25" a="1"/>
  <c r="E38" i="25" s="1"/>
  <c r="D38" i="25" a="1"/>
  <c r="D38" i="25" s="1"/>
  <c r="C38" i="25" a="1"/>
  <c r="C38" i="25" s="1"/>
  <c r="B38" i="25"/>
  <c r="H37" i="25" a="1"/>
  <c r="H37" i="25" s="1"/>
  <c r="G37" i="25" a="1"/>
  <c r="G37" i="25" s="1"/>
  <c r="F37" i="25" a="1"/>
  <c r="F37" i="25" s="1"/>
  <c r="E37" i="25" a="1"/>
  <c r="E37" i="25" s="1"/>
  <c r="D37" i="25" a="1"/>
  <c r="D37" i="25" s="1"/>
  <c r="C37" i="25" a="1"/>
  <c r="C37" i="25" s="1"/>
  <c r="B37" i="25"/>
  <c r="H61" i="25" a="1"/>
  <c r="H61" i="25" s="1"/>
  <c r="G61" i="25" a="1"/>
  <c r="G61" i="25" s="1"/>
  <c r="F61" i="25" a="1"/>
  <c r="F61" i="25" s="1"/>
  <c r="E61" i="25" a="1"/>
  <c r="E61" i="25" s="1"/>
  <c r="D61" i="25" a="1"/>
  <c r="D61" i="25" s="1"/>
  <c r="C61" i="25" a="1"/>
  <c r="C61" i="25" s="1"/>
  <c r="B61" i="25"/>
  <c r="H60" i="25" a="1"/>
  <c r="H60" i="25" s="1"/>
  <c r="G60" i="25" a="1"/>
  <c r="G60" i="25" s="1"/>
  <c r="F60" i="25" a="1"/>
  <c r="F60" i="25" s="1"/>
  <c r="E60" i="25" a="1"/>
  <c r="E60" i="25" s="1"/>
  <c r="D60" i="25" a="1"/>
  <c r="D60" i="25" s="1"/>
  <c r="C60" i="25" a="1"/>
  <c r="C60" i="25" s="1"/>
  <c r="B60" i="25"/>
  <c r="H59" i="25" a="1"/>
  <c r="H59" i="25" s="1"/>
  <c r="G59" i="25" a="1"/>
  <c r="G59" i="25" s="1"/>
  <c r="F59" i="25" a="1"/>
  <c r="F59" i="25" s="1"/>
  <c r="E59" i="25" a="1"/>
  <c r="E59" i="25" s="1"/>
  <c r="D59" i="25" a="1"/>
  <c r="D59" i="25" s="1"/>
  <c r="C59" i="25" a="1"/>
  <c r="C59" i="25" s="1"/>
  <c r="B59" i="25"/>
  <c r="H58" i="25" a="1"/>
  <c r="H58" i="25" s="1"/>
  <c r="G58" i="25" a="1"/>
  <c r="G58" i="25" s="1"/>
  <c r="F58" i="25" a="1"/>
  <c r="F58" i="25" s="1"/>
  <c r="E58" i="25" a="1"/>
  <c r="E58" i="25" s="1"/>
  <c r="D58" i="25" a="1"/>
  <c r="D58" i="25" s="1"/>
  <c r="C58" i="25" a="1"/>
  <c r="C58" i="25" s="1"/>
  <c r="B58" i="25"/>
  <c r="H57" i="25" a="1"/>
  <c r="H57" i="25" s="1"/>
  <c r="G57" i="25" a="1"/>
  <c r="G57" i="25" s="1"/>
  <c r="F57" i="25" a="1"/>
  <c r="F57" i="25" s="1"/>
  <c r="E57" i="25" a="1"/>
  <c r="E57" i="25" s="1"/>
  <c r="D57" i="25" a="1"/>
  <c r="D57" i="25" s="1"/>
  <c r="C57" i="25" a="1"/>
  <c r="C57" i="25" s="1"/>
  <c r="B57" i="25"/>
  <c r="H56" i="25" a="1"/>
  <c r="H56" i="25" s="1"/>
  <c r="G56" i="25" a="1"/>
  <c r="G56" i="25" s="1"/>
  <c r="F56" i="25" a="1"/>
  <c r="F56" i="25" s="1"/>
  <c r="E56" i="25" a="1"/>
  <c r="E56" i="25" s="1"/>
  <c r="D56" i="25" a="1"/>
  <c r="D56" i="25" s="1"/>
  <c r="C56" i="25" a="1"/>
  <c r="C56" i="25" s="1"/>
  <c r="B56" i="25"/>
  <c r="H55" i="25" a="1"/>
  <c r="H55" i="25" s="1"/>
  <c r="G55" i="25" a="1"/>
  <c r="G55" i="25" s="1"/>
  <c r="F55" i="25" a="1"/>
  <c r="F55" i="25" s="1"/>
  <c r="E55" i="25" a="1"/>
  <c r="E55" i="25" s="1"/>
  <c r="D55" i="25" a="1"/>
  <c r="D55" i="25" s="1"/>
  <c r="C55" i="25" a="1"/>
  <c r="C55" i="25" s="1"/>
  <c r="B55" i="25"/>
  <c r="H54" i="25" a="1"/>
  <c r="H54" i="25" s="1"/>
  <c r="G54" i="25" a="1"/>
  <c r="G54" i="25" s="1"/>
  <c r="F54" i="25" a="1"/>
  <c r="F54" i="25" s="1"/>
  <c r="E54" i="25" a="1"/>
  <c r="E54" i="25" s="1"/>
  <c r="D54" i="25" a="1"/>
  <c r="D54" i="25" s="1"/>
  <c r="C54" i="25" a="1"/>
  <c r="C54" i="25" s="1"/>
  <c r="B54" i="25"/>
  <c r="H53" i="25" a="1"/>
  <c r="H53" i="25" s="1"/>
  <c r="G53" i="25" a="1"/>
  <c r="G53" i="25" s="1"/>
  <c r="F53" i="25" a="1"/>
  <c r="F53" i="25" s="1"/>
  <c r="E53" i="25" a="1"/>
  <c r="E53" i="25" s="1"/>
  <c r="D53" i="25" a="1"/>
  <c r="D53" i="25" s="1"/>
  <c r="C53" i="25" a="1"/>
  <c r="C53" i="25" s="1"/>
  <c r="B53" i="25"/>
  <c r="H52" i="25" a="1"/>
  <c r="H52" i="25" s="1"/>
  <c r="G52" i="25" a="1"/>
  <c r="G52" i="25" s="1"/>
  <c r="F52" i="25" a="1"/>
  <c r="F52" i="25" s="1"/>
  <c r="E52" i="25" a="1"/>
  <c r="E52" i="25" s="1"/>
  <c r="D52" i="25" a="1"/>
  <c r="D52" i="25" s="1"/>
  <c r="C52" i="25" a="1"/>
  <c r="C52" i="25" s="1"/>
  <c r="B52" i="25"/>
  <c r="H51" i="25" a="1"/>
  <c r="H51" i="25" s="1"/>
  <c r="G51" i="25" a="1"/>
  <c r="G51" i="25" s="1"/>
  <c r="F51" i="25" a="1"/>
  <c r="F51" i="25" s="1"/>
  <c r="E51" i="25" a="1"/>
  <c r="E51" i="25" s="1"/>
  <c r="D51" i="25" a="1"/>
  <c r="D51" i="25" s="1"/>
  <c r="C51" i="25" a="1"/>
  <c r="C51" i="25" s="1"/>
  <c r="B51" i="25"/>
  <c r="H50" i="25" a="1"/>
  <c r="H50" i="25" s="1"/>
  <c r="G50" i="25" a="1"/>
  <c r="G50" i="25" s="1"/>
  <c r="F50" i="25" a="1"/>
  <c r="F50" i="25" s="1"/>
  <c r="E50" i="25" a="1"/>
  <c r="E50" i="25" s="1"/>
  <c r="D50" i="25" a="1"/>
  <c r="D50" i="25" s="1"/>
  <c r="C50" i="25" a="1"/>
  <c r="C50" i="25" s="1"/>
  <c r="B50" i="25"/>
  <c r="H22" i="23" a="1"/>
  <c r="H22" i="23" s="1"/>
  <c r="G22" i="23" a="1"/>
  <c r="G22" i="23" s="1"/>
  <c r="F22" i="23" a="1"/>
  <c r="F22" i="23" s="1"/>
  <c r="E22" i="23" a="1"/>
  <c r="E22" i="23" s="1"/>
  <c r="D22" i="23" a="1"/>
  <c r="D22" i="23" s="1"/>
  <c r="C22" i="23" a="1"/>
  <c r="C22" i="23" s="1"/>
  <c r="B22" i="23"/>
  <c r="H21" i="23" a="1"/>
  <c r="H21" i="23" s="1"/>
  <c r="G21" i="23" a="1"/>
  <c r="G21" i="23" s="1"/>
  <c r="F21" i="23" a="1"/>
  <c r="F21" i="23" s="1"/>
  <c r="E21" i="23" a="1"/>
  <c r="E21" i="23" s="1"/>
  <c r="D21" i="23" a="1"/>
  <c r="D21" i="23" s="1"/>
  <c r="C21" i="23" a="1"/>
  <c r="C21" i="23" s="1"/>
  <c r="B21" i="23"/>
  <c r="H20" i="23" a="1"/>
  <c r="H20" i="23" s="1"/>
  <c r="G20" i="23" a="1"/>
  <c r="G20" i="23" s="1"/>
  <c r="F20" i="23" a="1"/>
  <c r="F20" i="23" s="1"/>
  <c r="E20" i="23" a="1"/>
  <c r="E20" i="23" s="1"/>
  <c r="D20" i="23" a="1"/>
  <c r="D20" i="23" s="1"/>
  <c r="C20" i="23" a="1"/>
  <c r="C20" i="23" s="1"/>
  <c r="B20" i="23"/>
  <c r="H19" i="23" a="1"/>
  <c r="H19" i="23" s="1"/>
  <c r="G19" i="23" a="1"/>
  <c r="G19" i="23" s="1"/>
  <c r="F19" i="23" a="1"/>
  <c r="F19" i="23" s="1"/>
  <c r="E19" i="23" a="1"/>
  <c r="E19" i="23" s="1"/>
  <c r="D19" i="23" a="1"/>
  <c r="D19" i="23" s="1"/>
  <c r="C19" i="23" a="1"/>
  <c r="C19" i="23" s="1"/>
  <c r="B19" i="23"/>
  <c r="H18" i="23" a="1"/>
  <c r="H18" i="23" s="1"/>
  <c r="G18" i="23" a="1"/>
  <c r="G18" i="23" s="1"/>
  <c r="F18" i="23" a="1"/>
  <c r="F18" i="23" s="1"/>
  <c r="E18" i="23" a="1"/>
  <c r="E18" i="23" s="1"/>
  <c r="D18" i="23" a="1"/>
  <c r="D18" i="23" s="1"/>
  <c r="C18" i="23" a="1"/>
  <c r="C18" i="23" s="1"/>
  <c r="B18" i="23"/>
  <c r="H17" i="23" a="1"/>
  <c r="H17" i="23" s="1"/>
  <c r="G17" i="23" a="1"/>
  <c r="G17" i="23" s="1"/>
  <c r="F17" i="23" a="1"/>
  <c r="F17" i="23" s="1"/>
  <c r="E17" i="23" a="1"/>
  <c r="E17" i="23" s="1"/>
  <c r="D17" i="23" a="1"/>
  <c r="D17" i="23" s="1"/>
  <c r="C17" i="23" a="1"/>
  <c r="C17" i="23" s="1"/>
  <c r="B17" i="23"/>
  <c r="H16" i="23" a="1"/>
  <c r="H16" i="23" s="1"/>
  <c r="G16" i="23" a="1"/>
  <c r="G16" i="23" s="1"/>
  <c r="F16" i="23" a="1"/>
  <c r="F16" i="23" s="1"/>
  <c r="E16" i="23" a="1"/>
  <c r="E16" i="23" s="1"/>
  <c r="D16" i="23" a="1"/>
  <c r="D16" i="23" s="1"/>
  <c r="C16" i="23" a="1"/>
  <c r="C16" i="23" s="1"/>
  <c r="B16" i="23"/>
  <c r="H15" i="23" a="1"/>
  <c r="H15" i="23" s="1"/>
  <c r="G15" i="23" a="1"/>
  <c r="G15" i="23" s="1"/>
  <c r="F15" i="23" a="1"/>
  <c r="F15" i="23" s="1"/>
  <c r="E15" i="23" a="1"/>
  <c r="E15" i="23" s="1"/>
  <c r="D15" i="23" a="1"/>
  <c r="D15" i="23" s="1"/>
  <c r="C15" i="23" a="1"/>
  <c r="C15" i="23" s="1"/>
  <c r="B15" i="23"/>
  <c r="H14" i="23" a="1"/>
  <c r="H14" i="23" s="1"/>
  <c r="G14" i="23" a="1"/>
  <c r="G14" i="23" s="1"/>
  <c r="F14" i="23" a="1"/>
  <c r="F14" i="23" s="1"/>
  <c r="E14" i="23" a="1"/>
  <c r="E14" i="23" s="1"/>
  <c r="D14" i="23" a="1"/>
  <c r="D14" i="23" s="1"/>
  <c r="C14" i="23" a="1"/>
  <c r="C14" i="23" s="1"/>
  <c r="B14" i="23"/>
  <c r="H13" i="23" a="1"/>
  <c r="H13" i="23" s="1"/>
  <c r="G13" i="23" a="1"/>
  <c r="G13" i="23" s="1"/>
  <c r="F13" i="23" a="1"/>
  <c r="F13" i="23" s="1"/>
  <c r="E13" i="23" a="1"/>
  <c r="E13" i="23" s="1"/>
  <c r="D13" i="23" a="1"/>
  <c r="D13" i="23" s="1"/>
  <c r="C13" i="23" a="1"/>
  <c r="C13" i="23" s="1"/>
  <c r="B13" i="23"/>
  <c r="H12" i="23" a="1"/>
  <c r="H12" i="23" s="1"/>
  <c r="G12" i="23" a="1"/>
  <c r="G12" i="23" s="1"/>
  <c r="F12" i="23" a="1"/>
  <c r="F12" i="23" s="1"/>
  <c r="E12" i="23" a="1"/>
  <c r="E12" i="23" s="1"/>
  <c r="D12" i="23" a="1"/>
  <c r="D12" i="23" s="1"/>
  <c r="C12" i="23" a="1"/>
  <c r="C12" i="23" s="1"/>
  <c r="B12" i="23"/>
  <c r="H11" i="23" a="1"/>
  <c r="H11" i="23" s="1"/>
  <c r="G11" i="23" a="1"/>
  <c r="G11" i="23" s="1"/>
  <c r="F11" i="23" a="1"/>
  <c r="F11" i="23" s="1"/>
  <c r="E11" i="23" a="1"/>
  <c r="E11" i="23" s="1"/>
  <c r="D11" i="23" a="1"/>
  <c r="D11" i="23" s="1"/>
  <c r="C11" i="23" a="1"/>
  <c r="C11" i="23" s="1"/>
  <c r="B11" i="23"/>
  <c r="H35" i="23" a="1"/>
  <c r="H35" i="23" s="1"/>
  <c r="G35" i="23" a="1"/>
  <c r="G35" i="23" s="1"/>
  <c r="F35" i="23" a="1"/>
  <c r="F35" i="23" s="1"/>
  <c r="E35" i="23" a="1"/>
  <c r="E35" i="23" s="1"/>
  <c r="D35" i="23" a="1"/>
  <c r="D35" i="23" s="1"/>
  <c r="C35" i="23" a="1"/>
  <c r="C35" i="23" s="1"/>
  <c r="B35" i="23"/>
  <c r="H34" i="23" a="1"/>
  <c r="H34" i="23" s="1"/>
  <c r="G34" i="23" a="1"/>
  <c r="G34" i="23" s="1"/>
  <c r="F34" i="23" a="1"/>
  <c r="F34" i="23" s="1"/>
  <c r="E34" i="23" a="1"/>
  <c r="E34" i="23" s="1"/>
  <c r="D34" i="23" a="1"/>
  <c r="D34" i="23" s="1"/>
  <c r="C34" i="23" a="1"/>
  <c r="C34" i="23" s="1"/>
  <c r="B34" i="23"/>
  <c r="H33" i="23" a="1"/>
  <c r="H33" i="23" s="1"/>
  <c r="G33" i="23" a="1"/>
  <c r="G33" i="23" s="1"/>
  <c r="F33" i="23" a="1"/>
  <c r="F33" i="23" s="1"/>
  <c r="E33" i="23" a="1"/>
  <c r="E33" i="23" s="1"/>
  <c r="D33" i="23" a="1"/>
  <c r="D33" i="23" s="1"/>
  <c r="C33" i="23" a="1"/>
  <c r="C33" i="23" s="1"/>
  <c r="B33" i="23"/>
  <c r="H32" i="23" a="1"/>
  <c r="H32" i="23" s="1"/>
  <c r="G32" i="23" a="1"/>
  <c r="G32" i="23" s="1"/>
  <c r="F32" i="23" a="1"/>
  <c r="F32" i="23" s="1"/>
  <c r="E32" i="23" a="1"/>
  <c r="E32" i="23" s="1"/>
  <c r="D32" i="23" a="1"/>
  <c r="D32" i="23" s="1"/>
  <c r="C32" i="23" a="1"/>
  <c r="C32" i="23" s="1"/>
  <c r="B32" i="23"/>
  <c r="H31" i="23" a="1"/>
  <c r="H31" i="23" s="1"/>
  <c r="G31" i="23" a="1"/>
  <c r="G31" i="23" s="1"/>
  <c r="F31" i="23" a="1"/>
  <c r="F31" i="23" s="1"/>
  <c r="E31" i="23" a="1"/>
  <c r="E31" i="23" s="1"/>
  <c r="D31" i="23" a="1"/>
  <c r="D31" i="23" s="1"/>
  <c r="C31" i="23" a="1"/>
  <c r="C31" i="23" s="1"/>
  <c r="B31" i="23"/>
  <c r="H30" i="23" a="1"/>
  <c r="H30" i="23" s="1"/>
  <c r="G30" i="23" a="1"/>
  <c r="G30" i="23" s="1"/>
  <c r="F30" i="23" a="1"/>
  <c r="F30" i="23" s="1"/>
  <c r="E30" i="23" a="1"/>
  <c r="E30" i="23" s="1"/>
  <c r="D30" i="23" a="1"/>
  <c r="D30" i="23" s="1"/>
  <c r="C30" i="23" a="1"/>
  <c r="C30" i="23" s="1"/>
  <c r="B30" i="23"/>
  <c r="H29" i="23" a="1"/>
  <c r="H29" i="23" s="1"/>
  <c r="G29" i="23" a="1"/>
  <c r="G29" i="23" s="1"/>
  <c r="F29" i="23" a="1"/>
  <c r="F29" i="23" s="1"/>
  <c r="E29" i="23" a="1"/>
  <c r="E29" i="23" s="1"/>
  <c r="D29" i="23" a="1"/>
  <c r="D29" i="23" s="1"/>
  <c r="C29" i="23" a="1"/>
  <c r="C29" i="23" s="1"/>
  <c r="B29" i="23"/>
  <c r="H28" i="23" a="1"/>
  <c r="H28" i="23" s="1"/>
  <c r="G28" i="23" a="1"/>
  <c r="G28" i="23" s="1"/>
  <c r="F28" i="23" a="1"/>
  <c r="F28" i="23" s="1"/>
  <c r="E28" i="23" a="1"/>
  <c r="E28" i="23" s="1"/>
  <c r="D28" i="23" a="1"/>
  <c r="D28" i="23" s="1"/>
  <c r="C28" i="23" a="1"/>
  <c r="C28" i="23" s="1"/>
  <c r="B28" i="23"/>
  <c r="H27" i="23" a="1"/>
  <c r="H27" i="23" s="1"/>
  <c r="G27" i="23" a="1"/>
  <c r="G27" i="23" s="1"/>
  <c r="F27" i="23" a="1"/>
  <c r="F27" i="23" s="1"/>
  <c r="E27" i="23" a="1"/>
  <c r="E27" i="23" s="1"/>
  <c r="D27" i="23" a="1"/>
  <c r="D27" i="23" s="1"/>
  <c r="C27" i="23" a="1"/>
  <c r="C27" i="23" s="1"/>
  <c r="B27" i="23"/>
  <c r="H26" i="23" a="1"/>
  <c r="H26" i="23" s="1"/>
  <c r="G26" i="23" a="1"/>
  <c r="G26" i="23" s="1"/>
  <c r="F26" i="23" a="1"/>
  <c r="F26" i="23" s="1"/>
  <c r="E26" i="23" a="1"/>
  <c r="E26" i="23" s="1"/>
  <c r="D26" i="23" a="1"/>
  <c r="D26" i="23" s="1"/>
  <c r="C26" i="23" a="1"/>
  <c r="C26" i="23" s="1"/>
  <c r="B26" i="23"/>
  <c r="H25" i="23" a="1"/>
  <c r="H25" i="23" s="1"/>
  <c r="G25" i="23" a="1"/>
  <c r="G25" i="23" s="1"/>
  <c r="F25" i="23" a="1"/>
  <c r="F25" i="23" s="1"/>
  <c r="E25" i="23" a="1"/>
  <c r="E25" i="23" s="1"/>
  <c r="D25" i="23" a="1"/>
  <c r="D25" i="23" s="1"/>
  <c r="C25" i="23" a="1"/>
  <c r="C25" i="23" s="1"/>
  <c r="B25" i="23"/>
  <c r="H24" i="23" a="1"/>
  <c r="H24" i="23" s="1"/>
  <c r="G24" i="23" a="1"/>
  <c r="G24" i="23" s="1"/>
  <c r="F24" i="23" a="1"/>
  <c r="F24" i="23" s="1"/>
  <c r="E24" i="23" a="1"/>
  <c r="E24" i="23" s="1"/>
  <c r="D24" i="23" a="1"/>
  <c r="D24" i="23" s="1"/>
  <c r="C24" i="23" a="1"/>
  <c r="C24" i="23" s="1"/>
  <c r="B24" i="23"/>
  <c r="H48" i="23" a="1"/>
  <c r="H48" i="23" s="1"/>
  <c r="G48" i="23" a="1"/>
  <c r="G48" i="23" s="1"/>
  <c r="F48" i="23" a="1"/>
  <c r="F48" i="23" s="1"/>
  <c r="E48" i="23" a="1"/>
  <c r="E48" i="23" s="1"/>
  <c r="D48" i="23" a="1"/>
  <c r="D48" i="23" s="1"/>
  <c r="C48" i="23" a="1"/>
  <c r="C48" i="23" s="1"/>
  <c r="B48" i="23"/>
  <c r="H47" i="23" a="1"/>
  <c r="H47" i="23" s="1"/>
  <c r="G47" i="23" a="1"/>
  <c r="G47" i="23" s="1"/>
  <c r="F47" i="23" a="1"/>
  <c r="F47" i="23" s="1"/>
  <c r="E47" i="23" a="1"/>
  <c r="E47" i="23" s="1"/>
  <c r="D47" i="23" a="1"/>
  <c r="D47" i="23" s="1"/>
  <c r="C47" i="23" a="1"/>
  <c r="C47" i="23" s="1"/>
  <c r="B47" i="23"/>
  <c r="H46" i="23" a="1"/>
  <c r="H46" i="23" s="1"/>
  <c r="G46" i="23" a="1"/>
  <c r="G46" i="23" s="1"/>
  <c r="F46" i="23" a="1"/>
  <c r="F46" i="23" s="1"/>
  <c r="E46" i="23" a="1"/>
  <c r="E46" i="23" s="1"/>
  <c r="D46" i="23" a="1"/>
  <c r="D46" i="23" s="1"/>
  <c r="C46" i="23" a="1"/>
  <c r="C46" i="23" s="1"/>
  <c r="B46" i="23"/>
  <c r="H45" i="23" a="1"/>
  <c r="H45" i="23" s="1"/>
  <c r="G45" i="23" a="1"/>
  <c r="G45" i="23" s="1"/>
  <c r="F45" i="23" a="1"/>
  <c r="F45" i="23" s="1"/>
  <c r="E45" i="23" a="1"/>
  <c r="E45" i="23" s="1"/>
  <c r="D45" i="23" a="1"/>
  <c r="D45" i="23" s="1"/>
  <c r="C45" i="23" a="1"/>
  <c r="C45" i="23" s="1"/>
  <c r="B45" i="23"/>
  <c r="H44" i="23" a="1"/>
  <c r="H44" i="23" s="1"/>
  <c r="G44" i="23" a="1"/>
  <c r="G44" i="23" s="1"/>
  <c r="F44" i="23" a="1"/>
  <c r="F44" i="23" s="1"/>
  <c r="E44" i="23" a="1"/>
  <c r="E44" i="23" s="1"/>
  <c r="D44" i="23" a="1"/>
  <c r="D44" i="23" s="1"/>
  <c r="C44" i="23" a="1"/>
  <c r="C44" i="23" s="1"/>
  <c r="B44" i="23"/>
  <c r="H43" i="23" a="1"/>
  <c r="H43" i="23" s="1"/>
  <c r="G43" i="23" a="1"/>
  <c r="G43" i="23" s="1"/>
  <c r="F43" i="23" a="1"/>
  <c r="F43" i="23" s="1"/>
  <c r="E43" i="23" a="1"/>
  <c r="E43" i="23" s="1"/>
  <c r="D43" i="23" a="1"/>
  <c r="D43" i="23" s="1"/>
  <c r="C43" i="23" a="1"/>
  <c r="C43" i="23" s="1"/>
  <c r="B43" i="23"/>
  <c r="H42" i="23" a="1"/>
  <c r="H42" i="23" s="1"/>
  <c r="G42" i="23" a="1"/>
  <c r="G42" i="23" s="1"/>
  <c r="F42" i="23" a="1"/>
  <c r="F42" i="23" s="1"/>
  <c r="E42" i="23" a="1"/>
  <c r="E42" i="23" s="1"/>
  <c r="D42" i="23" a="1"/>
  <c r="D42" i="23" s="1"/>
  <c r="C42" i="23" a="1"/>
  <c r="C42" i="23" s="1"/>
  <c r="B42" i="23"/>
  <c r="H41" i="23" a="1"/>
  <c r="H41" i="23" s="1"/>
  <c r="G41" i="23" a="1"/>
  <c r="G41" i="23" s="1"/>
  <c r="F41" i="23" a="1"/>
  <c r="F41" i="23" s="1"/>
  <c r="E41" i="23" a="1"/>
  <c r="E41" i="23" s="1"/>
  <c r="D41" i="23" a="1"/>
  <c r="D41" i="23" s="1"/>
  <c r="C41" i="23" a="1"/>
  <c r="C41" i="23" s="1"/>
  <c r="B41" i="23"/>
  <c r="H40" i="23" a="1"/>
  <c r="H40" i="23" s="1"/>
  <c r="G40" i="23" a="1"/>
  <c r="G40" i="23" s="1"/>
  <c r="F40" i="23" a="1"/>
  <c r="F40" i="23" s="1"/>
  <c r="E40" i="23" a="1"/>
  <c r="E40" i="23" s="1"/>
  <c r="D40" i="23" a="1"/>
  <c r="D40" i="23" s="1"/>
  <c r="C40" i="23" a="1"/>
  <c r="C40" i="23" s="1"/>
  <c r="B40" i="23"/>
  <c r="H39" i="23" a="1"/>
  <c r="H39" i="23" s="1"/>
  <c r="G39" i="23" a="1"/>
  <c r="G39" i="23" s="1"/>
  <c r="F39" i="23" a="1"/>
  <c r="F39" i="23" s="1"/>
  <c r="E39" i="23" a="1"/>
  <c r="E39" i="23" s="1"/>
  <c r="D39" i="23" a="1"/>
  <c r="D39" i="23" s="1"/>
  <c r="C39" i="23" a="1"/>
  <c r="C39" i="23" s="1"/>
  <c r="B39" i="23"/>
  <c r="H38" i="23" a="1"/>
  <c r="H38" i="23" s="1"/>
  <c r="G38" i="23" a="1"/>
  <c r="G38" i="23" s="1"/>
  <c r="F38" i="23" a="1"/>
  <c r="F38" i="23" s="1"/>
  <c r="E38" i="23" a="1"/>
  <c r="E38" i="23" s="1"/>
  <c r="D38" i="23" a="1"/>
  <c r="D38" i="23" s="1"/>
  <c r="C38" i="23" a="1"/>
  <c r="C38" i="23" s="1"/>
  <c r="B38" i="23"/>
  <c r="H37" i="23" a="1"/>
  <c r="H37" i="23" s="1"/>
  <c r="G37" i="23" a="1"/>
  <c r="G37" i="23" s="1"/>
  <c r="F37" i="23" a="1"/>
  <c r="F37" i="23" s="1"/>
  <c r="E37" i="23" a="1"/>
  <c r="E37" i="23" s="1"/>
  <c r="D37" i="23" a="1"/>
  <c r="D37" i="23" s="1"/>
  <c r="C37" i="23" a="1"/>
  <c r="C37" i="23" s="1"/>
  <c r="B37" i="23"/>
  <c r="H61" i="23" a="1"/>
  <c r="H61" i="23" s="1"/>
  <c r="G61" i="23" a="1"/>
  <c r="G61" i="23" s="1"/>
  <c r="F61" i="23" a="1"/>
  <c r="F61" i="23" s="1"/>
  <c r="E61" i="23" a="1"/>
  <c r="E61" i="23" s="1"/>
  <c r="D61" i="23" a="1"/>
  <c r="D61" i="23" s="1"/>
  <c r="C61" i="23" a="1"/>
  <c r="C61" i="23" s="1"/>
  <c r="B61" i="23"/>
  <c r="H60" i="23" a="1"/>
  <c r="H60" i="23" s="1"/>
  <c r="G60" i="23" a="1"/>
  <c r="G60" i="23" s="1"/>
  <c r="F60" i="23" a="1"/>
  <c r="F60" i="23" s="1"/>
  <c r="E60" i="23" a="1"/>
  <c r="E60" i="23" s="1"/>
  <c r="D60" i="23" a="1"/>
  <c r="D60" i="23" s="1"/>
  <c r="C60" i="23" a="1"/>
  <c r="C60" i="23" s="1"/>
  <c r="B60" i="23"/>
  <c r="H59" i="23" a="1"/>
  <c r="H59" i="23" s="1"/>
  <c r="G59" i="23" a="1"/>
  <c r="G59" i="23" s="1"/>
  <c r="F59" i="23" a="1"/>
  <c r="F59" i="23" s="1"/>
  <c r="E59" i="23" a="1"/>
  <c r="E59" i="23" s="1"/>
  <c r="D59" i="23" a="1"/>
  <c r="D59" i="23" s="1"/>
  <c r="C59" i="23" a="1"/>
  <c r="C59" i="23" s="1"/>
  <c r="B59" i="23"/>
  <c r="H58" i="23" a="1"/>
  <c r="H58" i="23" s="1"/>
  <c r="G58" i="23" a="1"/>
  <c r="G58" i="23" s="1"/>
  <c r="F58" i="23" a="1"/>
  <c r="F58" i="23" s="1"/>
  <c r="E58" i="23" a="1"/>
  <c r="E58" i="23" s="1"/>
  <c r="D58" i="23" a="1"/>
  <c r="D58" i="23" s="1"/>
  <c r="C58" i="23" a="1"/>
  <c r="C58" i="23" s="1"/>
  <c r="B58" i="23"/>
  <c r="H57" i="23" a="1"/>
  <c r="H57" i="23" s="1"/>
  <c r="G57" i="23" a="1"/>
  <c r="G57" i="23" s="1"/>
  <c r="F57" i="23" a="1"/>
  <c r="F57" i="23" s="1"/>
  <c r="E57" i="23" a="1"/>
  <c r="E57" i="23" s="1"/>
  <c r="D57" i="23" a="1"/>
  <c r="D57" i="23" s="1"/>
  <c r="C57" i="23" a="1"/>
  <c r="C57" i="23" s="1"/>
  <c r="B57" i="23"/>
  <c r="H56" i="23" a="1"/>
  <c r="H56" i="23" s="1"/>
  <c r="G56" i="23" a="1"/>
  <c r="G56" i="23" s="1"/>
  <c r="F56" i="23" a="1"/>
  <c r="F56" i="23" s="1"/>
  <c r="E56" i="23" a="1"/>
  <c r="E56" i="23" s="1"/>
  <c r="D56" i="23" a="1"/>
  <c r="D56" i="23" s="1"/>
  <c r="C56" i="23" a="1"/>
  <c r="C56" i="23" s="1"/>
  <c r="B56" i="23"/>
  <c r="H55" i="23" a="1"/>
  <c r="H55" i="23" s="1"/>
  <c r="G55" i="23" a="1"/>
  <c r="G55" i="23" s="1"/>
  <c r="F55" i="23" a="1"/>
  <c r="F55" i="23" s="1"/>
  <c r="E55" i="23" a="1"/>
  <c r="E55" i="23" s="1"/>
  <c r="D55" i="23" a="1"/>
  <c r="D55" i="23" s="1"/>
  <c r="C55" i="23" a="1"/>
  <c r="C55" i="23" s="1"/>
  <c r="B55" i="23"/>
  <c r="H54" i="23" a="1"/>
  <c r="H54" i="23" s="1"/>
  <c r="G54" i="23" a="1"/>
  <c r="G54" i="23" s="1"/>
  <c r="F54" i="23" a="1"/>
  <c r="F54" i="23" s="1"/>
  <c r="E54" i="23" a="1"/>
  <c r="E54" i="23" s="1"/>
  <c r="D54" i="23" a="1"/>
  <c r="D54" i="23" s="1"/>
  <c r="C54" i="23" a="1"/>
  <c r="C54" i="23" s="1"/>
  <c r="B54" i="23"/>
  <c r="H53" i="23" a="1"/>
  <c r="H53" i="23" s="1"/>
  <c r="G53" i="23" a="1"/>
  <c r="G53" i="23" s="1"/>
  <c r="F53" i="23" a="1"/>
  <c r="F53" i="23" s="1"/>
  <c r="E53" i="23" a="1"/>
  <c r="E53" i="23" s="1"/>
  <c r="D53" i="23" a="1"/>
  <c r="D53" i="23" s="1"/>
  <c r="C53" i="23" a="1"/>
  <c r="C53" i="23" s="1"/>
  <c r="B53" i="23"/>
  <c r="H52" i="23" a="1"/>
  <c r="H52" i="23" s="1"/>
  <c r="G52" i="23" a="1"/>
  <c r="G52" i="23" s="1"/>
  <c r="F52" i="23" a="1"/>
  <c r="F52" i="23" s="1"/>
  <c r="E52" i="23" a="1"/>
  <c r="E52" i="23" s="1"/>
  <c r="D52" i="23" a="1"/>
  <c r="D52" i="23" s="1"/>
  <c r="C52" i="23" a="1"/>
  <c r="C52" i="23" s="1"/>
  <c r="B52" i="23"/>
  <c r="H51" i="23" a="1"/>
  <c r="H51" i="23" s="1"/>
  <c r="G51" i="23" a="1"/>
  <c r="G51" i="23" s="1"/>
  <c r="F51" i="23" a="1"/>
  <c r="F51" i="23" s="1"/>
  <c r="E51" i="23" a="1"/>
  <c r="E51" i="23" s="1"/>
  <c r="D51" i="23" a="1"/>
  <c r="D51" i="23" s="1"/>
  <c r="C51" i="23" a="1"/>
  <c r="C51" i="23" s="1"/>
  <c r="B51" i="23"/>
  <c r="H50" i="23" a="1"/>
  <c r="H50" i="23" s="1"/>
  <c r="G50" i="23" a="1"/>
  <c r="G50" i="23" s="1"/>
  <c r="F50" i="23" a="1"/>
  <c r="F50" i="23" s="1"/>
  <c r="E50" i="23" a="1"/>
  <c r="E50" i="23" s="1"/>
  <c r="D50" i="23" a="1"/>
  <c r="D50" i="23" s="1"/>
  <c r="C50" i="23" a="1"/>
  <c r="C50" i="23" s="1"/>
  <c r="B50" i="23"/>
  <c r="H22" i="21" a="1"/>
  <c r="H22" i="21" s="1"/>
  <c r="G22" i="21" a="1"/>
  <c r="G22" i="21" s="1"/>
  <c r="F22" i="21" a="1"/>
  <c r="F22" i="21" s="1"/>
  <c r="E22" i="21" a="1"/>
  <c r="E22" i="21" s="1"/>
  <c r="D22" i="21" a="1"/>
  <c r="D22" i="21" s="1"/>
  <c r="C22" i="21" a="1"/>
  <c r="C22" i="21" s="1"/>
  <c r="B22" i="21"/>
  <c r="H21" i="21" a="1"/>
  <c r="H21" i="21" s="1"/>
  <c r="G21" i="21" a="1"/>
  <c r="G21" i="21" s="1"/>
  <c r="F21" i="21" a="1"/>
  <c r="F21" i="21" s="1"/>
  <c r="E21" i="21" a="1"/>
  <c r="E21" i="21" s="1"/>
  <c r="D21" i="21" a="1"/>
  <c r="D21" i="21" s="1"/>
  <c r="C21" i="21" a="1"/>
  <c r="C21" i="21" s="1"/>
  <c r="B21" i="21"/>
  <c r="H20" i="21" a="1"/>
  <c r="H20" i="21" s="1"/>
  <c r="G20" i="21" a="1"/>
  <c r="G20" i="21" s="1"/>
  <c r="F20" i="21" a="1"/>
  <c r="F20" i="21" s="1"/>
  <c r="E20" i="21" a="1"/>
  <c r="E20" i="21" s="1"/>
  <c r="D20" i="21" a="1"/>
  <c r="D20" i="21" s="1"/>
  <c r="C20" i="21" a="1"/>
  <c r="C20" i="21" s="1"/>
  <c r="B20" i="21"/>
  <c r="H19" i="21" a="1"/>
  <c r="H19" i="21" s="1"/>
  <c r="G19" i="21" a="1"/>
  <c r="G19" i="21" s="1"/>
  <c r="F19" i="21" a="1"/>
  <c r="F19" i="21" s="1"/>
  <c r="E19" i="21" a="1"/>
  <c r="E19" i="21" s="1"/>
  <c r="D19" i="21" a="1"/>
  <c r="D19" i="21" s="1"/>
  <c r="C19" i="21" a="1"/>
  <c r="C19" i="21" s="1"/>
  <c r="B19" i="21"/>
  <c r="H18" i="21" a="1"/>
  <c r="H18" i="21" s="1"/>
  <c r="G18" i="21" a="1"/>
  <c r="G18" i="21" s="1"/>
  <c r="F18" i="21" a="1"/>
  <c r="F18" i="21" s="1"/>
  <c r="E18" i="21" a="1"/>
  <c r="E18" i="21" s="1"/>
  <c r="D18" i="21" a="1"/>
  <c r="D18" i="21" s="1"/>
  <c r="C18" i="21" a="1"/>
  <c r="C18" i="21" s="1"/>
  <c r="B18" i="21"/>
  <c r="H17" i="21" a="1"/>
  <c r="H17" i="21" s="1"/>
  <c r="G17" i="21" a="1"/>
  <c r="G17" i="21" s="1"/>
  <c r="F17" i="21" a="1"/>
  <c r="F17" i="21" s="1"/>
  <c r="E17" i="21" a="1"/>
  <c r="E17" i="21" s="1"/>
  <c r="D17" i="21" a="1"/>
  <c r="D17" i="21" s="1"/>
  <c r="C17" i="21" a="1"/>
  <c r="C17" i="21" s="1"/>
  <c r="B17" i="21"/>
  <c r="H16" i="21" a="1"/>
  <c r="H16" i="21" s="1"/>
  <c r="G16" i="21" a="1"/>
  <c r="G16" i="21" s="1"/>
  <c r="F16" i="21" a="1"/>
  <c r="F16" i="21" s="1"/>
  <c r="E16" i="21" a="1"/>
  <c r="E16" i="21" s="1"/>
  <c r="D16" i="21" a="1"/>
  <c r="D16" i="21" s="1"/>
  <c r="C16" i="21" a="1"/>
  <c r="C16" i="21" s="1"/>
  <c r="B16" i="21"/>
  <c r="H15" i="21" a="1"/>
  <c r="H15" i="21" s="1"/>
  <c r="G15" i="21" a="1"/>
  <c r="G15" i="21" s="1"/>
  <c r="F15" i="21" a="1"/>
  <c r="F15" i="21" s="1"/>
  <c r="E15" i="21" a="1"/>
  <c r="E15" i="21" s="1"/>
  <c r="D15" i="21" a="1"/>
  <c r="D15" i="21" s="1"/>
  <c r="C15" i="21" a="1"/>
  <c r="C15" i="21" s="1"/>
  <c r="B15" i="21"/>
  <c r="H14" i="21" a="1"/>
  <c r="H14" i="21" s="1"/>
  <c r="G14" i="21" a="1"/>
  <c r="G14" i="21" s="1"/>
  <c r="F14" i="21" a="1"/>
  <c r="F14" i="21" s="1"/>
  <c r="E14" i="21" a="1"/>
  <c r="E14" i="21" s="1"/>
  <c r="D14" i="21" a="1"/>
  <c r="D14" i="21" s="1"/>
  <c r="C14" i="21" a="1"/>
  <c r="C14" i="21" s="1"/>
  <c r="B14" i="21"/>
  <c r="H13" i="21" a="1"/>
  <c r="H13" i="21" s="1"/>
  <c r="G13" i="21" a="1"/>
  <c r="G13" i="21" s="1"/>
  <c r="F13" i="21" a="1"/>
  <c r="F13" i="21" s="1"/>
  <c r="E13" i="21" a="1"/>
  <c r="E13" i="21" s="1"/>
  <c r="D13" i="21" a="1"/>
  <c r="D13" i="21" s="1"/>
  <c r="C13" i="21" a="1"/>
  <c r="C13" i="21" s="1"/>
  <c r="B13" i="21"/>
  <c r="H12" i="21" a="1"/>
  <c r="H12" i="21" s="1"/>
  <c r="G12" i="21" a="1"/>
  <c r="G12" i="21" s="1"/>
  <c r="F12" i="21" a="1"/>
  <c r="F12" i="21" s="1"/>
  <c r="E12" i="21" a="1"/>
  <c r="E12" i="21" s="1"/>
  <c r="D12" i="21" a="1"/>
  <c r="D12" i="21" s="1"/>
  <c r="C12" i="21" a="1"/>
  <c r="C12" i="21" s="1"/>
  <c r="B12" i="21"/>
  <c r="H11" i="21" a="1"/>
  <c r="H11" i="21" s="1"/>
  <c r="G11" i="21" a="1"/>
  <c r="G11" i="21" s="1"/>
  <c r="F11" i="21" a="1"/>
  <c r="F11" i="21" s="1"/>
  <c r="E11" i="21" a="1"/>
  <c r="E11" i="21" s="1"/>
  <c r="D11" i="21" a="1"/>
  <c r="D11" i="21" s="1"/>
  <c r="C11" i="21" a="1"/>
  <c r="C11" i="21" s="1"/>
  <c r="B11" i="21"/>
  <c r="H35" i="21" a="1"/>
  <c r="H35" i="21" s="1"/>
  <c r="G35" i="21" a="1"/>
  <c r="G35" i="21" s="1"/>
  <c r="F35" i="21" a="1"/>
  <c r="F35" i="21" s="1"/>
  <c r="E35" i="21" a="1"/>
  <c r="E35" i="21" s="1"/>
  <c r="D35" i="21" a="1"/>
  <c r="D35" i="21" s="1"/>
  <c r="C35" i="21" a="1"/>
  <c r="C35" i="21" s="1"/>
  <c r="B35" i="21"/>
  <c r="H34" i="21" a="1"/>
  <c r="H34" i="21" s="1"/>
  <c r="G34" i="21" a="1"/>
  <c r="G34" i="21" s="1"/>
  <c r="F34" i="21" a="1"/>
  <c r="F34" i="21" s="1"/>
  <c r="E34" i="21" a="1"/>
  <c r="E34" i="21" s="1"/>
  <c r="D34" i="21" a="1"/>
  <c r="D34" i="21" s="1"/>
  <c r="C34" i="21" a="1"/>
  <c r="C34" i="21" s="1"/>
  <c r="B34" i="21"/>
  <c r="H33" i="21" a="1"/>
  <c r="H33" i="21" s="1"/>
  <c r="G33" i="21" a="1"/>
  <c r="G33" i="21" s="1"/>
  <c r="F33" i="21" a="1"/>
  <c r="F33" i="21" s="1"/>
  <c r="E33" i="21" a="1"/>
  <c r="E33" i="21" s="1"/>
  <c r="D33" i="21" a="1"/>
  <c r="D33" i="21" s="1"/>
  <c r="C33" i="21" a="1"/>
  <c r="C33" i="21" s="1"/>
  <c r="B33" i="21"/>
  <c r="H32" i="21" a="1"/>
  <c r="H32" i="21" s="1"/>
  <c r="G32" i="21" a="1"/>
  <c r="G32" i="21" s="1"/>
  <c r="F32" i="21" a="1"/>
  <c r="F32" i="21" s="1"/>
  <c r="E32" i="21" a="1"/>
  <c r="E32" i="21" s="1"/>
  <c r="D32" i="21" a="1"/>
  <c r="D32" i="21" s="1"/>
  <c r="C32" i="21" a="1"/>
  <c r="C32" i="21" s="1"/>
  <c r="B32" i="21"/>
  <c r="H31" i="21" a="1"/>
  <c r="H31" i="21" s="1"/>
  <c r="G31" i="21" a="1"/>
  <c r="G31" i="21" s="1"/>
  <c r="F31" i="21" a="1"/>
  <c r="F31" i="21" s="1"/>
  <c r="E31" i="21" a="1"/>
  <c r="E31" i="21" s="1"/>
  <c r="D31" i="21" a="1"/>
  <c r="D31" i="21" s="1"/>
  <c r="C31" i="21" a="1"/>
  <c r="C31" i="21" s="1"/>
  <c r="B31" i="21"/>
  <c r="H30" i="21" a="1"/>
  <c r="H30" i="21" s="1"/>
  <c r="G30" i="21" a="1"/>
  <c r="G30" i="21" s="1"/>
  <c r="F30" i="21" a="1"/>
  <c r="F30" i="21" s="1"/>
  <c r="E30" i="21" a="1"/>
  <c r="E30" i="21" s="1"/>
  <c r="D30" i="21" a="1"/>
  <c r="D30" i="21" s="1"/>
  <c r="C30" i="21" a="1"/>
  <c r="C30" i="21" s="1"/>
  <c r="B30" i="21"/>
  <c r="H29" i="21" a="1"/>
  <c r="H29" i="21" s="1"/>
  <c r="G29" i="21" a="1"/>
  <c r="G29" i="21" s="1"/>
  <c r="F29" i="21" a="1"/>
  <c r="F29" i="21" s="1"/>
  <c r="E29" i="21" a="1"/>
  <c r="E29" i="21" s="1"/>
  <c r="D29" i="21" a="1"/>
  <c r="D29" i="21" s="1"/>
  <c r="C29" i="21" a="1"/>
  <c r="C29" i="21" s="1"/>
  <c r="B29" i="21"/>
  <c r="H28" i="21" a="1"/>
  <c r="H28" i="21" s="1"/>
  <c r="G28" i="21" a="1"/>
  <c r="G28" i="21" s="1"/>
  <c r="F28" i="21" a="1"/>
  <c r="F28" i="21" s="1"/>
  <c r="E28" i="21" a="1"/>
  <c r="E28" i="21" s="1"/>
  <c r="D28" i="21" a="1"/>
  <c r="D28" i="21" s="1"/>
  <c r="C28" i="21" a="1"/>
  <c r="C28" i="21" s="1"/>
  <c r="B28" i="21"/>
  <c r="H27" i="21" a="1"/>
  <c r="H27" i="21" s="1"/>
  <c r="G27" i="21" a="1"/>
  <c r="G27" i="21" s="1"/>
  <c r="F27" i="21" a="1"/>
  <c r="F27" i="21" s="1"/>
  <c r="E27" i="21" a="1"/>
  <c r="E27" i="21" s="1"/>
  <c r="D27" i="21" a="1"/>
  <c r="D27" i="21" s="1"/>
  <c r="C27" i="21" a="1"/>
  <c r="C27" i="21" s="1"/>
  <c r="B27" i="21"/>
  <c r="H26" i="21" a="1"/>
  <c r="H26" i="21" s="1"/>
  <c r="G26" i="21" a="1"/>
  <c r="G26" i="21" s="1"/>
  <c r="F26" i="21" a="1"/>
  <c r="F26" i="21" s="1"/>
  <c r="E26" i="21" a="1"/>
  <c r="E26" i="21" s="1"/>
  <c r="D26" i="21" a="1"/>
  <c r="D26" i="21" s="1"/>
  <c r="C26" i="21" a="1"/>
  <c r="C26" i="21" s="1"/>
  <c r="B26" i="21"/>
  <c r="H25" i="21" a="1"/>
  <c r="H25" i="21" s="1"/>
  <c r="G25" i="21" a="1"/>
  <c r="G25" i="21" s="1"/>
  <c r="F25" i="21" a="1"/>
  <c r="F25" i="21" s="1"/>
  <c r="E25" i="21" a="1"/>
  <c r="E25" i="21" s="1"/>
  <c r="D25" i="21" a="1"/>
  <c r="D25" i="21" s="1"/>
  <c r="C25" i="21" a="1"/>
  <c r="C25" i="21" s="1"/>
  <c r="B25" i="21"/>
  <c r="H24" i="21" a="1"/>
  <c r="H24" i="21" s="1"/>
  <c r="G24" i="21" a="1"/>
  <c r="G24" i="21" s="1"/>
  <c r="F24" i="21" a="1"/>
  <c r="F24" i="21" s="1"/>
  <c r="E24" i="21" a="1"/>
  <c r="E24" i="21" s="1"/>
  <c r="D24" i="21" a="1"/>
  <c r="D24" i="21" s="1"/>
  <c r="C24" i="21" a="1"/>
  <c r="C24" i="21" s="1"/>
  <c r="B24" i="21"/>
  <c r="H48" i="21" a="1"/>
  <c r="H48" i="21" s="1"/>
  <c r="G48" i="21" a="1"/>
  <c r="G48" i="21" s="1"/>
  <c r="F48" i="21" a="1"/>
  <c r="F48" i="21" s="1"/>
  <c r="E48" i="21" a="1"/>
  <c r="E48" i="21" s="1"/>
  <c r="D48" i="21" a="1"/>
  <c r="D48" i="21" s="1"/>
  <c r="C48" i="21" a="1"/>
  <c r="C48" i="21" s="1"/>
  <c r="B48" i="21"/>
  <c r="H47" i="21" a="1"/>
  <c r="H47" i="21" s="1"/>
  <c r="G47" i="21" a="1"/>
  <c r="G47" i="21" s="1"/>
  <c r="F47" i="21" a="1"/>
  <c r="F47" i="21" s="1"/>
  <c r="E47" i="21" a="1"/>
  <c r="E47" i="21" s="1"/>
  <c r="D47" i="21" a="1"/>
  <c r="D47" i="21" s="1"/>
  <c r="C47" i="21" a="1"/>
  <c r="C47" i="21" s="1"/>
  <c r="B47" i="21"/>
  <c r="H46" i="21" a="1"/>
  <c r="H46" i="21" s="1"/>
  <c r="G46" i="21" a="1"/>
  <c r="G46" i="21" s="1"/>
  <c r="F46" i="21" a="1"/>
  <c r="F46" i="21" s="1"/>
  <c r="E46" i="21" a="1"/>
  <c r="E46" i="21" s="1"/>
  <c r="D46" i="21" a="1"/>
  <c r="D46" i="21" s="1"/>
  <c r="C46" i="21" a="1"/>
  <c r="C46" i="21" s="1"/>
  <c r="B46" i="21"/>
  <c r="H45" i="21" a="1"/>
  <c r="H45" i="21" s="1"/>
  <c r="G45" i="21" a="1"/>
  <c r="G45" i="21" s="1"/>
  <c r="F45" i="21" a="1"/>
  <c r="F45" i="21" s="1"/>
  <c r="E45" i="21" a="1"/>
  <c r="E45" i="21" s="1"/>
  <c r="D45" i="21" a="1"/>
  <c r="D45" i="21" s="1"/>
  <c r="C45" i="21" a="1"/>
  <c r="C45" i="21" s="1"/>
  <c r="B45" i="21"/>
  <c r="H44" i="21" a="1"/>
  <c r="H44" i="21" s="1"/>
  <c r="G44" i="21" a="1"/>
  <c r="G44" i="21" s="1"/>
  <c r="F44" i="21" a="1"/>
  <c r="F44" i="21" s="1"/>
  <c r="E44" i="21" a="1"/>
  <c r="E44" i="21" s="1"/>
  <c r="D44" i="21" a="1"/>
  <c r="D44" i="21" s="1"/>
  <c r="C44" i="21" a="1"/>
  <c r="C44" i="21" s="1"/>
  <c r="B44" i="21"/>
  <c r="H43" i="21" a="1"/>
  <c r="H43" i="21" s="1"/>
  <c r="G43" i="21" a="1"/>
  <c r="G43" i="21" s="1"/>
  <c r="F43" i="21" a="1"/>
  <c r="F43" i="21" s="1"/>
  <c r="E43" i="21" a="1"/>
  <c r="E43" i="21" s="1"/>
  <c r="D43" i="21" a="1"/>
  <c r="D43" i="21" s="1"/>
  <c r="C43" i="21" a="1"/>
  <c r="C43" i="21" s="1"/>
  <c r="B43" i="21"/>
  <c r="H42" i="21" a="1"/>
  <c r="H42" i="21" s="1"/>
  <c r="G42" i="21" a="1"/>
  <c r="G42" i="21" s="1"/>
  <c r="F42" i="21" a="1"/>
  <c r="F42" i="21" s="1"/>
  <c r="E42" i="21" a="1"/>
  <c r="E42" i="21" s="1"/>
  <c r="D42" i="21" a="1"/>
  <c r="D42" i="21" s="1"/>
  <c r="C42" i="21" a="1"/>
  <c r="C42" i="21" s="1"/>
  <c r="B42" i="21"/>
  <c r="H41" i="21" a="1"/>
  <c r="H41" i="21" s="1"/>
  <c r="G41" i="21" a="1"/>
  <c r="G41" i="21" s="1"/>
  <c r="F41" i="21" a="1"/>
  <c r="F41" i="21" s="1"/>
  <c r="E41" i="21" a="1"/>
  <c r="E41" i="21" s="1"/>
  <c r="D41" i="21" a="1"/>
  <c r="D41" i="21" s="1"/>
  <c r="C41" i="21" a="1"/>
  <c r="C41" i="21" s="1"/>
  <c r="B41" i="21"/>
  <c r="H40" i="21" a="1"/>
  <c r="H40" i="21" s="1"/>
  <c r="G40" i="21" a="1"/>
  <c r="G40" i="21" s="1"/>
  <c r="F40" i="21" a="1"/>
  <c r="F40" i="21" s="1"/>
  <c r="E40" i="21" a="1"/>
  <c r="E40" i="21" s="1"/>
  <c r="D40" i="21" a="1"/>
  <c r="D40" i="21" s="1"/>
  <c r="C40" i="21" a="1"/>
  <c r="C40" i="21" s="1"/>
  <c r="B40" i="21"/>
  <c r="H39" i="21" a="1"/>
  <c r="H39" i="21" s="1"/>
  <c r="G39" i="21" a="1"/>
  <c r="G39" i="21" s="1"/>
  <c r="F39" i="21" a="1"/>
  <c r="F39" i="21" s="1"/>
  <c r="E39" i="21" a="1"/>
  <c r="E39" i="21" s="1"/>
  <c r="D39" i="21" a="1"/>
  <c r="D39" i="21" s="1"/>
  <c r="C39" i="21" a="1"/>
  <c r="C39" i="21" s="1"/>
  <c r="B39" i="21"/>
  <c r="H38" i="21" a="1"/>
  <c r="H38" i="21" s="1"/>
  <c r="G38" i="21" a="1"/>
  <c r="G38" i="21" s="1"/>
  <c r="F38" i="21" a="1"/>
  <c r="F38" i="21" s="1"/>
  <c r="E38" i="21" a="1"/>
  <c r="E38" i="21" s="1"/>
  <c r="D38" i="21" a="1"/>
  <c r="D38" i="21" s="1"/>
  <c r="C38" i="21" a="1"/>
  <c r="C38" i="21" s="1"/>
  <c r="B38" i="21"/>
  <c r="H37" i="21" a="1"/>
  <c r="H37" i="21" s="1"/>
  <c r="G37" i="21" a="1"/>
  <c r="G37" i="21" s="1"/>
  <c r="F37" i="21" a="1"/>
  <c r="F37" i="21" s="1"/>
  <c r="E37" i="21" a="1"/>
  <c r="E37" i="21" s="1"/>
  <c r="D37" i="21" a="1"/>
  <c r="D37" i="21" s="1"/>
  <c r="C37" i="21" a="1"/>
  <c r="C37" i="21" s="1"/>
  <c r="B37" i="21"/>
  <c r="H61" i="21" a="1"/>
  <c r="H61" i="21" s="1"/>
  <c r="G61" i="21" a="1"/>
  <c r="G61" i="21" s="1"/>
  <c r="F61" i="21" a="1"/>
  <c r="F61" i="21" s="1"/>
  <c r="E61" i="21" a="1"/>
  <c r="E61" i="21" s="1"/>
  <c r="D61" i="21" a="1"/>
  <c r="D61" i="21" s="1"/>
  <c r="C61" i="21" a="1"/>
  <c r="C61" i="21" s="1"/>
  <c r="B61" i="21"/>
  <c r="H60" i="21" a="1"/>
  <c r="H60" i="21" s="1"/>
  <c r="G60" i="21" a="1"/>
  <c r="G60" i="21" s="1"/>
  <c r="F60" i="21" a="1"/>
  <c r="F60" i="21" s="1"/>
  <c r="E60" i="21" a="1"/>
  <c r="E60" i="21" s="1"/>
  <c r="D60" i="21" a="1"/>
  <c r="D60" i="21" s="1"/>
  <c r="C60" i="21" a="1"/>
  <c r="C60" i="21" s="1"/>
  <c r="B60" i="21"/>
  <c r="H59" i="21" a="1"/>
  <c r="H59" i="21" s="1"/>
  <c r="G59" i="21" a="1"/>
  <c r="G59" i="21" s="1"/>
  <c r="F59" i="21" a="1"/>
  <c r="F59" i="21" s="1"/>
  <c r="E59" i="21" a="1"/>
  <c r="E59" i="21" s="1"/>
  <c r="D59" i="21" a="1"/>
  <c r="D59" i="21" s="1"/>
  <c r="C59" i="21" a="1"/>
  <c r="C59" i="21" s="1"/>
  <c r="B59" i="21"/>
  <c r="H58" i="21" a="1"/>
  <c r="H58" i="21" s="1"/>
  <c r="G58" i="21" a="1"/>
  <c r="G58" i="21" s="1"/>
  <c r="F58" i="21" a="1"/>
  <c r="F58" i="21" s="1"/>
  <c r="E58" i="21" a="1"/>
  <c r="E58" i="21" s="1"/>
  <c r="D58" i="21" a="1"/>
  <c r="D58" i="21" s="1"/>
  <c r="C58" i="21" a="1"/>
  <c r="C58" i="21" s="1"/>
  <c r="B58" i="21"/>
  <c r="H57" i="21" a="1"/>
  <c r="H57" i="21" s="1"/>
  <c r="G57" i="21" a="1"/>
  <c r="G57" i="21" s="1"/>
  <c r="F57" i="21" a="1"/>
  <c r="F57" i="21" s="1"/>
  <c r="E57" i="21" a="1"/>
  <c r="E57" i="21" s="1"/>
  <c r="D57" i="21" a="1"/>
  <c r="D57" i="21" s="1"/>
  <c r="C57" i="21" a="1"/>
  <c r="C57" i="21" s="1"/>
  <c r="B57" i="21"/>
  <c r="H56" i="21" a="1"/>
  <c r="H56" i="21" s="1"/>
  <c r="G56" i="21" a="1"/>
  <c r="G56" i="21" s="1"/>
  <c r="F56" i="21" a="1"/>
  <c r="F56" i="21" s="1"/>
  <c r="E56" i="21" a="1"/>
  <c r="E56" i="21" s="1"/>
  <c r="D56" i="21" a="1"/>
  <c r="D56" i="21" s="1"/>
  <c r="C56" i="21" a="1"/>
  <c r="C56" i="21" s="1"/>
  <c r="B56" i="21"/>
  <c r="H55" i="21" a="1"/>
  <c r="H55" i="21" s="1"/>
  <c r="G55" i="21" a="1"/>
  <c r="G55" i="21" s="1"/>
  <c r="F55" i="21" a="1"/>
  <c r="F55" i="21" s="1"/>
  <c r="E55" i="21" a="1"/>
  <c r="E55" i="21" s="1"/>
  <c r="D55" i="21" a="1"/>
  <c r="D55" i="21" s="1"/>
  <c r="C55" i="21" a="1"/>
  <c r="C55" i="21" s="1"/>
  <c r="B55" i="21"/>
  <c r="H54" i="21" a="1"/>
  <c r="H54" i="21" s="1"/>
  <c r="G54" i="21" a="1"/>
  <c r="G54" i="21" s="1"/>
  <c r="F54" i="21" a="1"/>
  <c r="F54" i="21" s="1"/>
  <c r="E54" i="21" a="1"/>
  <c r="E54" i="21" s="1"/>
  <c r="D54" i="21" a="1"/>
  <c r="D54" i="21" s="1"/>
  <c r="C54" i="21" a="1"/>
  <c r="C54" i="21" s="1"/>
  <c r="B54" i="21"/>
  <c r="H53" i="21" a="1"/>
  <c r="H53" i="21" s="1"/>
  <c r="G53" i="21" a="1"/>
  <c r="G53" i="21" s="1"/>
  <c r="F53" i="21" a="1"/>
  <c r="F53" i="21" s="1"/>
  <c r="E53" i="21" a="1"/>
  <c r="E53" i="21" s="1"/>
  <c r="D53" i="21" a="1"/>
  <c r="D53" i="21" s="1"/>
  <c r="C53" i="21" a="1"/>
  <c r="C53" i="21" s="1"/>
  <c r="B53" i="21"/>
  <c r="H52" i="21" a="1"/>
  <c r="H52" i="21" s="1"/>
  <c r="G52" i="21" a="1"/>
  <c r="G52" i="21" s="1"/>
  <c r="F52" i="21" a="1"/>
  <c r="F52" i="21" s="1"/>
  <c r="E52" i="21" a="1"/>
  <c r="E52" i="21" s="1"/>
  <c r="D52" i="21" a="1"/>
  <c r="D52" i="21" s="1"/>
  <c r="C52" i="21" a="1"/>
  <c r="C52" i="21" s="1"/>
  <c r="B52" i="21"/>
  <c r="H51" i="21" a="1"/>
  <c r="H51" i="21" s="1"/>
  <c r="G51" i="21" a="1"/>
  <c r="G51" i="21" s="1"/>
  <c r="F51" i="21" a="1"/>
  <c r="F51" i="21" s="1"/>
  <c r="E51" i="21" a="1"/>
  <c r="E51" i="21" s="1"/>
  <c r="D51" i="21" a="1"/>
  <c r="D51" i="21" s="1"/>
  <c r="C51" i="21" a="1"/>
  <c r="C51" i="21" s="1"/>
  <c r="B51" i="21"/>
  <c r="H50" i="21" a="1"/>
  <c r="H50" i="21" s="1"/>
  <c r="G50" i="21" a="1"/>
  <c r="G50" i="21" s="1"/>
  <c r="F50" i="21" a="1"/>
  <c r="F50" i="21" s="1"/>
  <c r="E50" i="21" a="1"/>
  <c r="E50" i="21" s="1"/>
  <c r="D50" i="21" a="1"/>
  <c r="D50" i="21" s="1"/>
  <c r="C50" i="21" a="1"/>
  <c r="C50" i="21" s="1"/>
  <c r="B50" i="21"/>
  <c r="H22" i="19" a="1"/>
  <c r="H22" i="19" s="1"/>
  <c r="G22" i="19" a="1"/>
  <c r="G22" i="19" s="1"/>
  <c r="F22" i="19" a="1"/>
  <c r="F22" i="19" s="1"/>
  <c r="E22" i="19" a="1"/>
  <c r="E22" i="19" s="1"/>
  <c r="D22" i="19" a="1"/>
  <c r="D22" i="19" s="1"/>
  <c r="C22" i="19" a="1"/>
  <c r="C22" i="19" s="1"/>
  <c r="B22" i="19"/>
  <c r="H21" i="19" a="1"/>
  <c r="H21" i="19" s="1"/>
  <c r="G21" i="19" a="1"/>
  <c r="G21" i="19" s="1"/>
  <c r="F21" i="19" a="1"/>
  <c r="F21" i="19" s="1"/>
  <c r="E21" i="19" a="1"/>
  <c r="E21" i="19" s="1"/>
  <c r="D21" i="19" a="1"/>
  <c r="D21" i="19" s="1"/>
  <c r="C21" i="19" a="1"/>
  <c r="C21" i="19" s="1"/>
  <c r="B21" i="19"/>
  <c r="H20" i="19" a="1"/>
  <c r="H20" i="19" s="1"/>
  <c r="G20" i="19" a="1"/>
  <c r="G20" i="19" s="1"/>
  <c r="F20" i="19" a="1"/>
  <c r="F20" i="19" s="1"/>
  <c r="E20" i="19" a="1"/>
  <c r="E20" i="19" s="1"/>
  <c r="D20" i="19" a="1"/>
  <c r="D20" i="19" s="1"/>
  <c r="C20" i="19" a="1"/>
  <c r="C20" i="19" s="1"/>
  <c r="B20" i="19"/>
  <c r="H19" i="19" a="1"/>
  <c r="H19" i="19" s="1"/>
  <c r="G19" i="19" a="1"/>
  <c r="G19" i="19" s="1"/>
  <c r="F19" i="19" a="1"/>
  <c r="F19" i="19" s="1"/>
  <c r="E19" i="19" a="1"/>
  <c r="E19" i="19" s="1"/>
  <c r="D19" i="19" a="1"/>
  <c r="D19" i="19" s="1"/>
  <c r="C19" i="19" a="1"/>
  <c r="C19" i="19" s="1"/>
  <c r="B19" i="19"/>
  <c r="H18" i="19" a="1"/>
  <c r="H18" i="19" s="1"/>
  <c r="G18" i="19" a="1"/>
  <c r="G18" i="19" s="1"/>
  <c r="F18" i="19" a="1"/>
  <c r="F18" i="19" s="1"/>
  <c r="E18" i="19" a="1"/>
  <c r="E18" i="19" s="1"/>
  <c r="D18" i="19" a="1"/>
  <c r="D18" i="19" s="1"/>
  <c r="C18" i="19" a="1"/>
  <c r="C18" i="19" s="1"/>
  <c r="B18" i="19"/>
  <c r="H17" i="19" a="1"/>
  <c r="H17" i="19" s="1"/>
  <c r="G17" i="19" a="1"/>
  <c r="G17" i="19" s="1"/>
  <c r="F17" i="19" a="1"/>
  <c r="F17" i="19" s="1"/>
  <c r="E17" i="19" a="1"/>
  <c r="E17" i="19" s="1"/>
  <c r="D17" i="19" a="1"/>
  <c r="D17" i="19" s="1"/>
  <c r="C17" i="19" a="1"/>
  <c r="C17" i="19" s="1"/>
  <c r="B17" i="19"/>
  <c r="H16" i="19" a="1"/>
  <c r="H16" i="19" s="1"/>
  <c r="G16" i="19" a="1"/>
  <c r="G16" i="19" s="1"/>
  <c r="F16" i="19" a="1"/>
  <c r="F16" i="19" s="1"/>
  <c r="E16" i="19" a="1"/>
  <c r="E16" i="19" s="1"/>
  <c r="D16" i="19" a="1"/>
  <c r="D16" i="19" s="1"/>
  <c r="C16" i="19" a="1"/>
  <c r="C16" i="19" s="1"/>
  <c r="B16" i="19"/>
  <c r="H15" i="19" a="1"/>
  <c r="H15" i="19" s="1"/>
  <c r="G15" i="19" a="1"/>
  <c r="G15" i="19" s="1"/>
  <c r="F15" i="19" a="1"/>
  <c r="F15" i="19" s="1"/>
  <c r="E15" i="19" a="1"/>
  <c r="E15" i="19" s="1"/>
  <c r="D15" i="19" a="1"/>
  <c r="D15" i="19" s="1"/>
  <c r="C15" i="19" a="1"/>
  <c r="C15" i="19" s="1"/>
  <c r="B15" i="19"/>
  <c r="H14" i="19" a="1"/>
  <c r="H14" i="19" s="1"/>
  <c r="G14" i="19" a="1"/>
  <c r="G14" i="19" s="1"/>
  <c r="F14" i="19" a="1"/>
  <c r="F14" i="19" s="1"/>
  <c r="E14" i="19" a="1"/>
  <c r="E14" i="19" s="1"/>
  <c r="D14" i="19" a="1"/>
  <c r="D14" i="19" s="1"/>
  <c r="C14" i="19" a="1"/>
  <c r="C14" i="19" s="1"/>
  <c r="B14" i="19"/>
  <c r="H13" i="19" a="1"/>
  <c r="H13" i="19" s="1"/>
  <c r="G13" i="19" a="1"/>
  <c r="G13" i="19" s="1"/>
  <c r="F13" i="19" a="1"/>
  <c r="F13" i="19" s="1"/>
  <c r="E13" i="19" a="1"/>
  <c r="E13" i="19" s="1"/>
  <c r="D13" i="19" a="1"/>
  <c r="D13" i="19" s="1"/>
  <c r="C13" i="19" a="1"/>
  <c r="C13" i="19" s="1"/>
  <c r="B13" i="19"/>
  <c r="H12" i="19" a="1"/>
  <c r="H12" i="19" s="1"/>
  <c r="G12" i="19" a="1"/>
  <c r="G12" i="19" s="1"/>
  <c r="F12" i="19" a="1"/>
  <c r="F12" i="19" s="1"/>
  <c r="E12" i="19" a="1"/>
  <c r="E12" i="19" s="1"/>
  <c r="D12" i="19" a="1"/>
  <c r="D12" i="19" s="1"/>
  <c r="C12" i="19" a="1"/>
  <c r="C12" i="19" s="1"/>
  <c r="B12" i="19"/>
  <c r="H11" i="19" a="1"/>
  <c r="H11" i="19" s="1"/>
  <c r="G11" i="19" a="1"/>
  <c r="G11" i="19" s="1"/>
  <c r="F11" i="19" a="1"/>
  <c r="F11" i="19" s="1"/>
  <c r="E11" i="19" a="1"/>
  <c r="E11" i="19" s="1"/>
  <c r="D11" i="19" a="1"/>
  <c r="D11" i="19" s="1"/>
  <c r="C11" i="19" a="1"/>
  <c r="C11" i="19" s="1"/>
  <c r="B11" i="19"/>
  <c r="H35" i="19" a="1"/>
  <c r="H35" i="19" s="1"/>
  <c r="G35" i="19" a="1"/>
  <c r="G35" i="19" s="1"/>
  <c r="F35" i="19" a="1"/>
  <c r="F35" i="19" s="1"/>
  <c r="E35" i="19" a="1"/>
  <c r="E35" i="19" s="1"/>
  <c r="D35" i="19" a="1"/>
  <c r="D35" i="19" s="1"/>
  <c r="C35" i="19" a="1"/>
  <c r="C35" i="19" s="1"/>
  <c r="B35" i="19"/>
  <c r="H34" i="19" a="1"/>
  <c r="H34" i="19" s="1"/>
  <c r="G34" i="19" a="1"/>
  <c r="G34" i="19" s="1"/>
  <c r="F34" i="19" a="1"/>
  <c r="F34" i="19" s="1"/>
  <c r="E34" i="19" a="1"/>
  <c r="E34" i="19" s="1"/>
  <c r="D34" i="19" a="1"/>
  <c r="D34" i="19" s="1"/>
  <c r="C34" i="19" a="1"/>
  <c r="C34" i="19" s="1"/>
  <c r="B34" i="19"/>
  <c r="H33" i="19" a="1"/>
  <c r="H33" i="19" s="1"/>
  <c r="G33" i="19" a="1"/>
  <c r="G33" i="19" s="1"/>
  <c r="F33" i="19" a="1"/>
  <c r="F33" i="19" s="1"/>
  <c r="E33" i="19" a="1"/>
  <c r="E33" i="19" s="1"/>
  <c r="D33" i="19" a="1"/>
  <c r="D33" i="19" s="1"/>
  <c r="C33" i="19" a="1"/>
  <c r="C33" i="19" s="1"/>
  <c r="B33" i="19"/>
  <c r="H32" i="19" a="1"/>
  <c r="H32" i="19" s="1"/>
  <c r="G32" i="19" a="1"/>
  <c r="G32" i="19" s="1"/>
  <c r="F32" i="19" a="1"/>
  <c r="F32" i="19" s="1"/>
  <c r="E32" i="19" a="1"/>
  <c r="E32" i="19" s="1"/>
  <c r="D32" i="19" a="1"/>
  <c r="D32" i="19" s="1"/>
  <c r="C32" i="19" a="1"/>
  <c r="C32" i="19" s="1"/>
  <c r="B32" i="19"/>
  <c r="H31" i="19" a="1"/>
  <c r="H31" i="19" s="1"/>
  <c r="G31" i="19" a="1"/>
  <c r="G31" i="19" s="1"/>
  <c r="F31" i="19" a="1"/>
  <c r="F31" i="19" s="1"/>
  <c r="E31" i="19" a="1"/>
  <c r="E31" i="19" s="1"/>
  <c r="D31" i="19" a="1"/>
  <c r="D31" i="19" s="1"/>
  <c r="C31" i="19" a="1"/>
  <c r="C31" i="19" s="1"/>
  <c r="B31" i="19"/>
  <c r="H30" i="19" a="1"/>
  <c r="H30" i="19" s="1"/>
  <c r="G30" i="19" a="1"/>
  <c r="G30" i="19" s="1"/>
  <c r="F30" i="19" a="1"/>
  <c r="F30" i="19" s="1"/>
  <c r="E30" i="19" a="1"/>
  <c r="E30" i="19" s="1"/>
  <c r="D30" i="19" a="1"/>
  <c r="D30" i="19" s="1"/>
  <c r="C30" i="19" a="1"/>
  <c r="C30" i="19" s="1"/>
  <c r="B30" i="19"/>
  <c r="H29" i="19" a="1"/>
  <c r="H29" i="19" s="1"/>
  <c r="G29" i="19" a="1"/>
  <c r="G29" i="19" s="1"/>
  <c r="F29" i="19" a="1"/>
  <c r="F29" i="19" s="1"/>
  <c r="E29" i="19" a="1"/>
  <c r="E29" i="19" s="1"/>
  <c r="D29" i="19" a="1"/>
  <c r="D29" i="19" s="1"/>
  <c r="C29" i="19" a="1"/>
  <c r="C29" i="19" s="1"/>
  <c r="B29" i="19"/>
  <c r="H28" i="19" a="1"/>
  <c r="H28" i="19" s="1"/>
  <c r="G28" i="19" a="1"/>
  <c r="G28" i="19" s="1"/>
  <c r="F28" i="19" a="1"/>
  <c r="F28" i="19" s="1"/>
  <c r="E28" i="19" a="1"/>
  <c r="E28" i="19" s="1"/>
  <c r="D28" i="19" a="1"/>
  <c r="D28" i="19" s="1"/>
  <c r="C28" i="19" a="1"/>
  <c r="C28" i="19" s="1"/>
  <c r="B28" i="19"/>
  <c r="H27" i="19" a="1"/>
  <c r="H27" i="19" s="1"/>
  <c r="G27" i="19" a="1"/>
  <c r="G27" i="19" s="1"/>
  <c r="F27" i="19" a="1"/>
  <c r="F27" i="19" s="1"/>
  <c r="E27" i="19" a="1"/>
  <c r="E27" i="19" s="1"/>
  <c r="D27" i="19" a="1"/>
  <c r="D27" i="19" s="1"/>
  <c r="C27" i="19" a="1"/>
  <c r="C27" i="19" s="1"/>
  <c r="B27" i="19"/>
  <c r="H26" i="19" a="1"/>
  <c r="H26" i="19" s="1"/>
  <c r="G26" i="19" a="1"/>
  <c r="G26" i="19" s="1"/>
  <c r="F26" i="19" a="1"/>
  <c r="F26" i="19" s="1"/>
  <c r="E26" i="19" a="1"/>
  <c r="E26" i="19" s="1"/>
  <c r="D26" i="19" a="1"/>
  <c r="D26" i="19" s="1"/>
  <c r="C26" i="19" a="1"/>
  <c r="C26" i="19" s="1"/>
  <c r="B26" i="19"/>
  <c r="H25" i="19" a="1"/>
  <c r="H25" i="19" s="1"/>
  <c r="G25" i="19" a="1"/>
  <c r="G25" i="19" s="1"/>
  <c r="F25" i="19" a="1"/>
  <c r="F25" i="19" s="1"/>
  <c r="E25" i="19" a="1"/>
  <c r="E25" i="19" s="1"/>
  <c r="D25" i="19" a="1"/>
  <c r="D25" i="19" s="1"/>
  <c r="C25" i="19" a="1"/>
  <c r="C25" i="19" s="1"/>
  <c r="B25" i="19"/>
  <c r="H24" i="19" a="1"/>
  <c r="H24" i="19" s="1"/>
  <c r="G24" i="19" a="1"/>
  <c r="G24" i="19" s="1"/>
  <c r="F24" i="19" a="1"/>
  <c r="F24" i="19" s="1"/>
  <c r="E24" i="19" a="1"/>
  <c r="E24" i="19" s="1"/>
  <c r="D24" i="19" a="1"/>
  <c r="D24" i="19" s="1"/>
  <c r="C24" i="19" a="1"/>
  <c r="C24" i="19" s="1"/>
  <c r="B24" i="19"/>
  <c r="H48" i="19" a="1"/>
  <c r="H48" i="19" s="1"/>
  <c r="G48" i="19" a="1"/>
  <c r="G48" i="19" s="1"/>
  <c r="F48" i="19" a="1"/>
  <c r="F48" i="19" s="1"/>
  <c r="E48" i="19" a="1"/>
  <c r="E48" i="19" s="1"/>
  <c r="D48" i="19" a="1"/>
  <c r="D48" i="19" s="1"/>
  <c r="C48" i="19" a="1"/>
  <c r="C48" i="19" s="1"/>
  <c r="B48" i="19"/>
  <c r="H47" i="19" a="1"/>
  <c r="H47" i="19" s="1"/>
  <c r="G47" i="19" a="1"/>
  <c r="G47" i="19" s="1"/>
  <c r="F47" i="19" a="1"/>
  <c r="F47" i="19" s="1"/>
  <c r="E47" i="19" a="1"/>
  <c r="E47" i="19" s="1"/>
  <c r="D47" i="19" a="1"/>
  <c r="D47" i="19" s="1"/>
  <c r="C47" i="19" a="1"/>
  <c r="C47" i="19" s="1"/>
  <c r="B47" i="19"/>
  <c r="H46" i="19" a="1"/>
  <c r="H46" i="19" s="1"/>
  <c r="G46" i="19" a="1"/>
  <c r="G46" i="19" s="1"/>
  <c r="F46" i="19" a="1"/>
  <c r="F46" i="19" s="1"/>
  <c r="E46" i="19" a="1"/>
  <c r="E46" i="19" s="1"/>
  <c r="D46" i="19" a="1"/>
  <c r="D46" i="19" s="1"/>
  <c r="C46" i="19" a="1"/>
  <c r="C46" i="19" s="1"/>
  <c r="B46" i="19"/>
  <c r="H45" i="19" a="1"/>
  <c r="H45" i="19" s="1"/>
  <c r="G45" i="19" a="1"/>
  <c r="G45" i="19" s="1"/>
  <c r="F45" i="19" a="1"/>
  <c r="F45" i="19" s="1"/>
  <c r="E45" i="19" a="1"/>
  <c r="E45" i="19" s="1"/>
  <c r="D45" i="19" a="1"/>
  <c r="D45" i="19" s="1"/>
  <c r="C45" i="19" a="1"/>
  <c r="C45" i="19" s="1"/>
  <c r="B45" i="19"/>
  <c r="H44" i="19" a="1"/>
  <c r="H44" i="19" s="1"/>
  <c r="G44" i="19" a="1"/>
  <c r="G44" i="19" s="1"/>
  <c r="F44" i="19" a="1"/>
  <c r="F44" i="19" s="1"/>
  <c r="E44" i="19" a="1"/>
  <c r="E44" i="19" s="1"/>
  <c r="D44" i="19" a="1"/>
  <c r="D44" i="19" s="1"/>
  <c r="C44" i="19" a="1"/>
  <c r="C44" i="19" s="1"/>
  <c r="B44" i="19"/>
  <c r="H43" i="19" a="1"/>
  <c r="H43" i="19" s="1"/>
  <c r="G43" i="19" a="1"/>
  <c r="G43" i="19" s="1"/>
  <c r="F43" i="19" a="1"/>
  <c r="F43" i="19" s="1"/>
  <c r="E43" i="19" a="1"/>
  <c r="E43" i="19" s="1"/>
  <c r="D43" i="19" a="1"/>
  <c r="D43" i="19" s="1"/>
  <c r="C43" i="19" a="1"/>
  <c r="C43" i="19" s="1"/>
  <c r="B43" i="19"/>
  <c r="H42" i="19" a="1"/>
  <c r="H42" i="19" s="1"/>
  <c r="G42" i="19" a="1"/>
  <c r="G42" i="19" s="1"/>
  <c r="F42" i="19" a="1"/>
  <c r="F42" i="19" s="1"/>
  <c r="E42" i="19" a="1"/>
  <c r="E42" i="19" s="1"/>
  <c r="D42" i="19" a="1"/>
  <c r="D42" i="19" s="1"/>
  <c r="C42" i="19" a="1"/>
  <c r="C42" i="19" s="1"/>
  <c r="B42" i="19"/>
  <c r="H41" i="19" a="1"/>
  <c r="H41" i="19" s="1"/>
  <c r="G41" i="19" a="1"/>
  <c r="G41" i="19" s="1"/>
  <c r="F41" i="19" a="1"/>
  <c r="F41" i="19" s="1"/>
  <c r="E41" i="19" a="1"/>
  <c r="E41" i="19" s="1"/>
  <c r="D41" i="19" a="1"/>
  <c r="D41" i="19" s="1"/>
  <c r="C41" i="19" a="1"/>
  <c r="C41" i="19" s="1"/>
  <c r="B41" i="19"/>
  <c r="H40" i="19" a="1"/>
  <c r="H40" i="19" s="1"/>
  <c r="G40" i="19" a="1"/>
  <c r="G40" i="19" s="1"/>
  <c r="F40" i="19" a="1"/>
  <c r="F40" i="19" s="1"/>
  <c r="E40" i="19" a="1"/>
  <c r="E40" i="19" s="1"/>
  <c r="D40" i="19" a="1"/>
  <c r="D40" i="19" s="1"/>
  <c r="C40" i="19" a="1"/>
  <c r="C40" i="19" s="1"/>
  <c r="B40" i="19"/>
  <c r="H39" i="19" a="1"/>
  <c r="H39" i="19" s="1"/>
  <c r="G39" i="19" a="1"/>
  <c r="G39" i="19" s="1"/>
  <c r="F39" i="19" a="1"/>
  <c r="F39" i="19" s="1"/>
  <c r="E39" i="19" a="1"/>
  <c r="E39" i="19" s="1"/>
  <c r="D39" i="19" a="1"/>
  <c r="D39" i="19" s="1"/>
  <c r="C39" i="19" a="1"/>
  <c r="C39" i="19" s="1"/>
  <c r="B39" i="19"/>
  <c r="H38" i="19" a="1"/>
  <c r="H38" i="19" s="1"/>
  <c r="G38" i="19" a="1"/>
  <c r="G38" i="19" s="1"/>
  <c r="F38" i="19" a="1"/>
  <c r="F38" i="19" s="1"/>
  <c r="E38" i="19" a="1"/>
  <c r="E38" i="19" s="1"/>
  <c r="D38" i="19" a="1"/>
  <c r="D38" i="19" s="1"/>
  <c r="C38" i="19" a="1"/>
  <c r="C38" i="19" s="1"/>
  <c r="B38" i="19"/>
  <c r="H37" i="19" a="1"/>
  <c r="H37" i="19" s="1"/>
  <c r="G37" i="19" a="1"/>
  <c r="G37" i="19" s="1"/>
  <c r="F37" i="19" a="1"/>
  <c r="F37" i="19" s="1"/>
  <c r="E37" i="19" a="1"/>
  <c r="E37" i="19" s="1"/>
  <c r="D37" i="19" a="1"/>
  <c r="D37" i="19" s="1"/>
  <c r="C37" i="19" a="1"/>
  <c r="C37" i="19" s="1"/>
  <c r="B37" i="19"/>
  <c r="H61" i="19" a="1"/>
  <c r="H61" i="19" s="1"/>
  <c r="G61" i="19" a="1"/>
  <c r="G61" i="19" s="1"/>
  <c r="F61" i="19" a="1"/>
  <c r="F61" i="19" s="1"/>
  <c r="E61" i="19" a="1"/>
  <c r="E61" i="19" s="1"/>
  <c r="D61" i="19" a="1"/>
  <c r="D61" i="19" s="1"/>
  <c r="C61" i="19" a="1"/>
  <c r="C61" i="19" s="1"/>
  <c r="B61" i="19"/>
  <c r="H60" i="19" a="1"/>
  <c r="H60" i="19" s="1"/>
  <c r="G60" i="19" a="1"/>
  <c r="G60" i="19" s="1"/>
  <c r="F60" i="19" a="1"/>
  <c r="F60" i="19" s="1"/>
  <c r="E60" i="19" a="1"/>
  <c r="E60" i="19" s="1"/>
  <c r="D60" i="19" a="1"/>
  <c r="D60" i="19" s="1"/>
  <c r="C60" i="19" a="1"/>
  <c r="C60" i="19" s="1"/>
  <c r="B60" i="19"/>
  <c r="H59" i="19" a="1"/>
  <c r="H59" i="19" s="1"/>
  <c r="G59" i="19" a="1"/>
  <c r="G59" i="19" s="1"/>
  <c r="F59" i="19" a="1"/>
  <c r="F59" i="19" s="1"/>
  <c r="E59" i="19" a="1"/>
  <c r="E59" i="19" s="1"/>
  <c r="D59" i="19" a="1"/>
  <c r="D59" i="19" s="1"/>
  <c r="C59" i="19" a="1"/>
  <c r="C59" i="19" s="1"/>
  <c r="B59" i="19"/>
  <c r="H58" i="19" a="1"/>
  <c r="H58" i="19" s="1"/>
  <c r="G58" i="19" a="1"/>
  <c r="G58" i="19" s="1"/>
  <c r="F58" i="19" a="1"/>
  <c r="F58" i="19" s="1"/>
  <c r="E58" i="19" a="1"/>
  <c r="E58" i="19" s="1"/>
  <c r="D58" i="19" a="1"/>
  <c r="D58" i="19" s="1"/>
  <c r="C58" i="19" a="1"/>
  <c r="C58" i="19" s="1"/>
  <c r="B58" i="19"/>
  <c r="H57" i="19" a="1"/>
  <c r="H57" i="19" s="1"/>
  <c r="G57" i="19" a="1"/>
  <c r="G57" i="19" s="1"/>
  <c r="F57" i="19" a="1"/>
  <c r="F57" i="19" s="1"/>
  <c r="E57" i="19" a="1"/>
  <c r="E57" i="19" s="1"/>
  <c r="D57" i="19" a="1"/>
  <c r="D57" i="19" s="1"/>
  <c r="C57" i="19" a="1"/>
  <c r="C57" i="19" s="1"/>
  <c r="B57" i="19"/>
  <c r="H56" i="19" a="1"/>
  <c r="H56" i="19" s="1"/>
  <c r="G56" i="19" a="1"/>
  <c r="G56" i="19" s="1"/>
  <c r="F56" i="19" a="1"/>
  <c r="F56" i="19" s="1"/>
  <c r="E56" i="19" a="1"/>
  <c r="E56" i="19" s="1"/>
  <c r="D56" i="19" a="1"/>
  <c r="D56" i="19" s="1"/>
  <c r="C56" i="19" a="1"/>
  <c r="C56" i="19" s="1"/>
  <c r="B56" i="19"/>
  <c r="H55" i="19" a="1"/>
  <c r="H55" i="19" s="1"/>
  <c r="G55" i="19" a="1"/>
  <c r="G55" i="19" s="1"/>
  <c r="F55" i="19" a="1"/>
  <c r="F55" i="19" s="1"/>
  <c r="E55" i="19" a="1"/>
  <c r="E55" i="19" s="1"/>
  <c r="D55" i="19" a="1"/>
  <c r="D55" i="19" s="1"/>
  <c r="C55" i="19" a="1"/>
  <c r="C55" i="19" s="1"/>
  <c r="B55" i="19"/>
  <c r="H54" i="19" a="1"/>
  <c r="H54" i="19" s="1"/>
  <c r="G54" i="19" a="1"/>
  <c r="G54" i="19" s="1"/>
  <c r="F54" i="19" a="1"/>
  <c r="F54" i="19" s="1"/>
  <c r="E54" i="19" a="1"/>
  <c r="E54" i="19" s="1"/>
  <c r="D54" i="19" a="1"/>
  <c r="D54" i="19" s="1"/>
  <c r="C54" i="19" a="1"/>
  <c r="C54" i="19" s="1"/>
  <c r="B54" i="19"/>
  <c r="H53" i="19" a="1"/>
  <c r="H53" i="19" s="1"/>
  <c r="G53" i="19" a="1"/>
  <c r="G53" i="19" s="1"/>
  <c r="F53" i="19" a="1"/>
  <c r="F53" i="19" s="1"/>
  <c r="E53" i="19" a="1"/>
  <c r="E53" i="19" s="1"/>
  <c r="D53" i="19" a="1"/>
  <c r="D53" i="19" s="1"/>
  <c r="C53" i="19" a="1"/>
  <c r="C53" i="19" s="1"/>
  <c r="B53" i="19"/>
  <c r="H52" i="19" a="1"/>
  <c r="H52" i="19" s="1"/>
  <c r="G52" i="19" a="1"/>
  <c r="G52" i="19" s="1"/>
  <c r="F52" i="19" a="1"/>
  <c r="F52" i="19" s="1"/>
  <c r="E52" i="19" a="1"/>
  <c r="E52" i="19" s="1"/>
  <c r="D52" i="19" a="1"/>
  <c r="D52" i="19" s="1"/>
  <c r="C52" i="19" a="1"/>
  <c r="C52" i="19" s="1"/>
  <c r="B52" i="19"/>
  <c r="H51" i="19" a="1"/>
  <c r="H51" i="19" s="1"/>
  <c r="G51" i="19" a="1"/>
  <c r="G51" i="19" s="1"/>
  <c r="F51" i="19" a="1"/>
  <c r="F51" i="19" s="1"/>
  <c r="E51" i="19" a="1"/>
  <c r="E51" i="19" s="1"/>
  <c r="D51" i="19" a="1"/>
  <c r="D51" i="19" s="1"/>
  <c r="C51" i="19" a="1"/>
  <c r="C51" i="19" s="1"/>
  <c r="B51" i="19"/>
  <c r="H50" i="19" a="1"/>
  <c r="H50" i="19" s="1"/>
  <c r="G50" i="19" a="1"/>
  <c r="G50" i="19" s="1"/>
  <c r="F50" i="19" a="1"/>
  <c r="F50" i="19" s="1"/>
  <c r="E50" i="19" a="1"/>
  <c r="E50" i="19" s="1"/>
  <c r="D50" i="19" a="1"/>
  <c r="D50" i="19" s="1"/>
  <c r="C50" i="19" a="1"/>
  <c r="C50" i="19" s="1"/>
  <c r="B50" i="19"/>
  <c r="H22" i="17" a="1"/>
  <c r="H22" i="17" s="1"/>
  <c r="G22" i="17" a="1"/>
  <c r="G22" i="17" s="1"/>
  <c r="F22" i="17" a="1"/>
  <c r="F22" i="17" s="1"/>
  <c r="E22" i="17" a="1"/>
  <c r="E22" i="17" s="1"/>
  <c r="D22" i="17" a="1"/>
  <c r="D22" i="17" s="1"/>
  <c r="C22" i="17" a="1"/>
  <c r="C22" i="17" s="1"/>
  <c r="B22" i="17"/>
  <c r="H21" i="17" a="1"/>
  <c r="H21" i="17" s="1"/>
  <c r="G21" i="17" a="1"/>
  <c r="G21" i="17" s="1"/>
  <c r="F21" i="17" a="1"/>
  <c r="F21" i="17" s="1"/>
  <c r="E21" i="17" a="1"/>
  <c r="E21" i="17" s="1"/>
  <c r="D21" i="17" a="1"/>
  <c r="D21" i="17" s="1"/>
  <c r="C21" i="17" a="1"/>
  <c r="C21" i="17" s="1"/>
  <c r="B21" i="17"/>
  <c r="H20" i="17" a="1"/>
  <c r="H20" i="17" s="1"/>
  <c r="G20" i="17" a="1"/>
  <c r="G20" i="17" s="1"/>
  <c r="F20" i="17" a="1"/>
  <c r="F20" i="17" s="1"/>
  <c r="E20" i="17" a="1"/>
  <c r="E20" i="17" s="1"/>
  <c r="D20" i="17" a="1"/>
  <c r="D20" i="17" s="1"/>
  <c r="C20" i="17" a="1"/>
  <c r="C20" i="17" s="1"/>
  <c r="B20" i="17"/>
  <c r="H19" i="17" a="1"/>
  <c r="H19" i="17" s="1"/>
  <c r="G19" i="17" a="1"/>
  <c r="G19" i="17" s="1"/>
  <c r="F19" i="17" a="1"/>
  <c r="F19" i="17" s="1"/>
  <c r="E19" i="17" a="1"/>
  <c r="E19" i="17" s="1"/>
  <c r="D19" i="17" a="1"/>
  <c r="D19" i="17" s="1"/>
  <c r="C19" i="17" a="1"/>
  <c r="C19" i="17" s="1"/>
  <c r="B19" i="17"/>
  <c r="H18" i="17" a="1"/>
  <c r="H18" i="17" s="1"/>
  <c r="G18" i="17" a="1"/>
  <c r="G18" i="17" s="1"/>
  <c r="F18" i="17" a="1"/>
  <c r="F18" i="17" s="1"/>
  <c r="E18" i="17" a="1"/>
  <c r="E18" i="17" s="1"/>
  <c r="D18" i="17" a="1"/>
  <c r="D18" i="17" s="1"/>
  <c r="C18" i="17" a="1"/>
  <c r="C18" i="17" s="1"/>
  <c r="B18" i="17"/>
  <c r="H17" i="17" a="1"/>
  <c r="H17" i="17" s="1"/>
  <c r="G17" i="17" a="1"/>
  <c r="G17" i="17" s="1"/>
  <c r="F17" i="17" a="1"/>
  <c r="F17" i="17" s="1"/>
  <c r="E17" i="17" a="1"/>
  <c r="E17" i="17" s="1"/>
  <c r="D17" i="17" a="1"/>
  <c r="D17" i="17" s="1"/>
  <c r="C17" i="17" a="1"/>
  <c r="C17" i="17" s="1"/>
  <c r="B17" i="17"/>
  <c r="H16" i="17" a="1"/>
  <c r="H16" i="17" s="1"/>
  <c r="G16" i="17" a="1"/>
  <c r="G16" i="17" s="1"/>
  <c r="F16" i="17" a="1"/>
  <c r="F16" i="17" s="1"/>
  <c r="E16" i="17" a="1"/>
  <c r="E16" i="17" s="1"/>
  <c r="D16" i="17" a="1"/>
  <c r="D16" i="17" s="1"/>
  <c r="C16" i="17" a="1"/>
  <c r="C16" i="17" s="1"/>
  <c r="B16" i="17"/>
  <c r="H15" i="17" a="1"/>
  <c r="H15" i="17" s="1"/>
  <c r="G15" i="17" a="1"/>
  <c r="G15" i="17" s="1"/>
  <c r="F15" i="17" a="1"/>
  <c r="F15" i="17" s="1"/>
  <c r="E15" i="17" a="1"/>
  <c r="E15" i="17" s="1"/>
  <c r="D15" i="17" a="1"/>
  <c r="D15" i="17" s="1"/>
  <c r="C15" i="17" a="1"/>
  <c r="C15" i="17" s="1"/>
  <c r="B15" i="17"/>
  <c r="H14" i="17" a="1"/>
  <c r="H14" i="17" s="1"/>
  <c r="G14" i="17" a="1"/>
  <c r="G14" i="17" s="1"/>
  <c r="F14" i="17" a="1"/>
  <c r="F14" i="17" s="1"/>
  <c r="E14" i="17" a="1"/>
  <c r="E14" i="17" s="1"/>
  <c r="D14" i="17" a="1"/>
  <c r="D14" i="17" s="1"/>
  <c r="C14" i="17" a="1"/>
  <c r="C14" i="17" s="1"/>
  <c r="B14" i="17"/>
  <c r="H13" i="17" a="1"/>
  <c r="H13" i="17" s="1"/>
  <c r="G13" i="17" a="1"/>
  <c r="G13" i="17" s="1"/>
  <c r="F13" i="17" a="1"/>
  <c r="F13" i="17" s="1"/>
  <c r="E13" i="17" a="1"/>
  <c r="E13" i="17" s="1"/>
  <c r="D13" i="17" a="1"/>
  <c r="D13" i="17" s="1"/>
  <c r="C13" i="17" a="1"/>
  <c r="C13" i="17" s="1"/>
  <c r="B13" i="17"/>
  <c r="H12" i="17" a="1"/>
  <c r="H12" i="17" s="1"/>
  <c r="G12" i="17" a="1"/>
  <c r="G12" i="17" s="1"/>
  <c r="F12" i="17" a="1"/>
  <c r="F12" i="17" s="1"/>
  <c r="E12" i="17" a="1"/>
  <c r="E12" i="17" s="1"/>
  <c r="D12" i="17" a="1"/>
  <c r="D12" i="17" s="1"/>
  <c r="C12" i="17" a="1"/>
  <c r="C12" i="17" s="1"/>
  <c r="B12" i="17"/>
  <c r="H11" i="17" a="1"/>
  <c r="H11" i="17" s="1"/>
  <c r="G11" i="17" a="1"/>
  <c r="G11" i="17" s="1"/>
  <c r="F11" i="17" a="1"/>
  <c r="F11" i="17" s="1"/>
  <c r="E11" i="17" a="1"/>
  <c r="E11" i="17" s="1"/>
  <c r="D11" i="17" a="1"/>
  <c r="D11" i="17" s="1"/>
  <c r="C11" i="17" a="1"/>
  <c r="C11" i="17" s="1"/>
  <c r="B11" i="17"/>
  <c r="H35" i="17" a="1"/>
  <c r="H35" i="17" s="1"/>
  <c r="G35" i="17" a="1"/>
  <c r="G35" i="17" s="1"/>
  <c r="F35" i="17" a="1"/>
  <c r="F35" i="17" s="1"/>
  <c r="E35" i="17" a="1"/>
  <c r="E35" i="17" s="1"/>
  <c r="D35" i="17" a="1"/>
  <c r="D35" i="17" s="1"/>
  <c r="C35" i="17" a="1"/>
  <c r="C35" i="17" s="1"/>
  <c r="B35" i="17"/>
  <c r="H34" i="17" a="1"/>
  <c r="H34" i="17" s="1"/>
  <c r="G34" i="17" a="1"/>
  <c r="G34" i="17" s="1"/>
  <c r="F34" i="17" a="1"/>
  <c r="F34" i="17" s="1"/>
  <c r="E34" i="17" a="1"/>
  <c r="E34" i="17" s="1"/>
  <c r="D34" i="17" a="1"/>
  <c r="D34" i="17" s="1"/>
  <c r="C34" i="17" a="1"/>
  <c r="C34" i="17" s="1"/>
  <c r="B34" i="17"/>
  <c r="H33" i="17" a="1"/>
  <c r="H33" i="17" s="1"/>
  <c r="G33" i="17" a="1"/>
  <c r="G33" i="17" s="1"/>
  <c r="F33" i="17" a="1"/>
  <c r="F33" i="17" s="1"/>
  <c r="E33" i="17" a="1"/>
  <c r="E33" i="17" s="1"/>
  <c r="D33" i="17" a="1"/>
  <c r="D33" i="17" s="1"/>
  <c r="C33" i="17" a="1"/>
  <c r="C33" i="17" s="1"/>
  <c r="B33" i="17"/>
  <c r="H32" i="17" a="1"/>
  <c r="H32" i="17" s="1"/>
  <c r="G32" i="17" a="1"/>
  <c r="G32" i="17" s="1"/>
  <c r="F32" i="17" a="1"/>
  <c r="F32" i="17" s="1"/>
  <c r="E32" i="17" a="1"/>
  <c r="E32" i="17" s="1"/>
  <c r="D32" i="17" a="1"/>
  <c r="D32" i="17" s="1"/>
  <c r="C32" i="17" a="1"/>
  <c r="C32" i="17" s="1"/>
  <c r="B32" i="17"/>
  <c r="H31" i="17" a="1"/>
  <c r="H31" i="17" s="1"/>
  <c r="G31" i="17" a="1"/>
  <c r="G31" i="17" s="1"/>
  <c r="F31" i="17" a="1"/>
  <c r="F31" i="17" s="1"/>
  <c r="E31" i="17" a="1"/>
  <c r="E31" i="17" s="1"/>
  <c r="D31" i="17" a="1"/>
  <c r="D31" i="17" s="1"/>
  <c r="C31" i="17" a="1"/>
  <c r="C31" i="17" s="1"/>
  <c r="B31" i="17"/>
  <c r="H30" i="17" a="1"/>
  <c r="H30" i="17" s="1"/>
  <c r="G30" i="17" a="1"/>
  <c r="G30" i="17" s="1"/>
  <c r="F30" i="17" a="1"/>
  <c r="F30" i="17" s="1"/>
  <c r="E30" i="17" a="1"/>
  <c r="E30" i="17" s="1"/>
  <c r="D30" i="17" a="1"/>
  <c r="D30" i="17" s="1"/>
  <c r="C30" i="17" a="1"/>
  <c r="C30" i="17" s="1"/>
  <c r="B30" i="17"/>
  <c r="H29" i="17" a="1"/>
  <c r="H29" i="17" s="1"/>
  <c r="G29" i="17" a="1"/>
  <c r="G29" i="17" s="1"/>
  <c r="F29" i="17" a="1"/>
  <c r="F29" i="17" s="1"/>
  <c r="E29" i="17" a="1"/>
  <c r="E29" i="17" s="1"/>
  <c r="D29" i="17" a="1"/>
  <c r="D29" i="17" s="1"/>
  <c r="C29" i="17" a="1"/>
  <c r="C29" i="17" s="1"/>
  <c r="B29" i="17"/>
  <c r="H28" i="17" a="1"/>
  <c r="H28" i="17" s="1"/>
  <c r="G28" i="17" a="1"/>
  <c r="G28" i="17" s="1"/>
  <c r="F28" i="17" a="1"/>
  <c r="F28" i="17" s="1"/>
  <c r="E28" i="17" a="1"/>
  <c r="E28" i="17" s="1"/>
  <c r="D28" i="17" a="1"/>
  <c r="D28" i="17" s="1"/>
  <c r="C28" i="17" a="1"/>
  <c r="C28" i="17" s="1"/>
  <c r="B28" i="17"/>
  <c r="H27" i="17" a="1"/>
  <c r="H27" i="17" s="1"/>
  <c r="G27" i="17" a="1"/>
  <c r="G27" i="17" s="1"/>
  <c r="F27" i="17" a="1"/>
  <c r="F27" i="17" s="1"/>
  <c r="E27" i="17" a="1"/>
  <c r="E27" i="17" s="1"/>
  <c r="D27" i="17" a="1"/>
  <c r="D27" i="17" s="1"/>
  <c r="C27" i="17" a="1"/>
  <c r="C27" i="17" s="1"/>
  <c r="B27" i="17"/>
  <c r="H26" i="17" a="1"/>
  <c r="H26" i="17" s="1"/>
  <c r="G26" i="17" a="1"/>
  <c r="G26" i="17" s="1"/>
  <c r="F26" i="17" a="1"/>
  <c r="F26" i="17" s="1"/>
  <c r="E26" i="17" a="1"/>
  <c r="E26" i="17" s="1"/>
  <c r="D26" i="17" a="1"/>
  <c r="D26" i="17" s="1"/>
  <c r="C26" i="17" a="1"/>
  <c r="C26" i="17" s="1"/>
  <c r="B26" i="17"/>
  <c r="H25" i="17" a="1"/>
  <c r="H25" i="17" s="1"/>
  <c r="G25" i="17" a="1"/>
  <c r="G25" i="17" s="1"/>
  <c r="F25" i="17" a="1"/>
  <c r="F25" i="17" s="1"/>
  <c r="E25" i="17" a="1"/>
  <c r="E25" i="17" s="1"/>
  <c r="D25" i="17" a="1"/>
  <c r="D25" i="17" s="1"/>
  <c r="C25" i="17" a="1"/>
  <c r="C25" i="17" s="1"/>
  <c r="B25" i="17"/>
  <c r="H24" i="17" a="1"/>
  <c r="H24" i="17" s="1"/>
  <c r="G24" i="17" a="1"/>
  <c r="G24" i="17" s="1"/>
  <c r="F24" i="17" a="1"/>
  <c r="F24" i="17" s="1"/>
  <c r="E24" i="17" a="1"/>
  <c r="E24" i="17" s="1"/>
  <c r="D24" i="17" a="1"/>
  <c r="D24" i="17" s="1"/>
  <c r="C24" i="17" a="1"/>
  <c r="C24" i="17" s="1"/>
  <c r="B24" i="17"/>
  <c r="H48" i="17" a="1"/>
  <c r="H48" i="17" s="1"/>
  <c r="G48" i="17" a="1"/>
  <c r="G48" i="17" s="1"/>
  <c r="F48" i="17" a="1"/>
  <c r="F48" i="17" s="1"/>
  <c r="E48" i="17" a="1"/>
  <c r="E48" i="17" s="1"/>
  <c r="D48" i="17" a="1"/>
  <c r="D48" i="17" s="1"/>
  <c r="C48" i="17" a="1"/>
  <c r="C48" i="17" s="1"/>
  <c r="B48" i="17"/>
  <c r="H47" i="17" a="1"/>
  <c r="H47" i="17" s="1"/>
  <c r="G47" i="17" a="1"/>
  <c r="G47" i="17" s="1"/>
  <c r="F47" i="17" a="1"/>
  <c r="F47" i="17" s="1"/>
  <c r="E47" i="17" a="1"/>
  <c r="E47" i="17" s="1"/>
  <c r="D47" i="17" a="1"/>
  <c r="D47" i="17" s="1"/>
  <c r="C47" i="17" a="1"/>
  <c r="C47" i="17" s="1"/>
  <c r="B47" i="17"/>
  <c r="H46" i="17" a="1"/>
  <c r="H46" i="17" s="1"/>
  <c r="G46" i="17" a="1"/>
  <c r="G46" i="17" s="1"/>
  <c r="F46" i="17" a="1"/>
  <c r="F46" i="17" s="1"/>
  <c r="E46" i="17" a="1"/>
  <c r="E46" i="17" s="1"/>
  <c r="D46" i="17" a="1"/>
  <c r="D46" i="17" s="1"/>
  <c r="C46" i="17" a="1"/>
  <c r="C46" i="17" s="1"/>
  <c r="B46" i="17"/>
  <c r="H45" i="17" a="1"/>
  <c r="H45" i="17" s="1"/>
  <c r="G45" i="17" a="1"/>
  <c r="G45" i="17" s="1"/>
  <c r="F45" i="17" a="1"/>
  <c r="F45" i="17" s="1"/>
  <c r="E45" i="17" a="1"/>
  <c r="E45" i="17" s="1"/>
  <c r="D45" i="17" a="1"/>
  <c r="D45" i="17" s="1"/>
  <c r="C45" i="17" a="1"/>
  <c r="C45" i="17" s="1"/>
  <c r="B45" i="17"/>
  <c r="H44" i="17" a="1"/>
  <c r="H44" i="17" s="1"/>
  <c r="G44" i="17" a="1"/>
  <c r="G44" i="17" s="1"/>
  <c r="F44" i="17" a="1"/>
  <c r="F44" i="17" s="1"/>
  <c r="E44" i="17" a="1"/>
  <c r="E44" i="17" s="1"/>
  <c r="D44" i="17" a="1"/>
  <c r="D44" i="17" s="1"/>
  <c r="C44" i="17" a="1"/>
  <c r="C44" i="17" s="1"/>
  <c r="B44" i="17"/>
  <c r="H43" i="17" a="1"/>
  <c r="H43" i="17" s="1"/>
  <c r="G43" i="17" a="1"/>
  <c r="G43" i="17" s="1"/>
  <c r="F43" i="17" a="1"/>
  <c r="F43" i="17" s="1"/>
  <c r="E43" i="17" a="1"/>
  <c r="E43" i="17" s="1"/>
  <c r="D43" i="17" a="1"/>
  <c r="D43" i="17" s="1"/>
  <c r="C43" i="17" a="1"/>
  <c r="C43" i="17" s="1"/>
  <c r="B43" i="17"/>
  <c r="H42" i="17" a="1"/>
  <c r="H42" i="17" s="1"/>
  <c r="G42" i="17" a="1"/>
  <c r="G42" i="17" s="1"/>
  <c r="F42" i="17" a="1"/>
  <c r="F42" i="17" s="1"/>
  <c r="E42" i="17" a="1"/>
  <c r="E42" i="17" s="1"/>
  <c r="D42" i="17" a="1"/>
  <c r="D42" i="17" s="1"/>
  <c r="C42" i="17" a="1"/>
  <c r="C42" i="17" s="1"/>
  <c r="B42" i="17"/>
  <c r="H41" i="17" a="1"/>
  <c r="H41" i="17" s="1"/>
  <c r="G41" i="17" a="1"/>
  <c r="G41" i="17" s="1"/>
  <c r="F41" i="17" a="1"/>
  <c r="F41" i="17" s="1"/>
  <c r="E41" i="17" a="1"/>
  <c r="E41" i="17" s="1"/>
  <c r="D41" i="17" a="1"/>
  <c r="D41" i="17" s="1"/>
  <c r="C41" i="17" a="1"/>
  <c r="C41" i="17" s="1"/>
  <c r="B41" i="17"/>
  <c r="H40" i="17" a="1"/>
  <c r="H40" i="17" s="1"/>
  <c r="G40" i="17" a="1"/>
  <c r="G40" i="17" s="1"/>
  <c r="F40" i="17" a="1"/>
  <c r="F40" i="17" s="1"/>
  <c r="E40" i="17" a="1"/>
  <c r="E40" i="17" s="1"/>
  <c r="D40" i="17" a="1"/>
  <c r="D40" i="17" s="1"/>
  <c r="C40" i="17" a="1"/>
  <c r="C40" i="17" s="1"/>
  <c r="B40" i="17"/>
  <c r="H39" i="17" a="1"/>
  <c r="H39" i="17" s="1"/>
  <c r="G39" i="17" a="1"/>
  <c r="G39" i="17" s="1"/>
  <c r="F39" i="17" a="1"/>
  <c r="F39" i="17" s="1"/>
  <c r="E39" i="17" a="1"/>
  <c r="E39" i="17" s="1"/>
  <c r="D39" i="17" a="1"/>
  <c r="D39" i="17" s="1"/>
  <c r="C39" i="17" a="1"/>
  <c r="C39" i="17" s="1"/>
  <c r="B39" i="17"/>
  <c r="H38" i="17" a="1"/>
  <c r="H38" i="17" s="1"/>
  <c r="G38" i="17" a="1"/>
  <c r="G38" i="17" s="1"/>
  <c r="F38" i="17" a="1"/>
  <c r="F38" i="17" s="1"/>
  <c r="E38" i="17" a="1"/>
  <c r="E38" i="17" s="1"/>
  <c r="D38" i="17" a="1"/>
  <c r="D38" i="17" s="1"/>
  <c r="C38" i="17" a="1"/>
  <c r="C38" i="17" s="1"/>
  <c r="B38" i="17"/>
  <c r="H37" i="17" a="1"/>
  <c r="H37" i="17" s="1"/>
  <c r="G37" i="17" a="1"/>
  <c r="G37" i="17" s="1"/>
  <c r="F37" i="17" a="1"/>
  <c r="F37" i="17" s="1"/>
  <c r="E37" i="17" a="1"/>
  <c r="E37" i="17" s="1"/>
  <c r="D37" i="17" a="1"/>
  <c r="D37" i="17" s="1"/>
  <c r="C37" i="17" a="1"/>
  <c r="C37" i="17" s="1"/>
  <c r="B37" i="17"/>
  <c r="H61" i="17" a="1"/>
  <c r="H61" i="17" s="1"/>
  <c r="G61" i="17" a="1"/>
  <c r="G61" i="17" s="1"/>
  <c r="F61" i="17" a="1"/>
  <c r="F61" i="17" s="1"/>
  <c r="E61" i="17" a="1"/>
  <c r="E61" i="17" s="1"/>
  <c r="D61" i="17" a="1"/>
  <c r="D61" i="17" s="1"/>
  <c r="C61" i="17" a="1"/>
  <c r="C61" i="17" s="1"/>
  <c r="B61" i="17"/>
  <c r="H60" i="17" a="1"/>
  <c r="H60" i="17" s="1"/>
  <c r="G60" i="17" a="1"/>
  <c r="G60" i="17" s="1"/>
  <c r="F60" i="17" a="1"/>
  <c r="F60" i="17" s="1"/>
  <c r="E60" i="17" a="1"/>
  <c r="E60" i="17" s="1"/>
  <c r="D60" i="17" a="1"/>
  <c r="D60" i="17" s="1"/>
  <c r="C60" i="17" a="1"/>
  <c r="C60" i="17" s="1"/>
  <c r="B60" i="17"/>
  <c r="H59" i="17" a="1"/>
  <c r="H59" i="17" s="1"/>
  <c r="G59" i="17" a="1"/>
  <c r="G59" i="17" s="1"/>
  <c r="F59" i="17" a="1"/>
  <c r="F59" i="17" s="1"/>
  <c r="E59" i="17" a="1"/>
  <c r="E59" i="17" s="1"/>
  <c r="D59" i="17" a="1"/>
  <c r="D59" i="17" s="1"/>
  <c r="C59" i="17" a="1"/>
  <c r="C59" i="17" s="1"/>
  <c r="B59" i="17"/>
  <c r="H58" i="17" a="1"/>
  <c r="H58" i="17" s="1"/>
  <c r="G58" i="17" a="1"/>
  <c r="G58" i="17" s="1"/>
  <c r="F58" i="17" a="1"/>
  <c r="F58" i="17" s="1"/>
  <c r="E58" i="17" a="1"/>
  <c r="E58" i="17" s="1"/>
  <c r="D58" i="17" a="1"/>
  <c r="D58" i="17" s="1"/>
  <c r="C58" i="17" a="1"/>
  <c r="C58" i="17" s="1"/>
  <c r="B58" i="17"/>
  <c r="H57" i="17" a="1"/>
  <c r="H57" i="17" s="1"/>
  <c r="G57" i="17" a="1"/>
  <c r="G57" i="17" s="1"/>
  <c r="F57" i="17" a="1"/>
  <c r="F57" i="17" s="1"/>
  <c r="E57" i="17" a="1"/>
  <c r="E57" i="17" s="1"/>
  <c r="D57" i="17" a="1"/>
  <c r="D57" i="17" s="1"/>
  <c r="C57" i="17" a="1"/>
  <c r="C57" i="17" s="1"/>
  <c r="B57" i="17"/>
  <c r="H56" i="17" a="1"/>
  <c r="H56" i="17" s="1"/>
  <c r="G56" i="17" a="1"/>
  <c r="G56" i="17" s="1"/>
  <c r="F56" i="17" a="1"/>
  <c r="F56" i="17" s="1"/>
  <c r="E56" i="17" a="1"/>
  <c r="E56" i="17" s="1"/>
  <c r="D56" i="17" a="1"/>
  <c r="D56" i="17" s="1"/>
  <c r="C56" i="17" a="1"/>
  <c r="C56" i="17" s="1"/>
  <c r="B56" i="17"/>
  <c r="H55" i="17" a="1"/>
  <c r="H55" i="17" s="1"/>
  <c r="G55" i="17" a="1"/>
  <c r="G55" i="17" s="1"/>
  <c r="F55" i="17" a="1"/>
  <c r="F55" i="17" s="1"/>
  <c r="E55" i="17" a="1"/>
  <c r="E55" i="17" s="1"/>
  <c r="D55" i="17" a="1"/>
  <c r="D55" i="17" s="1"/>
  <c r="C55" i="17" a="1"/>
  <c r="C55" i="17" s="1"/>
  <c r="B55" i="17"/>
  <c r="H54" i="17" a="1"/>
  <c r="H54" i="17" s="1"/>
  <c r="G54" i="17" a="1"/>
  <c r="G54" i="17" s="1"/>
  <c r="F54" i="17" a="1"/>
  <c r="F54" i="17" s="1"/>
  <c r="E54" i="17" a="1"/>
  <c r="E54" i="17" s="1"/>
  <c r="D54" i="17" a="1"/>
  <c r="D54" i="17" s="1"/>
  <c r="C54" i="17" a="1"/>
  <c r="C54" i="17" s="1"/>
  <c r="B54" i="17"/>
  <c r="H53" i="17" a="1"/>
  <c r="H53" i="17" s="1"/>
  <c r="G53" i="17" a="1"/>
  <c r="G53" i="17" s="1"/>
  <c r="F53" i="17" a="1"/>
  <c r="F53" i="17" s="1"/>
  <c r="E53" i="17" a="1"/>
  <c r="E53" i="17" s="1"/>
  <c r="D53" i="17" a="1"/>
  <c r="D53" i="17" s="1"/>
  <c r="C53" i="17" a="1"/>
  <c r="C53" i="17" s="1"/>
  <c r="B53" i="17"/>
  <c r="H52" i="17" a="1"/>
  <c r="H52" i="17" s="1"/>
  <c r="G52" i="17" a="1"/>
  <c r="G52" i="17" s="1"/>
  <c r="F52" i="17" a="1"/>
  <c r="F52" i="17" s="1"/>
  <c r="E52" i="17" a="1"/>
  <c r="E52" i="17" s="1"/>
  <c r="D52" i="17" a="1"/>
  <c r="D52" i="17" s="1"/>
  <c r="C52" i="17" a="1"/>
  <c r="C52" i="17" s="1"/>
  <c r="B52" i="17"/>
  <c r="H51" i="17" a="1"/>
  <c r="H51" i="17" s="1"/>
  <c r="G51" i="17" a="1"/>
  <c r="G51" i="17" s="1"/>
  <c r="F51" i="17" a="1"/>
  <c r="F51" i="17" s="1"/>
  <c r="E51" i="17" a="1"/>
  <c r="E51" i="17" s="1"/>
  <c r="D51" i="17" a="1"/>
  <c r="D51" i="17" s="1"/>
  <c r="C51" i="17" a="1"/>
  <c r="C51" i="17" s="1"/>
  <c r="B51" i="17"/>
  <c r="H50" i="17" a="1"/>
  <c r="H50" i="17" s="1"/>
  <c r="G50" i="17" a="1"/>
  <c r="G50" i="17" s="1"/>
  <c r="F50" i="17" a="1"/>
  <c r="F50" i="17" s="1"/>
  <c r="E50" i="17" a="1"/>
  <c r="E50" i="17" s="1"/>
  <c r="D50" i="17" a="1"/>
  <c r="D50" i="17" s="1"/>
  <c r="C50" i="17" a="1"/>
  <c r="C50" i="17" s="1"/>
  <c r="B50" i="17"/>
  <c r="H22" i="15" a="1"/>
  <c r="H22" i="15" s="1"/>
  <c r="G22" i="15" a="1"/>
  <c r="G22" i="15" s="1"/>
  <c r="F22" i="15" a="1"/>
  <c r="F22" i="15" s="1"/>
  <c r="E22" i="15" a="1"/>
  <c r="E22" i="15" s="1"/>
  <c r="D22" i="15" a="1"/>
  <c r="D22" i="15" s="1"/>
  <c r="C22" i="15" a="1"/>
  <c r="C22" i="15" s="1"/>
  <c r="B22" i="15"/>
  <c r="H21" i="15" a="1"/>
  <c r="H21" i="15" s="1"/>
  <c r="G21" i="15" a="1"/>
  <c r="G21" i="15" s="1"/>
  <c r="F21" i="15" a="1"/>
  <c r="F21" i="15" s="1"/>
  <c r="E21" i="15" a="1"/>
  <c r="E21" i="15" s="1"/>
  <c r="D21" i="15" a="1"/>
  <c r="D21" i="15" s="1"/>
  <c r="C21" i="15" a="1"/>
  <c r="C21" i="15" s="1"/>
  <c r="B21" i="15"/>
  <c r="H20" i="15" a="1"/>
  <c r="H20" i="15" s="1"/>
  <c r="G20" i="15" a="1"/>
  <c r="G20" i="15" s="1"/>
  <c r="F20" i="15" a="1"/>
  <c r="F20" i="15" s="1"/>
  <c r="E20" i="15" a="1"/>
  <c r="E20" i="15" s="1"/>
  <c r="D20" i="15" a="1"/>
  <c r="D20" i="15" s="1"/>
  <c r="C20" i="15" a="1"/>
  <c r="C20" i="15" s="1"/>
  <c r="B20" i="15"/>
  <c r="H19" i="15" a="1"/>
  <c r="H19" i="15" s="1"/>
  <c r="G19" i="15" a="1"/>
  <c r="G19" i="15" s="1"/>
  <c r="F19" i="15" a="1"/>
  <c r="F19" i="15" s="1"/>
  <c r="E19" i="15" a="1"/>
  <c r="E19" i="15" s="1"/>
  <c r="D19" i="15" a="1"/>
  <c r="D19" i="15" s="1"/>
  <c r="C19" i="15" a="1"/>
  <c r="C19" i="15" s="1"/>
  <c r="B19" i="15"/>
  <c r="H18" i="15" a="1"/>
  <c r="H18" i="15" s="1"/>
  <c r="G18" i="15" a="1"/>
  <c r="G18" i="15" s="1"/>
  <c r="F18" i="15" a="1"/>
  <c r="F18" i="15" s="1"/>
  <c r="E18" i="15" a="1"/>
  <c r="E18" i="15" s="1"/>
  <c r="D18" i="15" a="1"/>
  <c r="D18" i="15" s="1"/>
  <c r="C18" i="15" a="1"/>
  <c r="C18" i="15" s="1"/>
  <c r="B18" i="15"/>
  <c r="H17" i="15" a="1"/>
  <c r="H17" i="15" s="1"/>
  <c r="G17" i="15" a="1"/>
  <c r="G17" i="15" s="1"/>
  <c r="F17" i="15" a="1"/>
  <c r="F17" i="15" s="1"/>
  <c r="E17" i="15" a="1"/>
  <c r="E17" i="15" s="1"/>
  <c r="D17" i="15" a="1"/>
  <c r="D17" i="15" s="1"/>
  <c r="C17" i="15" a="1"/>
  <c r="C17" i="15" s="1"/>
  <c r="B17" i="15"/>
  <c r="H16" i="15" a="1"/>
  <c r="H16" i="15" s="1"/>
  <c r="G16" i="15" a="1"/>
  <c r="G16" i="15" s="1"/>
  <c r="F16" i="15" a="1"/>
  <c r="F16" i="15" s="1"/>
  <c r="E16" i="15" a="1"/>
  <c r="E16" i="15" s="1"/>
  <c r="D16" i="15" a="1"/>
  <c r="D16" i="15" s="1"/>
  <c r="C16" i="15" a="1"/>
  <c r="C16" i="15" s="1"/>
  <c r="B16" i="15"/>
  <c r="H15" i="15" a="1"/>
  <c r="H15" i="15" s="1"/>
  <c r="G15" i="15" a="1"/>
  <c r="G15" i="15" s="1"/>
  <c r="F15" i="15" a="1"/>
  <c r="F15" i="15" s="1"/>
  <c r="E15" i="15" a="1"/>
  <c r="E15" i="15" s="1"/>
  <c r="D15" i="15" a="1"/>
  <c r="D15" i="15" s="1"/>
  <c r="C15" i="15" a="1"/>
  <c r="C15" i="15" s="1"/>
  <c r="B15" i="15"/>
  <c r="H14" i="15" a="1"/>
  <c r="H14" i="15" s="1"/>
  <c r="G14" i="15" a="1"/>
  <c r="G14" i="15" s="1"/>
  <c r="F14" i="15" a="1"/>
  <c r="F14" i="15" s="1"/>
  <c r="E14" i="15" a="1"/>
  <c r="E14" i="15" s="1"/>
  <c r="D14" i="15" a="1"/>
  <c r="D14" i="15" s="1"/>
  <c r="C14" i="15" a="1"/>
  <c r="C14" i="15" s="1"/>
  <c r="B14" i="15"/>
  <c r="H13" i="15" a="1"/>
  <c r="H13" i="15" s="1"/>
  <c r="G13" i="15" a="1"/>
  <c r="G13" i="15" s="1"/>
  <c r="F13" i="15" a="1"/>
  <c r="F13" i="15" s="1"/>
  <c r="E13" i="15" a="1"/>
  <c r="E13" i="15" s="1"/>
  <c r="D13" i="15" a="1"/>
  <c r="D13" i="15" s="1"/>
  <c r="C13" i="15" a="1"/>
  <c r="C13" i="15" s="1"/>
  <c r="B13" i="15"/>
  <c r="H12" i="15" a="1"/>
  <c r="H12" i="15" s="1"/>
  <c r="G12" i="15" a="1"/>
  <c r="G12" i="15" s="1"/>
  <c r="F12" i="15" a="1"/>
  <c r="F12" i="15" s="1"/>
  <c r="E12" i="15" a="1"/>
  <c r="E12" i="15" s="1"/>
  <c r="D12" i="15" a="1"/>
  <c r="D12" i="15" s="1"/>
  <c r="C12" i="15" a="1"/>
  <c r="C12" i="15" s="1"/>
  <c r="B12" i="15"/>
  <c r="H11" i="15" a="1"/>
  <c r="H11" i="15" s="1"/>
  <c r="G11" i="15" a="1"/>
  <c r="G11" i="15" s="1"/>
  <c r="F11" i="15" a="1"/>
  <c r="F11" i="15" s="1"/>
  <c r="E11" i="15" a="1"/>
  <c r="E11" i="15" s="1"/>
  <c r="D11" i="15" a="1"/>
  <c r="D11" i="15" s="1"/>
  <c r="C11" i="15" a="1"/>
  <c r="C11" i="15" s="1"/>
  <c r="B11" i="15"/>
  <c r="H35" i="15" a="1"/>
  <c r="H35" i="15" s="1"/>
  <c r="G35" i="15" a="1"/>
  <c r="G35" i="15" s="1"/>
  <c r="F35" i="15" a="1"/>
  <c r="F35" i="15" s="1"/>
  <c r="E35" i="15" a="1"/>
  <c r="E35" i="15" s="1"/>
  <c r="D35" i="15" a="1"/>
  <c r="D35" i="15" s="1"/>
  <c r="C35" i="15" a="1"/>
  <c r="C35" i="15" s="1"/>
  <c r="B35" i="15"/>
  <c r="H34" i="15" a="1"/>
  <c r="H34" i="15" s="1"/>
  <c r="G34" i="15" a="1"/>
  <c r="G34" i="15" s="1"/>
  <c r="F34" i="15" a="1"/>
  <c r="F34" i="15" s="1"/>
  <c r="E34" i="15" a="1"/>
  <c r="E34" i="15" s="1"/>
  <c r="D34" i="15" a="1"/>
  <c r="D34" i="15" s="1"/>
  <c r="C34" i="15" a="1"/>
  <c r="C34" i="15" s="1"/>
  <c r="B34" i="15"/>
  <c r="H33" i="15" a="1"/>
  <c r="H33" i="15" s="1"/>
  <c r="G33" i="15" a="1"/>
  <c r="G33" i="15" s="1"/>
  <c r="F33" i="15" a="1"/>
  <c r="F33" i="15" s="1"/>
  <c r="E33" i="15" a="1"/>
  <c r="E33" i="15" s="1"/>
  <c r="D33" i="15" a="1"/>
  <c r="D33" i="15" s="1"/>
  <c r="C33" i="15" a="1"/>
  <c r="C33" i="15" s="1"/>
  <c r="B33" i="15"/>
  <c r="H32" i="15" a="1"/>
  <c r="H32" i="15" s="1"/>
  <c r="G32" i="15" a="1"/>
  <c r="G32" i="15" s="1"/>
  <c r="F32" i="15" a="1"/>
  <c r="F32" i="15" s="1"/>
  <c r="E32" i="15" a="1"/>
  <c r="E32" i="15" s="1"/>
  <c r="D32" i="15" a="1"/>
  <c r="D32" i="15" s="1"/>
  <c r="C32" i="15" a="1"/>
  <c r="C32" i="15" s="1"/>
  <c r="B32" i="15"/>
  <c r="H31" i="15" a="1"/>
  <c r="H31" i="15" s="1"/>
  <c r="G31" i="15" a="1"/>
  <c r="G31" i="15" s="1"/>
  <c r="F31" i="15" a="1"/>
  <c r="F31" i="15" s="1"/>
  <c r="E31" i="15" a="1"/>
  <c r="E31" i="15" s="1"/>
  <c r="D31" i="15" a="1"/>
  <c r="D31" i="15" s="1"/>
  <c r="C31" i="15" a="1"/>
  <c r="C31" i="15" s="1"/>
  <c r="B31" i="15"/>
  <c r="H30" i="15" a="1"/>
  <c r="H30" i="15" s="1"/>
  <c r="G30" i="15" a="1"/>
  <c r="G30" i="15" s="1"/>
  <c r="F30" i="15" a="1"/>
  <c r="F30" i="15" s="1"/>
  <c r="E30" i="15" a="1"/>
  <c r="E30" i="15" s="1"/>
  <c r="D30" i="15" a="1"/>
  <c r="D30" i="15" s="1"/>
  <c r="C30" i="15" a="1"/>
  <c r="C30" i="15" s="1"/>
  <c r="B30" i="15"/>
  <c r="H29" i="15" a="1"/>
  <c r="H29" i="15" s="1"/>
  <c r="G29" i="15" a="1"/>
  <c r="G29" i="15" s="1"/>
  <c r="F29" i="15" a="1"/>
  <c r="F29" i="15" s="1"/>
  <c r="E29" i="15" a="1"/>
  <c r="E29" i="15" s="1"/>
  <c r="D29" i="15" a="1"/>
  <c r="D29" i="15" s="1"/>
  <c r="C29" i="15" a="1"/>
  <c r="C29" i="15" s="1"/>
  <c r="B29" i="15"/>
  <c r="H28" i="15" a="1"/>
  <c r="H28" i="15" s="1"/>
  <c r="G28" i="15" a="1"/>
  <c r="G28" i="15" s="1"/>
  <c r="F28" i="15" a="1"/>
  <c r="F28" i="15" s="1"/>
  <c r="E28" i="15" a="1"/>
  <c r="E28" i="15" s="1"/>
  <c r="D28" i="15" a="1"/>
  <c r="D28" i="15" s="1"/>
  <c r="C28" i="15" a="1"/>
  <c r="C28" i="15" s="1"/>
  <c r="B28" i="15"/>
  <c r="H27" i="15" a="1"/>
  <c r="H27" i="15" s="1"/>
  <c r="G27" i="15" a="1"/>
  <c r="G27" i="15" s="1"/>
  <c r="F27" i="15" a="1"/>
  <c r="F27" i="15" s="1"/>
  <c r="E27" i="15" a="1"/>
  <c r="E27" i="15" s="1"/>
  <c r="D27" i="15" a="1"/>
  <c r="D27" i="15" s="1"/>
  <c r="C27" i="15" a="1"/>
  <c r="C27" i="15" s="1"/>
  <c r="B27" i="15"/>
  <c r="H26" i="15" a="1"/>
  <c r="H26" i="15" s="1"/>
  <c r="G26" i="15" a="1"/>
  <c r="G26" i="15" s="1"/>
  <c r="F26" i="15" a="1"/>
  <c r="F26" i="15" s="1"/>
  <c r="E26" i="15" a="1"/>
  <c r="E26" i="15" s="1"/>
  <c r="D26" i="15" a="1"/>
  <c r="D26" i="15" s="1"/>
  <c r="C26" i="15" a="1"/>
  <c r="C26" i="15" s="1"/>
  <c r="B26" i="15"/>
  <c r="H25" i="15" a="1"/>
  <c r="H25" i="15" s="1"/>
  <c r="G25" i="15" a="1"/>
  <c r="G25" i="15" s="1"/>
  <c r="F25" i="15" a="1"/>
  <c r="F25" i="15" s="1"/>
  <c r="E25" i="15" a="1"/>
  <c r="E25" i="15" s="1"/>
  <c r="D25" i="15" a="1"/>
  <c r="D25" i="15" s="1"/>
  <c r="C25" i="15" a="1"/>
  <c r="C25" i="15" s="1"/>
  <c r="B25" i="15"/>
  <c r="H24" i="15" a="1"/>
  <c r="H24" i="15" s="1"/>
  <c r="G24" i="15" a="1"/>
  <c r="G24" i="15" s="1"/>
  <c r="F24" i="15" a="1"/>
  <c r="F24" i="15" s="1"/>
  <c r="E24" i="15" a="1"/>
  <c r="E24" i="15" s="1"/>
  <c r="D24" i="15" a="1"/>
  <c r="D24" i="15" s="1"/>
  <c r="C24" i="15" a="1"/>
  <c r="C24" i="15" s="1"/>
  <c r="B24" i="15"/>
  <c r="H48" i="15" a="1"/>
  <c r="H48" i="15" s="1"/>
  <c r="G48" i="15" a="1"/>
  <c r="G48" i="15" s="1"/>
  <c r="F48" i="15" a="1"/>
  <c r="F48" i="15" s="1"/>
  <c r="E48" i="15" a="1"/>
  <c r="E48" i="15" s="1"/>
  <c r="D48" i="15" a="1"/>
  <c r="D48" i="15" s="1"/>
  <c r="C48" i="15" a="1"/>
  <c r="C48" i="15" s="1"/>
  <c r="B48" i="15"/>
  <c r="H47" i="15" a="1"/>
  <c r="H47" i="15" s="1"/>
  <c r="G47" i="15" a="1"/>
  <c r="G47" i="15" s="1"/>
  <c r="F47" i="15" a="1"/>
  <c r="F47" i="15" s="1"/>
  <c r="E47" i="15" a="1"/>
  <c r="E47" i="15" s="1"/>
  <c r="D47" i="15" a="1"/>
  <c r="D47" i="15" s="1"/>
  <c r="C47" i="15" a="1"/>
  <c r="C47" i="15" s="1"/>
  <c r="B47" i="15"/>
  <c r="H46" i="15" a="1"/>
  <c r="H46" i="15" s="1"/>
  <c r="G46" i="15" a="1"/>
  <c r="G46" i="15" s="1"/>
  <c r="F46" i="15" a="1"/>
  <c r="F46" i="15" s="1"/>
  <c r="E46" i="15" a="1"/>
  <c r="E46" i="15" s="1"/>
  <c r="D46" i="15" a="1"/>
  <c r="D46" i="15" s="1"/>
  <c r="C46" i="15" a="1"/>
  <c r="C46" i="15" s="1"/>
  <c r="B46" i="15"/>
  <c r="H45" i="15" a="1"/>
  <c r="H45" i="15" s="1"/>
  <c r="G45" i="15" a="1"/>
  <c r="G45" i="15" s="1"/>
  <c r="F45" i="15" a="1"/>
  <c r="F45" i="15" s="1"/>
  <c r="E45" i="15" a="1"/>
  <c r="E45" i="15" s="1"/>
  <c r="D45" i="15" a="1"/>
  <c r="D45" i="15" s="1"/>
  <c r="C45" i="15" a="1"/>
  <c r="C45" i="15" s="1"/>
  <c r="B45" i="15"/>
  <c r="H44" i="15" a="1"/>
  <c r="H44" i="15" s="1"/>
  <c r="G44" i="15" a="1"/>
  <c r="G44" i="15" s="1"/>
  <c r="F44" i="15" a="1"/>
  <c r="F44" i="15" s="1"/>
  <c r="E44" i="15" a="1"/>
  <c r="E44" i="15" s="1"/>
  <c r="D44" i="15" a="1"/>
  <c r="D44" i="15" s="1"/>
  <c r="C44" i="15" a="1"/>
  <c r="C44" i="15" s="1"/>
  <c r="B44" i="15"/>
  <c r="H43" i="15" a="1"/>
  <c r="H43" i="15" s="1"/>
  <c r="G43" i="15" a="1"/>
  <c r="G43" i="15" s="1"/>
  <c r="F43" i="15" a="1"/>
  <c r="F43" i="15" s="1"/>
  <c r="E43" i="15" a="1"/>
  <c r="E43" i="15" s="1"/>
  <c r="D43" i="15" a="1"/>
  <c r="D43" i="15" s="1"/>
  <c r="C43" i="15" a="1"/>
  <c r="C43" i="15" s="1"/>
  <c r="B43" i="15"/>
  <c r="H42" i="15" a="1"/>
  <c r="H42" i="15" s="1"/>
  <c r="G42" i="15" a="1"/>
  <c r="G42" i="15" s="1"/>
  <c r="F42" i="15" a="1"/>
  <c r="F42" i="15" s="1"/>
  <c r="E42" i="15" a="1"/>
  <c r="E42" i="15" s="1"/>
  <c r="D42" i="15" a="1"/>
  <c r="D42" i="15" s="1"/>
  <c r="C42" i="15" a="1"/>
  <c r="C42" i="15" s="1"/>
  <c r="B42" i="15"/>
  <c r="H41" i="15" a="1"/>
  <c r="H41" i="15" s="1"/>
  <c r="G41" i="15" a="1"/>
  <c r="G41" i="15" s="1"/>
  <c r="F41" i="15" a="1"/>
  <c r="F41" i="15" s="1"/>
  <c r="E41" i="15" a="1"/>
  <c r="E41" i="15" s="1"/>
  <c r="D41" i="15" a="1"/>
  <c r="D41" i="15" s="1"/>
  <c r="C41" i="15" a="1"/>
  <c r="C41" i="15" s="1"/>
  <c r="B41" i="15"/>
  <c r="H40" i="15" a="1"/>
  <c r="H40" i="15" s="1"/>
  <c r="G40" i="15" a="1"/>
  <c r="G40" i="15" s="1"/>
  <c r="F40" i="15" a="1"/>
  <c r="F40" i="15" s="1"/>
  <c r="E40" i="15" a="1"/>
  <c r="E40" i="15" s="1"/>
  <c r="D40" i="15" a="1"/>
  <c r="D40" i="15" s="1"/>
  <c r="C40" i="15" a="1"/>
  <c r="C40" i="15" s="1"/>
  <c r="B40" i="15"/>
  <c r="H39" i="15" a="1"/>
  <c r="H39" i="15" s="1"/>
  <c r="G39" i="15" a="1"/>
  <c r="G39" i="15" s="1"/>
  <c r="F39" i="15" a="1"/>
  <c r="F39" i="15" s="1"/>
  <c r="E39" i="15" a="1"/>
  <c r="E39" i="15" s="1"/>
  <c r="D39" i="15" a="1"/>
  <c r="D39" i="15" s="1"/>
  <c r="C39" i="15" a="1"/>
  <c r="C39" i="15" s="1"/>
  <c r="B39" i="15"/>
  <c r="H38" i="15" a="1"/>
  <c r="H38" i="15" s="1"/>
  <c r="G38" i="15" a="1"/>
  <c r="G38" i="15" s="1"/>
  <c r="F38" i="15" a="1"/>
  <c r="F38" i="15" s="1"/>
  <c r="E38" i="15" a="1"/>
  <c r="E38" i="15" s="1"/>
  <c r="D38" i="15" a="1"/>
  <c r="D38" i="15" s="1"/>
  <c r="C38" i="15" a="1"/>
  <c r="C38" i="15" s="1"/>
  <c r="B38" i="15"/>
  <c r="H37" i="15" a="1"/>
  <c r="H37" i="15" s="1"/>
  <c r="G37" i="15" a="1"/>
  <c r="G37" i="15" s="1"/>
  <c r="F37" i="15" a="1"/>
  <c r="F37" i="15" s="1"/>
  <c r="E37" i="15" a="1"/>
  <c r="E37" i="15" s="1"/>
  <c r="D37" i="15" a="1"/>
  <c r="D37" i="15" s="1"/>
  <c r="C37" i="15" a="1"/>
  <c r="C37" i="15" s="1"/>
  <c r="B37" i="15"/>
  <c r="H61" i="15" a="1"/>
  <c r="H61" i="15" s="1"/>
  <c r="G61" i="15" a="1"/>
  <c r="G61" i="15" s="1"/>
  <c r="F61" i="15" a="1"/>
  <c r="F61" i="15" s="1"/>
  <c r="E61" i="15" a="1"/>
  <c r="E61" i="15" s="1"/>
  <c r="D61" i="15" a="1"/>
  <c r="D61" i="15" s="1"/>
  <c r="C61" i="15" a="1"/>
  <c r="C61" i="15" s="1"/>
  <c r="B61" i="15"/>
  <c r="H60" i="15" a="1"/>
  <c r="H60" i="15" s="1"/>
  <c r="G60" i="15" a="1"/>
  <c r="G60" i="15" s="1"/>
  <c r="F60" i="15" a="1"/>
  <c r="F60" i="15" s="1"/>
  <c r="E60" i="15" a="1"/>
  <c r="E60" i="15" s="1"/>
  <c r="D60" i="15" a="1"/>
  <c r="D60" i="15" s="1"/>
  <c r="C60" i="15" a="1"/>
  <c r="C60" i="15" s="1"/>
  <c r="B60" i="15"/>
  <c r="H59" i="15" a="1"/>
  <c r="H59" i="15" s="1"/>
  <c r="G59" i="15" a="1"/>
  <c r="G59" i="15" s="1"/>
  <c r="F59" i="15" a="1"/>
  <c r="F59" i="15" s="1"/>
  <c r="E59" i="15" a="1"/>
  <c r="E59" i="15" s="1"/>
  <c r="D59" i="15" a="1"/>
  <c r="D59" i="15" s="1"/>
  <c r="C59" i="15" a="1"/>
  <c r="C59" i="15" s="1"/>
  <c r="B59" i="15"/>
  <c r="H58" i="15" a="1"/>
  <c r="H58" i="15" s="1"/>
  <c r="G58" i="15" a="1"/>
  <c r="G58" i="15" s="1"/>
  <c r="F58" i="15" a="1"/>
  <c r="F58" i="15" s="1"/>
  <c r="E58" i="15" a="1"/>
  <c r="E58" i="15" s="1"/>
  <c r="D58" i="15" a="1"/>
  <c r="D58" i="15" s="1"/>
  <c r="C58" i="15" a="1"/>
  <c r="C58" i="15" s="1"/>
  <c r="B58" i="15"/>
  <c r="H57" i="15" a="1"/>
  <c r="H57" i="15" s="1"/>
  <c r="G57" i="15" a="1"/>
  <c r="G57" i="15" s="1"/>
  <c r="F57" i="15" a="1"/>
  <c r="F57" i="15" s="1"/>
  <c r="E57" i="15" a="1"/>
  <c r="E57" i="15" s="1"/>
  <c r="D57" i="15" a="1"/>
  <c r="D57" i="15" s="1"/>
  <c r="C57" i="15" a="1"/>
  <c r="C57" i="15" s="1"/>
  <c r="B57" i="15"/>
  <c r="H56" i="15" a="1"/>
  <c r="H56" i="15" s="1"/>
  <c r="G56" i="15" a="1"/>
  <c r="G56" i="15" s="1"/>
  <c r="F56" i="15" a="1"/>
  <c r="F56" i="15" s="1"/>
  <c r="E56" i="15" a="1"/>
  <c r="E56" i="15" s="1"/>
  <c r="D56" i="15" a="1"/>
  <c r="D56" i="15" s="1"/>
  <c r="C56" i="15" a="1"/>
  <c r="C56" i="15" s="1"/>
  <c r="B56" i="15"/>
  <c r="H55" i="15" a="1"/>
  <c r="H55" i="15" s="1"/>
  <c r="G55" i="15" a="1"/>
  <c r="G55" i="15" s="1"/>
  <c r="F55" i="15" a="1"/>
  <c r="F55" i="15" s="1"/>
  <c r="E55" i="15" a="1"/>
  <c r="E55" i="15" s="1"/>
  <c r="D55" i="15" a="1"/>
  <c r="D55" i="15" s="1"/>
  <c r="C55" i="15" a="1"/>
  <c r="C55" i="15" s="1"/>
  <c r="B55" i="15"/>
  <c r="H54" i="15" a="1"/>
  <c r="H54" i="15" s="1"/>
  <c r="G54" i="15" a="1"/>
  <c r="G54" i="15" s="1"/>
  <c r="F54" i="15" a="1"/>
  <c r="F54" i="15" s="1"/>
  <c r="E54" i="15" a="1"/>
  <c r="E54" i="15" s="1"/>
  <c r="D54" i="15" a="1"/>
  <c r="D54" i="15" s="1"/>
  <c r="C54" i="15" a="1"/>
  <c r="C54" i="15" s="1"/>
  <c r="B54" i="15"/>
  <c r="H53" i="15" a="1"/>
  <c r="H53" i="15" s="1"/>
  <c r="G53" i="15" a="1"/>
  <c r="G53" i="15" s="1"/>
  <c r="F53" i="15" a="1"/>
  <c r="F53" i="15" s="1"/>
  <c r="E53" i="15" a="1"/>
  <c r="E53" i="15" s="1"/>
  <c r="D53" i="15" a="1"/>
  <c r="D53" i="15" s="1"/>
  <c r="C53" i="15" a="1"/>
  <c r="C53" i="15" s="1"/>
  <c r="B53" i="15"/>
  <c r="H52" i="15" a="1"/>
  <c r="H52" i="15" s="1"/>
  <c r="G52" i="15" a="1"/>
  <c r="G52" i="15" s="1"/>
  <c r="F52" i="15" a="1"/>
  <c r="F52" i="15" s="1"/>
  <c r="E52" i="15" a="1"/>
  <c r="E52" i="15" s="1"/>
  <c r="D52" i="15" a="1"/>
  <c r="D52" i="15" s="1"/>
  <c r="C52" i="15" a="1"/>
  <c r="C52" i="15" s="1"/>
  <c r="B52" i="15"/>
  <c r="H51" i="15" a="1"/>
  <c r="H51" i="15" s="1"/>
  <c r="G51" i="15" a="1"/>
  <c r="G51" i="15" s="1"/>
  <c r="F51" i="15" a="1"/>
  <c r="F51" i="15" s="1"/>
  <c r="E51" i="15" a="1"/>
  <c r="E51" i="15" s="1"/>
  <c r="D51" i="15" a="1"/>
  <c r="D51" i="15" s="1"/>
  <c r="C51" i="15" a="1"/>
  <c r="C51" i="15" s="1"/>
  <c r="B51" i="15"/>
  <c r="H50" i="15" a="1"/>
  <c r="H50" i="15" s="1"/>
  <c r="G50" i="15" a="1"/>
  <c r="G50" i="15" s="1"/>
  <c r="F50" i="15" a="1"/>
  <c r="F50" i="15" s="1"/>
  <c r="E50" i="15" a="1"/>
  <c r="E50" i="15" s="1"/>
  <c r="D50" i="15" a="1"/>
  <c r="D50" i="15" s="1"/>
  <c r="C50" i="15" a="1"/>
  <c r="C50" i="15" s="1"/>
  <c r="B50" i="15"/>
  <c r="H22" i="13" a="1"/>
  <c r="H22" i="13" s="1"/>
  <c r="G22" i="13" a="1"/>
  <c r="G22" i="13" s="1"/>
  <c r="F22" i="13" a="1"/>
  <c r="F22" i="13" s="1"/>
  <c r="E22" i="13" a="1"/>
  <c r="E22" i="13" s="1"/>
  <c r="D22" i="13" a="1"/>
  <c r="D22" i="13" s="1"/>
  <c r="C22" i="13" a="1"/>
  <c r="C22" i="13" s="1"/>
  <c r="B22" i="13"/>
  <c r="H21" i="13" a="1"/>
  <c r="H21" i="13" s="1"/>
  <c r="G21" i="13" a="1"/>
  <c r="G21" i="13" s="1"/>
  <c r="F21" i="13" a="1"/>
  <c r="F21" i="13" s="1"/>
  <c r="E21" i="13" a="1"/>
  <c r="E21" i="13" s="1"/>
  <c r="D21" i="13" a="1"/>
  <c r="D21" i="13" s="1"/>
  <c r="C21" i="13" a="1"/>
  <c r="C21" i="13" s="1"/>
  <c r="B21" i="13"/>
  <c r="H20" i="13" a="1"/>
  <c r="H20" i="13" s="1"/>
  <c r="G20" i="13" a="1"/>
  <c r="G20" i="13" s="1"/>
  <c r="F20" i="13" a="1"/>
  <c r="F20" i="13" s="1"/>
  <c r="E20" i="13" a="1"/>
  <c r="E20" i="13" s="1"/>
  <c r="D20" i="13" a="1"/>
  <c r="D20" i="13" s="1"/>
  <c r="C20" i="13" a="1"/>
  <c r="C20" i="13" s="1"/>
  <c r="B20" i="13"/>
  <c r="H19" i="13" a="1"/>
  <c r="H19" i="13" s="1"/>
  <c r="G19" i="13" a="1"/>
  <c r="G19" i="13" s="1"/>
  <c r="F19" i="13" a="1"/>
  <c r="F19" i="13" s="1"/>
  <c r="E19" i="13" a="1"/>
  <c r="E19" i="13" s="1"/>
  <c r="D19" i="13" a="1"/>
  <c r="D19" i="13" s="1"/>
  <c r="C19" i="13" a="1"/>
  <c r="C19" i="13" s="1"/>
  <c r="B19" i="13"/>
  <c r="H18" i="13" a="1"/>
  <c r="H18" i="13" s="1"/>
  <c r="G18" i="13" a="1"/>
  <c r="G18" i="13" s="1"/>
  <c r="F18" i="13" a="1"/>
  <c r="F18" i="13" s="1"/>
  <c r="E18" i="13" a="1"/>
  <c r="E18" i="13" s="1"/>
  <c r="D18" i="13" a="1"/>
  <c r="D18" i="13" s="1"/>
  <c r="C18" i="13" a="1"/>
  <c r="C18" i="13" s="1"/>
  <c r="B18" i="13"/>
  <c r="H17" i="13" a="1"/>
  <c r="H17" i="13" s="1"/>
  <c r="G17" i="13" a="1"/>
  <c r="G17" i="13" s="1"/>
  <c r="F17" i="13" a="1"/>
  <c r="F17" i="13" s="1"/>
  <c r="E17" i="13" a="1"/>
  <c r="E17" i="13" s="1"/>
  <c r="D17" i="13" a="1"/>
  <c r="D17" i="13" s="1"/>
  <c r="C17" i="13" a="1"/>
  <c r="C17" i="13" s="1"/>
  <c r="B17" i="13"/>
  <c r="H16" i="13" a="1"/>
  <c r="H16" i="13" s="1"/>
  <c r="G16" i="13" a="1"/>
  <c r="G16" i="13" s="1"/>
  <c r="F16" i="13" a="1"/>
  <c r="F16" i="13" s="1"/>
  <c r="E16" i="13" a="1"/>
  <c r="E16" i="13" s="1"/>
  <c r="D16" i="13" a="1"/>
  <c r="D16" i="13" s="1"/>
  <c r="C16" i="13" a="1"/>
  <c r="C16" i="13" s="1"/>
  <c r="B16" i="13"/>
  <c r="H15" i="13" a="1"/>
  <c r="H15" i="13" s="1"/>
  <c r="G15" i="13" a="1"/>
  <c r="G15" i="13" s="1"/>
  <c r="F15" i="13" a="1"/>
  <c r="F15" i="13" s="1"/>
  <c r="E15" i="13" a="1"/>
  <c r="E15" i="13" s="1"/>
  <c r="D15" i="13" a="1"/>
  <c r="D15" i="13" s="1"/>
  <c r="C15" i="13" a="1"/>
  <c r="C15" i="13" s="1"/>
  <c r="B15" i="13"/>
  <c r="H14" i="13" a="1"/>
  <c r="H14" i="13" s="1"/>
  <c r="G14" i="13" a="1"/>
  <c r="G14" i="13" s="1"/>
  <c r="F14" i="13" a="1"/>
  <c r="F14" i="13" s="1"/>
  <c r="E14" i="13" a="1"/>
  <c r="E14" i="13" s="1"/>
  <c r="D14" i="13" a="1"/>
  <c r="D14" i="13" s="1"/>
  <c r="C14" i="13" a="1"/>
  <c r="C14" i="13" s="1"/>
  <c r="B14" i="13"/>
  <c r="H13" i="13" a="1"/>
  <c r="H13" i="13" s="1"/>
  <c r="G13" i="13" a="1"/>
  <c r="G13" i="13" s="1"/>
  <c r="F13" i="13" a="1"/>
  <c r="F13" i="13" s="1"/>
  <c r="E13" i="13" a="1"/>
  <c r="E13" i="13" s="1"/>
  <c r="D13" i="13" a="1"/>
  <c r="D13" i="13" s="1"/>
  <c r="C13" i="13" a="1"/>
  <c r="C13" i="13" s="1"/>
  <c r="B13" i="13"/>
  <c r="H12" i="13" a="1"/>
  <c r="H12" i="13" s="1"/>
  <c r="G12" i="13" a="1"/>
  <c r="G12" i="13" s="1"/>
  <c r="F12" i="13" a="1"/>
  <c r="F12" i="13" s="1"/>
  <c r="E12" i="13" a="1"/>
  <c r="E12" i="13" s="1"/>
  <c r="D12" i="13" a="1"/>
  <c r="D12" i="13" s="1"/>
  <c r="C12" i="13" a="1"/>
  <c r="C12" i="13" s="1"/>
  <c r="B12" i="13"/>
  <c r="H11" i="13" a="1"/>
  <c r="H11" i="13" s="1"/>
  <c r="G11" i="13" a="1"/>
  <c r="G11" i="13" s="1"/>
  <c r="F11" i="13" a="1"/>
  <c r="F11" i="13" s="1"/>
  <c r="E11" i="13" a="1"/>
  <c r="E11" i="13" s="1"/>
  <c r="D11" i="13" a="1"/>
  <c r="D11" i="13" s="1"/>
  <c r="C11" i="13" a="1"/>
  <c r="C11" i="13" s="1"/>
  <c r="B11" i="13"/>
  <c r="H35" i="13" a="1"/>
  <c r="H35" i="13" s="1"/>
  <c r="G35" i="13" a="1"/>
  <c r="G35" i="13" s="1"/>
  <c r="F35" i="13" a="1"/>
  <c r="F35" i="13" s="1"/>
  <c r="E35" i="13" a="1"/>
  <c r="E35" i="13" s="1"/>
  <c r="D35" i="13" a="1"/>
  <c r="D35" i="13" s="1"/>
  <c r="C35" i="13" a="1"/>
  <c r="C35" i="13" s="1"/>
  <c r="B35" i="13"/>
  <c r="H34" i="13" a="1"/>
  <c r="H34" i="13" s="1"/>
  <c r="G34" i="13" a="1"/>
  <c r="G34" i="13" s="1"/>
  <c r="F34" i="13" a="1"/>
  <c r="F34" i="13" s="1"/>
  <c r="E34" i="13" a="1"/>
  <c r="E34" i="13" s="1"/>
  <c r="D34" i="13" a="1"/>
  <c r="D34" i="13" s="1"/>
  <c r="C34" i="13" a="1"/>
  <c r="C34" i="13" s="1"/>
  <c r="B34" i="13"/>
  <c r="H33" i="13" a="1"/>
  <c r="H33" i="13" s="1"/>
  <c r="G33" i="13" a="1"/>
  <c r="G33" i="13" s="1"/>
  <c r="F33" i="13" a="1"/>
  <c r="F33" i="13" s="1"/>
  <c r="E33" i="13" a="1"/>
  <c r="E33" i="13" s="1"/>
  <c r="D33" i="13" a="1"/>
  <c r="D33" i="13" s="1"/>
  <c r="C33" i="13" a="1"/>
  <c r="C33" i="13" s="1"/>
  <c r="B33" i="13"/>
  <c r="H32" i="13" a="1"/>
  <c r="H32" i="13" s="1"/>
  <c r="G32" i="13" a="1"/>
  <c r="G32" i="13" s="1"/>
  <c r="F32" i="13" a="1"/>
  <c r="F32" i="13" s="1"/>
  <c r="E32" i="13" a="1"/>
  <c r="E32" i="13" s="1"/>
  <c r="D32" i="13" a="1"/>
  <c r="D32" i="13" s="1"/>
  <c r="C32" i="13" a="1"/>
  <c r="C32" i="13" s="1"/>
  <c r="B32" i="13"/>
  <c r="H31" i="13" a="1"/>
  <c r="H31" i="13" s="1"/>
  <c r="G31" i="13" a="1"/>
  <c r="G31" i="13" s="1"/>
  <c r="F31" i="13" a="1"/>
  <c r="F31" i="13" s="1"/>
  <c r="E31" i="13" a="1"/>
  <c r="E31" i="13" s="1"/>
  <c r="D31" i="13" a="1"/>
  <c r="D31" i="13" s="1"/>
  <c r="C31" i="13" a="1"/>
  <c r="C31" i="13" s="1"/>
  <c r="B31" i="13"/>
  <c r="H30" i="13" a="1"/>
  <c r="H30" i="13" s="1"/>
  <c r="G30" i="13" a="1"/>
  <c r="G30" i="13" s="1"/>
  <c r="F30" i="13" a="1"/>
  <c r="F30" i="13" s="1"/>
  <c r="E30" i="13" a="1"/>
  <c r="E30" i="13" s="1"/>
  <c r="D30" i="13" a="1"/>
  <c r="D30" i="13" s="1"/>
  <c r="C30" i="13" a="1"/>
  <c r="C30" i="13" s="1"/>
  <c r="B30" i="13"/>
  <c r="H29" i="13" a="1"/>
  <c r="H29" i="13" s="1"/>
  <c r="G29" i="13" a="1"/>
  <c r="G29" i="13" s="1"/>
  <c r="F29" i="13" a="1"/>
  <c r="F29" i="13" s="1"/>
  <c r="E29" i="13" a="1"/>
  <c r="E29" i="13" s="1"/>
  <c r="D29" i="13" a="1"/>
  <c r="D29" i="13" s="1"/>
  <c r="C29" i="13" a="1"/>
  <c r="C29" i="13" s="1"/>
  <c r="B29" i="13"/>
  <c r="H28" i="13" a="1"/>
  <c r="H28" i="13" s="1"/>
  <c r="G28" i="13" a="1"/>
  <c r="G28" i="13" s="1"/>
  <c r="F28" i="13" a="1"/>
  <c r="F28" i="13" s="1"/>
  <c r="E28" i="13" a="1"/>
  <c r="E28" i="13" s="1"/>
  <c r="D28" i="13" a="1"/>
  <c r="D28" i="13" s="1"/>
  <c r="C28" i="13" a="1"/>
  <c r="C28" i="13" s="1"/>
  <c r="B28" i="13"/>
  <c r="H27" i="13" a="1"/>
  <c r="H27" i="13" s="1"/>
  <c r="G27" i="13" a="1"/>
  <c r="G27" i="13" s="1"/>
  <c r="F27" i="13" a="1"/>
  <c r="F27" i="13" s="1"/>
  <c r="E27" i="13" a="1"/>
  <c r="E27" i="13" s="1"/>
  <c r="D27" i="13" a="1"/>
  <c r="D27" i="13" s="1"/>
  <c r="C27" i="13" a="1"/>
  <c r="C27" i="13" s="1"/>
  <c r="B27" i="13"/>
  <c r="H26" i="13" a="1"/>
  <c r="H26" i="13" s="1"/>
  <c r="G26" i="13" a="1"/>
  <c r="G26" i="13" s="1"/>
  <c r="F26" i="13" a="1"/>
  <c r="F26" i="13" s="1"/>
  <c r="E26" i="13" a="1"/>
  <c r="E26" i="13" s="1"/>
  <c r="D26" i="13" a="1"/>
  <c r="D26" i="13" s="1"/>
  <c r="C26" i="13" a="1"/>
  <c r="C26" i="13" s="1"/>
  <c r="B26" i="13"/>
  <c r="H25" i="13" a="1"/>
  <c r="H25" i="13" s="1"/>
  <c r="G25" i="13" a="1"/>
  <c r="G25" i="13" s="1"/>
  <c r="F25" i="13" a="1"/>
  <c r="F25" i="13" s="1"/>
  <c r="E25" i="13" a="1"/>
  <c r="E25" i="13" s="1"/>
  <c r="D25" i="13" a="1"/>
  <c r="D25" i="13" s="1"/>
  <c r="C25" i="13" a="1"/>
  <c r="C25" i="13" s="1"/>
  <c r="B25" i="13"/>
  <c r="H24" i="13" a="1"/>
  <c r="H24" i="13" s="1"/>
  <c r="G24" i="13" a="1"/>
  <c r="G24" i="13" s="1"/>
  <c r="F24" i="13" a="1"/>
  <c r="F24" i="13" s="1"/>
  <c r="E24" i="13" a="1"/>
  <c r="E24" i="13" s="1"/>
  <c r="D24" i="13" a="1"/>
  <c r="D24" i="13" s="1"/>
  <c r="C24" i="13" a="1"/>
  <c r="C24" i="13" s="1"/>
  <c r="B24" i="13"/>
  <c r="H48" i="13" a="1"/>
  <c r="H48" i="13" s="1"/>
  <c r="G48" i="13" a="1"/>
  <c r="G48" i="13" s="1"/>
  <c r="F48" i="13" a="1"/>
  <c r="F48" i="13" s="1"/>
  <c r="E48" i="13" a="1"/>
  <c r="E48" i="13" s="1"/>
  <c r="D48" i="13" a="1"/>
  <c r="D48" i="13" s="1"/>
  <c r="C48" i="13" a="1"/>
  <c r="C48" i="13" s="1"/>
  <c r="B48" i="13"/>
  <c r="H47" i="13" a="1"/>
  <c r="H47" i="13" s="1"/>
  <c r="G47" i="13" a="1"/>
  <c r="G47" i="13" s="1"/>
  <c r="F47" i="13" a="1"/>
  <c r="F47" i="13" s="1"/>
  <c r="E47" i="13" a="1"/>
  <c r="E47" i="13" s="1"/>
  <c r="D47" i="13" a="1"/>
  <c r="D47" i="13" s="1"/>
  <c r="C47" i="13" a="1"/>
  <c r="C47" i="13" s="1"/>
  <c r="B47" i="13"/>
  <c r="H46" i="13" a="1"/>
  <c r="H46" i="13" s="1"/>
  <c r="G46" i="13" a="1"/>
  <c r="G46" i="13" s="1"/>
  <c r="F46" i="13" a="1"/>
  <c r="F46" i="13" s="1"/>
  <c r="E46" i="13" a="1"/>
  <c r="E46" i="13" s="1"/>
  <c r="D46" i="13" a="1"/>
  <c r="D46" i="13" s="1"/>
  <c r="C46" i="13" a="1"/>
  <c r="C46" i="13" s="1"/>
  <c r="B46" i="13"/>
  <c r="H45" i="13" a="1"/>
  <c r="H45" i="13" s="1"/>
  <c r="G45" i="13" a="1"/>
  <c r="G45" i="13" s="1"/>
  <c r="F45" i="13" a="1"/>
  <c r="F45" i="13" s="1"/>
  <c r="E45" i="13" a="1"/>
  <c r="E45" i="13" s="1"/>
  <c r="D45" i="13" a="1"/>
  <c r="D45" i="13" s="1"/>
  <c r="C45" i="13" a="1"/>
  <c r="C45" i="13" s="1"/>
  <c r="B45" i="13"/>
  <c r="H44" i="13" a="1"/>
  <c r="H44" i="13" s="1"/>
  <c r="G44" i="13" a="1"/>
  <c r="G44" i="13" s="1"/>
  <c r="F44" i="13" a="1"/>
  <c r="F44" i="13" s="1"/>
  <c r="E44" i="13" a="1"/>
  <c r="E44" i="13" s="1"/>
  <c r="D44" i="13" a="1"/>
  <c r="D44" i="13" s="1"/>
  <c r="C44" i="13" a="1"/>
  <c r="C44" i="13" s="1"/>
  <c r="B44" i="13"/>
  <c r="H43" i="13" a="1"/>
  <c r="H43" i="13" s="1"/>
  <c r="G43" i="13" a="1"/>
  <c r="G43" i="13" s="1"/>
  <c r="F43" i="13" a="1"/>
  <c r="F43" i="13" s="1"/>
  <c r="E43" i="13" a="1"/>
  <c r="E43" i="13" s="1"/>
  <c r="D43" i="13" a="1"/>
  <c r="D43" i="13" s="1"/>
  <c r="C43" i="13" a="1"/>
  <c r="C43" i="13" s="1"/>
  <c r="B43" i="13"/>
  <c r="H42" i="13" a="1"/>
  <c r="H42" i="13" s="1"/>
  <c r="G42" i="13" a="1"/>
  <c r="G42" i="13" s="1"/>
  <c r="F42" i="13" a="1"/>
  <c r="F42" i="13" s="1"/>
  <c r="E42" i="13" a="1"/>
  <c r="E42" i="13" s="1"/>
  <c r="D42" i="13" a="1"/>
  <c r="D42" i="13" s="1"/>
  <c r="C42" i="13" a="1"/>
  <c r="C42" i="13" s="1"/>
  <c r="B42" i="13"/>
  <c r="H41" i="13" a="1"/>
  <c r="H41" i="13" s="1"/>
  <c r="G41" i="13" a="1"/>
  <c r="G41" i="13" s="1"/>
  <c r="F41" i="13" a="1"/>
  <c r="F41" i="13" s="1"/>
  <c r="E41" i="13" a="1"/>
  <c r="E41" i="13" s="1"/>
  <c r="D41" i="13" a="1"/>
  <c r="D41" i="13" s="1"/>
  <c r="C41" i="13" a="1"/>
  <c r="C41" i="13" s="1"/>
  <c r="B41" i="13"/>
  <c r="H40" i="13" a="1"/>
  <c r="H40" i="13" s="1"/>
  <c r="G40" i="13" a="1"/>
  <c r="G40" i="13" s="1"/>
  <c r="F40" i="13" a="1"/>
  <c r="F40" i="13" s="1"/>
  <c r="E40" i="13" a="1"/>
  <c r="E40" i="13" s="1"/>
  <c r="D40" i="13" a="1"/>
  <c r="D40" i="13" s="1"/>
  <c r="C40" i="13" a="1"/>
  <c r="C40" i="13" s="1"/>
  <c r="B40" i="13"/>
  <c r="H39" i="13" a="1"/>
  <c r="H39" i="13" s="1"/>
  <c r="G39" i="13" a="1"/>
  <c r="G39" i="13" s="1"/>
  <c r="F39" i="13" a="1"/>
  <c r="F39" i="13" s="1"/>
  <c r="E39" i="13" a="1"/>
  <c r="E39" i="13" s="1"/>
  <c r="D39" i="13" a="1"/>
  <c r="D39" i="13" s="1"/>
  <c r="C39" i="13" a="1"/>
  <c r="C39" i="13" s="1"/>
  <c r="B39" i="13"/>
  <c r="H38" i="13" a="1"/>
  <c r="H38" i="13" s="1"/>
  <c r="G38" i="13" a="1"/>
  <c r="G38" i="13" s="1"/>
  <c r="F38" i="13" a="1"/>
  <c r="F38" i="13" s="1"/>
  <c r="E38" i="13" a="1"/>
  <c r="E38" i="13" s="1"/>
  <c r="D38" i="13" a="1"/>
  <c r="D38" i="13" s="1"/>
  <c r="C38" i="13" a="1"/>
  <c r="C38" i="13" s="1"/>
  <c r="B38" i="13"/>
  <c r="H37" i="13" a="1"/>
  <c r="H37" i="13" s="1"/>
  <c r="G37" i="13" a="1"/>
  <c r="G37" i="13" s="1"/>
  <c r="F37" i="13" a="1"/>
  <c r="F37" i="13" s="1"/>
  <c r="E37" i="13" a="1"/>
  <c r="E37" i="13" s="1"/>
  <c r="D37" i="13" a="1"/>
  <c r="D37" i="13" s="1"/>
  <c r="C37" i="13" a="1"/>
  <c r="C37" i="13" s="1"/>
  <c r="B37" i="13"/>
  <c r="H61" i="13" a="1"/>
  <c r="H61" i="13" s="1"/>
  <c r="G61" i="13" a="1"/>
  <c r="G61" i="13" s="1"/>
  <c r="F61" i="13" a="1"/>
  <c r="F61" i="13" s="1"/>
  <c r="E61" i="13" a="1"/>
  <c r="E61" i="13" s="1"/>
  <c r="D61" i="13" a="1"/>
  <c r="D61" i="13" s="1"/>
  <c r="C61" i="13" a="1"/>
  <c r="C61" i="13" s="1"/>
  <c r="B61" i="13"/>
  <c r="H60" i="13" a="1"/>
  <c r="H60" i="13" s="1"/>
  <c r="G60" i="13" a="1"/>
  <c r="G60" i="13" s="1"/>
  <c r="F60" i="13" a="1"/>
  <c r="F60" i="13" s="1"/>
  <c r="E60" i="13" a="1"/>
  <c r="E60" i="13" s="1"/>
  <c r="D60" i="13" a="1"/>
  <c r="D60" i="13" s="1"/>
  <c r="C60" i="13" a="1"/>
  <c r="C60" i="13" s="1"/>
  <c r="B60" i="13"/>
  <c r="H59" i="13" a="1"/>
  <c r="H59" i="13" s="1"/>
  <c r="G59" i="13" a="1"/>
  <c r="G59" i="13" s="1"/>
  <c r="F59" i="13" a="1"/>
  <c r="F59" i="13" s="1"/>
  <c r="E59" i="13" a="1"/>
  <c r="E59" i="13" s="1"/>
  <c r="D59" i="13" a="1"/>
  <c r="D59" i="13" s="1"/>
  <c r="C59" i="13" a="1"/>
  <c r="C59" i="13" s="1"/>
  <c r="B59" i="13"/>
  <c r="H58" i="13" a="1"/>
  <c r="H58" i="13" s="1"/>
  <c r="G58" i="13" a="1"/>
  <c r="G58" i="13" s="1"/>
  <c r="F58" i="13" a="1"/>
  <c r="F58" i="13" s="1"/>
  <c r="E58" i="13" a="1"/>
  <c r="E58" i="13" s="1"/>
  <c r="D58" i="13" a="1"/>
  <c r="D58" i="13" s="1"/>
  <c r="C58" i="13" a="1"/>
  <c r="C58" i="13" s="1"/>
  <c r="B58" i="13"/>
  <c r="H57" i="13" a="1"/>
  <c r="H57" i="13" s="1"/>
  <c r="G57" i="13" a="1"/>
  <c r="G57" i="13" s="1"/>
  <c r="F57" i="13" a="1"/>
  <c r="F57" i="13" s="1"/>
  <c r="E57" i="13" a="1"/>
  <c r="E57" i="13" s="1"/>
  <c r="D57" i="13" a="1"/>
  <c r="D57" i="13" s="1"/>
  <c r="C57" i="13" a="1"/>
  <c r="C57" i="13" s="1"/>
  <c r="B57" i="13"/>
  <c r="H56" i="13" a="1"/>
  <c r="H56" i="13" s="1"/>
  <c r="G56" i="13" a="1"/>
  <c r="G56" i="13" s="1"/>
  <c r="F56" i="13" a="1"/>
  <c r="F56" i="13" s="1"/>
  <c r="E56" i="13" a="1"/>
  <c r="E56" i="13" s="1"/>
  <c r="D56" i="13" a="1"/>
  <c r="D56" i="13" s="1"/>
  <c r="C56" i="13" a="1"/>
  <c r="C56" i="13" s="1"/>
  <c r="B56" i="13"/>
  <c r="H55" i="13" a="1"/>
  <c r="H55" i="13" s="1"/>
  <c r="G55" i="13" a="1"/>
  <c r="G55" i="13" s="1"/>
  <c r="F55" i="13" a="1"/>
  <c r="F55" i="13" s="1"/>
  <c r="E55" i="13" a="1"/>
  <c r="E55" i="13" s="1"/>
  <c r="D55" i="13" a="1"/>
  <c r="D55" i="13" s="1"/>
  <c r="C55" i="13" a="1"/>
  <c r="C55" i="13" s="1"/>
  <c r="B55" i="13"/>
  <c r="H54" i="13" a="1"/>
  <c r="H54" i="13" s="1"/>
  <c r="G54" i="13" a="1"/>
  <c r="G54" i="13" s="1"/>
  <c r="F54" i="13" a="1"/>
  <c r="F54" i="13" s="1"/>
  <c r="E54" i="13" a="1"/>
  <c r="E54" i="13" s="1"/>
  <c r="D54" i="13" a="1"/>
  <c r="D54" i="13" s="1"/>
  <c r="C54" i="13" a="1"/>
  <c r="C54" i="13" s="1"/>
  <c r="B54" i="13"/>
  <c r="H53" i="13" a="1"/>
  <c r="H53" i="13" s="1"/>
  <c r="G53" i="13" a="1"/>
  <c r="G53" i="13" s="1"/>
  <c r="F53" i="13" a="1"/>
  <c r="F53" i="13" s="1"/>
  <c r="E53" i="13" a="1"/>
  <c r="E53" i="13" s="1"/>
  <c r="D53" i="13" a="1"/>
  <c r="D53" i="13" s="1"/>
  <c r="C53" i="13" a="1"/>
  <c r="C53" i="13" s="1"/>
  <c r="B53" i="13"/>
  <c r="H52" i="13" a="1"/>
  <c r="H52" i="13" s="1"/>
  <c r="G52" i="13" a="1"/>
  <c r="G52" i="13" s="1"/>
  <c r="F52" i="13" a="1"/>
  <c r="F52" i="13" s="1"/>
  <c r="E52" i="13" a="1"/>
  <c r="E52" i="13" s="1"/>
  <c r="D52" i="13" a="1"/>
  <c r="D52" i="13" s="1"/>
  <c r="C52" i="13" a="1"/>
  <c r="C52" i="13" s="1"/>
  <c r="B52" i="13"/>
  <c r="H51" i="13" a="1"/>
  <c r="H51" i="13" s="1"/>
  <c r="G51" i="13" a="1"/>
  <c r="G51" i="13" s="1"/>
  <c r="F51" i="13" a="1"/>
  <c r="F51" i="13" s="1"/>
  <c r="E51" i="13" a="1"/>
  <c r="E51" i="13" s="1"/>
  <c r="D51" i="13" a="1"/>
  <c r="D51" i="13" s="1"/>
  <c r="C51" i="13" a="1"/>
  <c r="C51" i="13" s="1"/>
  <c r="B51" i="13"/>
  <c r="H50" i="13" a="1"/>
  <c r="H50" i="13" s="1"/>
  <c r="G50" i="13" a="1"/>
  <c r="G50" i="13" s="1"/>
  <c r="F50" i="13" a="1"/>
  <c r="F50" i="13" s="1"/>
  <c r="E50" i="13" a="1"/>
  <c r="E50" i="13" s="1"/>
  <c r="D50" i="13" a="1"/>
  <c r="D50" i="13" s="1"/>
  <c r="C50" i="13" a="1"/>
  <c r="C50" i="13" s="1"/>
  <c r="B50" i="13"/>
  <c r="H22" i="11" a="1"/>
  <c r="H22" i="11" s="1"/>
  <c r="G22" i="11" a="1"/>
  <c r="G22" i="11" s="1"/>
  <c r="F22" i="11" a="1"/>
  <c r="F22" i="11" s="1"/>
  <c r="E22" i="11" a="1"/>
  <c r="E22" i="11" s="1"/>
  <c r="D22" i="11" a="1"/>
  <c r="D22" i="11" s="1"/>
  <c r="C22" i="11" a="1"/>
  <c r="C22" i="11" s="1"/>
  <c r="B22" i="11"/>
  <c r="H21" i="11" a="1"/>
  <c r="H21" i="11" s="1"/>
  <c r="G21" i="11" a="1"/>
  <c r="G21" i="11" s="1"/>
  <c r="F21" i="11" a="1"/>
  <c r="F21" i="11" s="1"/>
  <c r="E21" i="11" a="1"/>
  <c r="E21" i="11" s="1"/>
  <c r="D21" i="11" a="1"/>
  <c r="D21" i="11" s="1"/>
  <c r="C21" i="11" a="1"/>
  <c r="C21" i="11" s="1"/>
  <c r="B21" i="11"/>
  <c r="H20" i="11" a="1"/>
  <c r="H20" i="11" s="1"/>
  <c r="G20" i="11" a="1"/>
  <c r="G20" i="11" s="1"/>
  <c r="F20" i="11" a="1"/>
  <c r="F20" i="11" s="1"/>
  <c r="E20" i="11" a="1"/>
  <c r="E20" i="11" s="1"/>
  <c r="D20" i="11" a="1"/>
  <c r="D20" i="11" s="1"/>
  <c r="C20" i="11" a="1"/>
  <c r="C20" i="11" s="1"/>
  <c r="B20" i="11"/>
  <c r="H19" i="11" a="1"/>
  <c r="H19" i="11" s="1"/>
  <c r="G19" i="11" a="1"/>
  <c r="G19" i="11" s="1"/>
  <c r="F19" i="11" a="1"/>
  <c r="F19" i="11" s="1"/>
  <c r="E19" i="11" a="1"/>
  <c r="E19" i="11" s="1"/>
  <c r="D19" i="11" a="1"/>
  <c r="D19" i="11" s="1"/>
  <c r="C19" i="11" a="1"/>
  <c r="C19" i="11" s="1"/>
  <c r="B19" i="11"/>
  <c r="H18" i="11" a="1"/>
  <c r="H18" i="11" s="1"/>
  <c r="G18" i="11" a="1"/>
  <c r="G18" i="11" s="1"/>
  <c r="F18" i="11" a="1"/>
  <c r="F18" i="11" s="1"/>
  <c r="E18" i="11" a="1"/>
  <c r="E18" i="11" s="1"/>
  <c r="D18" i="11" a="1"/>
  <c r="D18" i="11" s="1"/>
  <c r="C18" i="11" a="1"/>
  <c r="C18" i="11" s="1"/>
  <c r="B18" i="11"/>
  <c r="H17" i="11" a="1"/>
  <c r="H17" i="11" s="1"/>
  <c r="G17" i="11" a="1"/>
  <c r="G17" i="11" s="1"/>
  <c r="F17" i="11" a="1"/>
  <c r="F17" i="11" s="1"/>
  <c r="E17" i="11" a="1"/>
  <c r="E17" i="11" s="1"/>
  <c r="D17" i="11" a="1"/>
  <c r="D17" i="11" s="1"/>
  <c r="C17" i="11" a="1"/>
  <c r="C17" i="11" s="1"/>
  <c r="B17" i="11"/>
  <c r="H16" i="11" a="1"/>
  <c r="H16" i="11" s="1"/>
  <c r="G16" i="11" a="1"/>
  <c r="G16" i="11" s="1"/>
  <c r="F16" i="11" a="1"/>
  <c r="F16" i="11" s="1"/>
  <c r="E16" i="11" a="1"/>
  <c r="E16" i="11" s="1"/>
  <c r="D16" i="11" a="1"/>
  <c r="D16" i="11" s="1"/>
  <c r="C16" i="11" a="1"/>
  <c r="C16" i="11" s="1"/>
  <c r="B16" i="11"/>
  <c r="H15" i="11" a="1"/>
  <c r="H15" i="11" s="1"/>
  <c r="G15" i="11" a="1"/>
  <c r="G15" i="11" s="1"/>
  <c r="F15" i="11" a="1"/>
  <c r="F15" i="11" s="1"/>
  <c r="E15" i="11" a="1"/>
  <c r="E15" i="11" s="1"/>
  <c r="D15" i="11" a="1"/>
  <c r="D15" i="11" s="1"/>
  <c r="C15" i="11" a="1"/>
  <c r="C15" i="11" s="1"/>
  <c r="B15" i="11"/>
  <c r="H14" i="11" a="1"/>
  <c r="H14" i="11" s="1"/>
  <c r="G14" i="11" a="1"/>
  <c r="G14" i="11" s="1"/>
  <c r="F14" i="11" a="1"/>
  <c r="F14" i="11" s="1"/>
  <c r="E14" i="11" a="1"/>
  <c r="E14" i="11" s="1"/>
  <c r="D14" i="11" a="1"/>
  <c r="D14" i="11" s="1"/>
  <c r="C14" i="11" a="1"/>
  <c r="C14" i="11" s="1"/>
  <c r="B14" i="11"/>
  <c r="H13" i="11" a="1"/>
  <c r="H13" i="11" s="1"/>
  <c r="G13" i="11" a="1"/>
  <c r="G13" i="11" s="1"/>
  <c r="F13" i="11" a="1"/>
  <c r="F13" i="11" s="1"/>
  <c r="E13" i="11" a="1"/>
  <c r="E13" i="11" s="1"/>
  <c r="D13" i="11" a="1"/>
  <c r="D13" i="11" s="1"/>
  <c r="C13" i="11" a="1"/>
  <c r="C13" i="11" s="1"/>
  <c r="B13" i="11"/>
  <c r="H12" i="11" a="1"/>
  <c r="H12" i="11" s="1"/>
  <c r="G12" i="11" a="1"/>
  <c r="G12" i="11" s="1"/>
  <c r="F12" i="11" a="1"/>
  <c r="F12" i="11" s="1"/>
  <c r="E12" i="11" a="1"/>
  <c r="E12" i="11" s="1"/>
  <c r="D12" i="11" a="1"/>
  <c r="D12" i="11" s="1"/>
  <c r="C12" i="11" a="1"/>
  <c r="C12" i="11" s="1"/>
  <c r="B12" i="11"/>
  <c r="H11" i="11" a="1"/>
  <c r="H11" i="11" s="1"/>
  <c r="G11" i="11" a="1"/>
  <c r="G11" i="11" s="1"/>
  <c r="F11" i="11" a="1"/>
  <c r="F11" i="11" s="1"/>
  <c r="E11" i="11" a="1"/>
  <c r="E11" i="11" s="1"/>
  <c r="D11" i="11" a="1"/>
  <c r="D11" i="11" s="1"/>
  <c r="C11" i="11" a="1"/>
  <c r="C11" i="11" s="1"/>
  <c r="B11" i="11"/>
  <c r="H35" i="11" a="1"/>
  <c r="H35" i="11" s="1"/>
  <c r="G35" i="11" a="1"/>
  <c r="G35" i="11" s="1"/>
  <c r="F35" i="11" a="1"/>
  <c r="F35" i="11" s="1"/>
  <c r="E35" i="11" a="1"/>
  <c r="E35" i="11" s="1"/>
  <c r="D35" i="11" a="1"/>
  <c r="D35" i="11" s="1"/>
  <c r="C35" i="11" a="1"/>
  <c r="C35" i="11" s="1"/>
  <c r="B35" i="11"/>
  <c r="H34" i="11" a="1"/>
  <c r="H34" i="11" s="1"/>
  <c r="G34" i="11" a="1"/>
  <c r="G34" i="11" s="1"/>
  <c r="F34" i="11" a="1"/>
  <c r="F34" i="11" s="1"/>
  <c r="E34" i="11" a="1"/>
  <c r="E34" i="11" s="1"/>
  <c r="D34" i="11" a="1"/>
  <c r="D34" i="11" s="1"/>
  <c r="C34" i="11" a="1"/>
  <c r="C34" i="11" s="1"/>
  <c r="B34" i="11"/>
  <c r="H33" i="11" a="1"/>
  <c r="H33" i="11" s="1"/>
  <c r="G33" i="11" a="1"/>
  <c r="G33" i="11" s="1"/>
  <c r="F33" i="11" a="1"/>
  <c r="F33" i="11" s="1"/>
  <c r="E33" i="11" a="1"/>
  <c r="E33" i="11" s="1"/>
  <c r="D33" i="11" a="1"/>
  <c r="D33" i="11" s="1"/>
  <c r="C33" i="11" a="1"/>
  <c r="C33" i="11" s="1"/>
  <c r="B33" i="11"/>
  <c r="H32" i="11" a="1"/>
  <c r="H32" i="11" s="1"/>
  <c r="G32" i="11" a="1"/>
  <c r="G32" i="11" s="1"/>
  <c r="F32" i="11" a="1"/>
  <c r="F32" i="11" s="1"/>
  <c r="E32" i="11" a="1"/>
  <c r="E32" i="11" s="1"/>
  <c r="D32" i="11" a="1"/>
  <c r="D32" i="11" s="1"/>
  <c r="C32" i="11" a="1"/>
  <c r="C32" i="11" s="1"/>
  <c r="B32" i="11"/>
  <c r="H31" i="11" a="1"/>
  <c r="H31" i="11" s="1"/>
  <c r="G31" i="11" a="1"/>
  <c r="G31" i="11" s="1"/>
  <c r="F31" i="11" a="1"/>
  <c r="F31" i="11" s="1"/>
  <c r="E31" i="11" a="1"/>
  <c r="E31" i="11" s="1"/>
  <c r="D31" i="11" a="1"/>
  <c r="D31" i="11" s="1"/>
  <c r="C31" i="11" a="1"/>
  <c r="C31" i="11" s="1"/>
  <c r="B31" i="11"/>
  <c r="H30" i="11" a="1"/>
  <c r="H30" i="11" s="1"/>
  <c r="G30" i="11" a="1"/>
  <c r="G30" i="11" s="1"/>
  <c r="F30" i="11" a="1"/>
  <c r="F30" i="11" s="1"/>
  <c r="E30" i="11" a="1"/>
  <c r="E30" i="11" s="1"/>
  <c r="D30" i="11" a="1"/>
  <c r="D30" i="11" s="1"/>
  <c r="C30" i="11" a="1"/>
  <c r="C30" i="11" s="1"/>
  <c r="B30" i="11"/>
  <c r="H29" i="11" a="1"/>
  <c r="H29" i="11" s="1"/>
  <c r="G29" i="11" a="1"/>
  <c r="G29" i="11" s="1"/>
  <c r="F29" i="11" a="1"/>
  <c r="F29" i="11" s="1"/>
  <c r="E29" i="11" a="1"/>
  <c r="E29" i="11" s="1"/>
  <c r="D29" i="11" a="1"/>
  <c r="D29" i="11" s="1"/>
  <c r="C29" i="11" a="1"/>
  <c r="C29" i="11" s="1"/>
  <c r="B29" i="11"/>
  <c r="H28" i="11" a="1"/>
  <c r="H28" i="11" s="1"/>
  <c r="G28" i="11" a="1"/>
  <c r="G28" i="11" s="1"/>
  <c r="F28" i="11" a="1"/>
  <c r="F28" i="11" s="1"/>
  <c r="E28" i="11" a="1"/>
  <c r="E28" i="11" s="1"/>
  <c r="D28" i="11" a="1"/>
  <c r="D28" i="11" s="1"/>
  <c r="C28" i="11" a="1"/>
  <c r="C28" i="11" s="1"/>
  <c r="B28" i="11"/>
  <c r="H27" i="11" a="1"/>
  <c r="H27" i="11" s="1"/>
  <c r="G27" i="11" a="1"/>
  <c r="G27" i="11" s="1"/>
  <c r="F27" i="11" a="1"/>
  <c r="F27" i="11" s="1"/>
  <c r="E27" i="11" a="1"/>
  <c r="E27" i="11" s="1"/>
  <c r="D27" i="11" a="1"/>
  <c r="D27" i="11" s="1"/>
  <c r="C27" i="11" a="1"/>
  <c r="C27" i="11" s="1"/>
  <c r="B27" i="11"/>
  <c r="H26" i="11" a="1"/>
  <c r="H26" i="11" s="1"/>
  <c r="G26" i="11" a="1"/>
  <c r="G26" i="11" s="1"/>
  <c r="F26" i="11" a="1"/>
  <c r="F26" i="11" s="1"/>
  <c r="E26" i="11" a="1"/>
  <c r="E26" i="11" s="1"/>
  <c r="D26" i="11" a="1"/>
  <c r="D26" i="11" s="1"/>
  <c r="C26" i="11" a="1"/>
  <c r="C26" i="11" s="1"/>
  <c r="B26" i="11"/>
  <c r="H25" i="11" a="1"/>
  <c r="H25" i="11" s="1"/>
  <c r="G25" i="11" a="1"/>
  <c r="G25" i="11" s="1"/>
  <c r="F25" i="11" a="1"/>
  <c r="F25" i="11" s="1"/>
  <c r="E25" i="11" a="1"/>
  <c r="E25" i="11" s="1"/>
  <c r="D25" i="11" a="1"/>
  <c r="D25" i="11" s="1"/>
  <c r="C25" i="11" a="1"/>
  <c r="C25" i="11" s="1"/>
  <c r="B25" i="11"/>
  <c r="H24" i="11" a="1"/>
  <c r="H24" i="11" s="1"/>
  <c r="G24" i="11" a="1"/>
  <c r="G24" i="11" s="1"/>
  <c r="F24" i="11" a="1"/>
  <c r="F24" i="11" s="1"/>
  <c r="E24" i="11" a="1"/>
  <c r="E24" i="11" s="1"/>
  <c r="D24" i="11" a="1"/>
  <c r="D24" i="11" s="1"/>
  <c r="C24" i="11" a="1"/>
  <c r="C24" i="11" s="1"/>
  <c r="B24" i="11"/>
  <c r="H48" i="11" a="1"/>
  <c r="H48" i="11" s="1"/>
  <c r="G48" i="11" a="1"/>
  <c r="G48" i="11" s="1"/>
  <c r="F48" i="11" a="1"/>
  <c r="F48" i="11" s="1"/>
  <c r="E48" i="11" a="1"/>
  <c r="E48" i="11" s="1"/>
  <c r="D48" i="11" a="1"/>
  <c r="D48" i="11" s="1"/>
  <c r="C48" i="11" a="1"/>
  <c r="C48" i="11" s="1"/>
  <c r="B48" i="11"/>
  <c r="H47" i="11" a="1"/>
  <c r="H47" i="11" s="1"/>
  <c r="G47" i="11" a="1"/>
  <c r="G47" i="11" s="1"/>
  <c r="F47" i="11" a="1"/>
  <c r="F47" i="11" s="1"/>
  <c r="E47" i="11" a="1"/>
  <c r="E47" i="11" s="1"/>
  <c r="D47" i="11" a="1"/>
  <c r="D47" i="11" s="1"/>
  <c r="C47" i="11" a="1"/>
  <c r="C47" i="11" s="1"/>
  <c r="B47" i="11"/>
  <c r="H46" i="11" a="1"/>
  <c r="H46" i="11" s="1"/>
  <c r="G46" i="11" a="1"/>
  <c r="G46" i="11" s="1"/>
  <c r="F46" i="11" a="1"/>
  <c r="F46" i="11" s="1"/>
  <c r="E46" i="11" a="1"/>
  <c r="E46" i="11" s="1"/>
  <c r="D46" i="11" a="1"/>
  <c r="D46" i="11" s="1"/>
  <c r="C46" i="11" a="1"/>
  <c r="C46" i="11" s="1"/>
  <c r="B46" i="11"/>
  <c r="H45" i="11" a="1"/>
  <c r="H45" i="11" s="1"/>
  <c r="G45" i="11" a="1"/>
  <c r="G45" i="11" s="1"/>
  <c r="F45" i="11" a="1"/>
  <c r="F45" i="11" s="1"/>
  <c r="E45" i="11" a="1"/>
  <c r="E45" i="11" s="1"/>
  <c r="D45" i="11" a="1"/>
  <c r="D45" i="11" s="1"/>
  <c r="C45" i="11" a="1"/>
  <c r="C45" i="11" s="1"/>
  <c r="B45" i="11"/>
  <c r="H44" i="11" a="1"/>
  <c r="H44" i="11" s="1"/>
  <c r="G44" i="11" a="1"/>
  <c r="G44" i="11" s="1"/>
  <c r="F44" i="11" a="1"/>
  <c r="F44" i="11" s="1"/>
  <c r="E44" i="11" a="1"/>
  <c r="E44" i="11" s="1"/>
  <c r="D44" i="11" a="1"/>
  <c r="D44" i="11" s="1"/>
  <c r="C44" i="11" a="1"/>
  <c r="C44" i="11" s="1"/>
  <c r="B44" i="11"/>
  <c r="H43" i="11" a="1"/>
  <c r="H43" i="11" s="1"/>
  <c r="G43" i="11" a="1"/>
  <c r="G43" i="11" s="1"/>
  <c r="F43" i="11" a="1"/>
  <c r="F43" i="11" s="1"/>
  <c r="E43" i="11" a="1"/>
  <c r="E43" i="11" s="1"/>
  <c r="D43" i="11" a="1"/>
  <c r="D43" i="11" s="1"/>
  <c r="C43" i="11" a="1"/>
  <c r="C43" i="11" s="1"/>
  <c r="B43" i="11"/>
  <c r="H42" i="11" a="1"/>
  <c r="H42" i="11" s="1"/>
  <c r="G42" i="11" a="1"/>
  <c r="G42" i="11" s="1"/>
  <c r="F42" i="11" a="1"/>
  <c r="F42" i="11" s="1"/>
  <c r="E42" i="11" a="1"/>
  <c r="E42" i="11" s="1"/>
  <c r="D42" i="11" a="1"/>
  <c r="D42" i="11" s="1"/>
  <c r="C42" i="11" a="1"/>
  <c r="C42" i="11" s="1"/>
  <c r="B42" i="11"/>
  <c r="H41" i="11" a="1"/>
  <c r="H41" i="11" s="1"/>
  <c r="G41" i="11" a="1"/>
  <c r="G41" i="11" s="1"/>
  <c r="F41" i="11" a="1"/>
  <c r="F41" i="11" s="1"/>
  <c r="E41" i="11" a="1"/>
  <c r="E41" i="11" s="1"/>
  <c r="D41" i="11" a="1"/>
  <c r="D41" i="11" s="1"/>
  <c r="C41" i="11" a="1"/>
  <c r="C41" i="11" s="1"/>
  <c r="B41" i="11"/>
  <c r="H40" i="11" a="1"/>
  <c r="H40" i="11" s="1"/>
  <c r="G40" i="11" a="1"/>
  <c r="G40" i="11" s="1"/>
  <c r="F40" i="11" a="1"/>
  <c r="F40" i="11" s="1"/>
  <c r="E40" i="11" a="1"/>
  <c r="E40" i="11" s="1"/>
  <c r="D40" i="11" a="1"/>
  <c r="D40" i="11" s="1"/>
  <c r="C40" i="11" a="1"/>
  <c r="C40" i="11" s="1"/>
  <c r="B40" i="11"/>
  <c r="H39" i="11" a="1"/>
  <c r="H39" i="11" s="1"/>
  <c r="G39" i="11" a="1"/>
  <c r="G39" i="11" s="1"/>
  <c r="F39" i="11" a="1"/>
  <c r="F39" i="11" s="1"/>
  <c r="E39" i="11" a="1"/>
  <c r="E39" i="11" s="1"/>
  <c r="D39" i="11" a="1"/>
  <c r="D39" i="11" s="1"/>
  <c r="C39" i="11" a="1"/>
  <c r="C39" i="11" s="1"/>
  <c r="B39" i="11"/>
  <c r="H38" i="11" a="1"/>
  <c r="H38" i="11" s="1"/>
  <c r="G38" i="11" a="1"/>
  <c r="G38" i="11" s="1"/>
  <c r="F38" i="11" a="1"/>
  <c r="F38" i="11" s="1"/>
  <c r="E38" i="11" a="1"/>
  <c r="E38" i="11" s="1"/>
  <c r="D38" i="11" a="1"/>
  <c r="D38" i="11" s="1"/>
  <c r="C38" i="11" a="1"/>
  <c r="C38" i="11" s="1"/>
  <c r="B38" i="11"/>
  <c r="H37" i="11" a="1"/>
  <c r="H37" i="11" s="1"/>
  <c r="G37" i="11" a="1"/>
  <c r="G37" i="11" s="1"/>
  <c r="F37" i="11" a="1"/>
  <c r="F37" i="11" s="1"/>
  <c r="E37" i="11" a="1"/>
  <c r="E37" i="11" s="1"/>
  <c r="D37" i="11" a="1"/>
  <c r="D37" i="11" s="1"/>
  <c r="C37" i="11" a="1"/>
  <c r="C37" i="11" s="1"/>
  <c r="B37" i="11"/>
  <c r="H61" i="11" a="1"/>
  <c r="H61" i="11" s="1"/>
  <c r="G61" i="11" a="1"/>
  <c r="G61" i="11" s="1"/>
  <c r="F61" i="11" a="1"/>
  <c r="F61" i="11" s="1"/>
  <c r="E61" i="11" a="1"/>
  <c r="E61" i="11" s="1"/>
  <c r="D61" i="11" a="1"/>
  <c r="D61" i="11" s="1"/>
  <c r="C61" i="11" a="1"/>
  <c r="C61" i="11" s="1"/>
  <c r="B61" i="11"/>
  <c r="H60" i="11" a="1"/>
  <c r="H60" i="11" s="1"/>
  <c r="G60" i="11" a="1"/>
  <c r="G60" i="11" s="1"/>
  <c r="F60" i="11" a="1"/>
  <c r="F60" i="11" s="1"/>
  <c r="E60" i="11" a="1"/>
  <c r="E60" i="11" s="1"/>
  <c r="D60" i="11" a="1"/>
  <c r="D60" i="11" s="1"/>
  <c r="C60" i="11" a="1"/>
  <c r="C60" i="11" s="1"/>
  <c r="B60" i="11"/>
  <c r="H59" i="11" a="1"/>
  <c r="H59" i="11" s="1"/>
  <c r="G59" i="11" a="1"/>
  <c r="G59" i="11" s="1"/>
  <c r="F59" i="11" a="1"/>
  <c r="F59" i="11" s="1"/>
  <c r="E59" i="11" a="1"/>
  <c r="E59" i="11" s="1"/>
  <c r="D59" i="11" a="1"/>
  <c r="D59" i="11" s="1"/>
  <c r="C59" i="11" a="1"/>
  <c r="C59" i="11" s="1"/>
  <c r="B59" i="11"/>
  <c r="H58" i="11" a="1"/>
  <c r="H58" i="11" s="1"/>
  <c r="G58" i="11" a="1"/>
  <c r="G58" i="11" s="1"/>
  <c r="F58" i="11" a="1"/>
  <c r="F58" i="11" s="1"/>
  <c r="E58" i="11" a="1"/>
  <c r="E58" i="11" s="1"/>
  <c r="D58" i="11" a="1"/>
  <c r="D58" i="11" s="1"/>
  <c r="C58" i="11" a="1"/>
  <c r="C58" i="11" s="1"/>
  <c r="B58" i="11"/>
  <c r="H57" i="11" a="1"/>
  <c r="H57" i="11" s="1"/>
  <c r="G57" i="11" a="1"/>
  <c r="G57" i="11" s="1"/>
  <c r="F57" i="11" a="1"/>
  <c r="F57" i="11" s="1"/>
  <c r="E57" i="11" a="1"/>
  <c r="E57" i="11" s="1"/>
  <c r="D57" i="11" a="1"/>
  <c r="D57" i="11" s="1"/>
  <c r="C57" i="11" a="1"/>
  <c r="C57" i="11" s="1"/>
  <c r="B57" i="11"/>
  <c r="H56" i="11" a="1"/>
  <c r="H56" i="11" s="1"/>
  <c r="G56" i="11" a="1"/>
  <c r="G56" i="11" s="1"/>
  <c r="F56" i="11" a="1"/>
  <c r="F56" i="11" s="1"/>
  <c r="E56" i="11" a="1"/>
  <c r="E56" i="11" s="1"/>
  <c r="D56" i="11" a="1"/>
  <c r="D56" i="11" s="1"/>
  <c r="C56" i="11" a="1"/>
  <c r="C56" i="11" s="1"/>
  <c r="B56" i="11"/>
  <c r="H55" i="11" a="1"/>
  <c r="H55" i="11" s="1"/>
  <c r="G55" i="11" a="1"/>
  <c r="G55" i="11" s="1"/>
  <c r="F55" i="11" a="1"/>
  <c r="F55" i="11" s="1"/>
  <c r="E55" i="11" a="1"/>
  <c r="E55" i="11" s="1"/>
  <c r="D55" i="11" a="1"/>
  <c r="D55" i="11" s="1"/>
  <c r="C55" i="11" a="1"/>
  <c r="C55" i="11" s="1"/>
  <c r="B55" i="11"/>
  <c r="H54" i="11" a="1"/>
  <c r="H54" i="11" s="1"/>
  <c r="G54" i="11" a="1"/>
  <c r="G54" i="11" s="1"/>
  <c r="F54" i="11" a="1"/>
  <c r="F54" i="11" s="1"/>
  <c r="E54" i="11" a="1"/>
  <c r="E54" i="11" s="1"/>
  <c r="D54" i="11" a="1"/>
  <c r="D54" i="11" s="1"/>
  <c r="C54" i="11" a="1"/>
  <c r="C54" i="11" s="1"/>
  <c r="B54" i="11"/>
  <c r="H53" i="11" a="1"/>
  <c r="H53" i="11" s="1"/>
  <c r="G53" i="11" a="1"/>
  <c r="G53" i="11" s="1"/>
  <c r="F53" i="11" a="1"/>
  <c r="F53" i="11" s="1"/>
  <c r="E53" i="11" a="1"/>
  <c r="E53" i="11" s="1"/>
  <c r="D53" i="11" a="1"/>
  <c r="D53" i="11" s="1"/>
  <c r="C53" i="11" a="1"/>
  <c r="C53" i="11" s="1"/>
  <c r="B53" i="11"/>
  <c r="H52" i="11" a="1"/>
  <c r="H52" i="11" s="1"/>
  <c r="G52" i="11" a="1"/>
  <c r="G52" i="11" s="1"/>
  <c r="F52" i="11" a="1"/>
  <c r="F52" i="11" s="1"/>
  <c r="E52" i="11" a="1"/>
  <c r="E52" i="11" s="1"/>
  <c r="D52" i="11" a="1"/>
  <c r="D52" i="11" s="1"/>
  <c r="C52" i="11" a="1"/>
  <c r="C52" i="11" s="1"/>
  <c r="B52" i="11"/>
  <c r="H51" i="11" a="1"/>
  <c r="H51" i="11" s="1"/>
  <c r="G51" i="11" a="1"/>
  <c r="G51" i="11" s="1"/>
  <c r="F51" i="11" a="1"/>
  <c r="F51" i="11" s="1"/>
  <c r="E51" i="11" a="1"/>
  <c r="E51" i="11" s="1"/>
  <c r="D51" i="11" a="1"/>
  <c r="D51" i="11" s="1"/>
  <c r="C51" i="11" a="1"/>
  <c r="C51" i="11" s="1"/>
  <c r="B51" i="11"/>
  <c r="H50" i="11" a="1"/>
  <c r="H50" i="11" s="1"/>
  <c r="G50" i="11" a="1"/>
  <c r="G50" i="11" s="1"/>
  <c r="F50" i="11" a="1"/>
  <c r="F50" i="11" s="1"/>
  <c r="E50" i="11" a="1"/>
  <c r="E50" i="11" s="1"/>
  <c r="D50" i="11" a="1"/>
  <c r="D50" i="11" s="1"/>
  <c r="C50" i="11" a="1"/>
  <c r="C50" i="11" s="1"/>
  <c r="B50" i="11"/>
  <c r="H22" i="9" a="1"/>
  <c r="H22" i="9" s="1"/>
  <c r="G22" i="9" a="1"/>
  <c r="G22" i="9" s="1"/>
  <c r="F22" i="9" a="1"/>
  <c r="F22" i="9" s="1"/>
  <c r="E22" i="9" a="1"/>
  <c r="E22" i="9" s="1"/>
  <c r="D22" i="9" a="1"/>
  <c r="D22" i="9" s="1"/>
  <c r="C22" i="9" a="1"/>
  <c r="C22" i="9" s="1"/>
  <c r="B22" i="9"/>
  <c r="H21" i="9" a="1"/>
  <c r="H21" i="9" s="1"/>
  <c r="G21" i="9" a="1"/>
  <c r="G21" i="9" s="1"/>
  <c r="F21" i="9" a="1"/>
  <c r="F21" i="9" s="1"/>
  <c r="E21" i="9" a="1"/>
  <c r="E21" i="9" s="1"/>
  <c r="D21" i="9" a="1"/>
  <c r="D21" i="9" s="1"/>
  <c r="C21" i="9" a="1"/>
  <c r="C21" i="9" s="1"/>
  <c r="B21" i="9"/>
  <c r="H20" i="9" a="1"/>
  <c r="H20" i="9" s="1"/>
  <c r="G20" i="9" a="1"/>
  <c r="G20" i="9" s="1"/>
  <c r="F20" i="9" a="1"/>
  <c r="F20" i="9" s="1"/>
  <c r="E20" i="9" a="1"/>
  <c r="E20" i="9" s="1"/>
  <c r="D20" i="9" a="1"/>
  <c r="D20" i="9" s="1"/>
  <c r="C20" i="9" a="1"/>
  <c r="C20" i="9" s="1"/>
  <c r="B20" i="9"/>
  <c r="H19" i="9" a="1"/>
  <c r="H19" i="9" s="1"/>
  <c r="G19" i="9" a="1"/>
  <c r="G19" i="9" s="1"/>
  <c r="F19" i="9" a="1"/>
  <c r="F19" i="9" s="1"/>
  <c r="E19" i="9" a="1"/>
  <c r="E19" i="9" s="1"/>
  <c r="D19" i="9" a="1"/>
  <c r="D19" i="9" s="1"/>
  <c r="C19" i="9" a="1"/>
  <c r="C19" i="9" s="1"/>
  <c r="B19" i="9"/>
  <c r="H18" i="9" a="1"/>
  <c r="H18" i="9" s="1"/>
  <c r="G18" i="9" a="1"/>
  <c r="G18" i="9" s="1"/>
  <c r="F18" i="9" a="1"/>
  <c r="F18" i="9" s="1"/>
  <c r="E18" i="9" a="1"/>
  <c r="E18" i="9" s="1"/>
  <c r="D18" i="9" a="1"/>
  <c r="D18" i="9" s="1"/>
  <c r="C18" i="9" a="1"/>
  <c r="C18" i="9" s="1"/>
  <c r="B18" i="9"/>
  <c r="H17" i="9" a="1"/>
  <c r="H17" i="9" s="1"/>
  <c r="G17" i="9" a="1"/>
  <c r="G17" i="9" s="1"/>
  <c r="F17" i="9" a="1"/>
  <c r="F17" i="9" s="1"/>
  <c r="E17" i="9" a="1"/>
  <c r="E17" i="9" s="1"/>
  <c r="D17" i="9" a="1"/>
  <c r="D17" i="9" s="1"/>
  <c r="C17" i="9" a="1"/>
  <c r="C17" i="9" s="1"/>
  <c r="B17" i="9"/>
  <c r="H16" i="9" a="1"/>
  <c r="H16" i="9" s="1"/>
  <c r="G16" i="9" a="1"/>
  <c r="G16" i="9" s="1"/>
  <c r="F16" i="9" a="1"/>
  <c r="F16" i="9" s="1"/>
  <c r="E16" i="9" a="1"/>
  <c r="E16" i="9" s="1"/>
  <c r="D16" i="9" a="1"/>
  <c r="D16" i="9" s="1"/>
  <c r="C16" i="9" a="1"/>
  <c r="C16" i="9" s="1"/>
  <c r="B16" i="9"/>
  <c r="H15" i="9" a="1"/>
  <c r="H15" i="9" s="1"/>
  <c r="G15" i="9" a="1"/>
  <c r="G15" i="9" s="1"/>
  <c r="F15" i="9" a="1"/>
  <c r="F15" i="9" s="1"/>
  <c r="E15" i="9" a="1"/>
  <c r="E15" i="9" s="1"/>
  <c r="D15" i="9" a="1"/>
  <c r="D15" i="9" s="1"/>
  <c r="C15" i="9" a="1"/>
  <c r="C15" i="9" s="1"/>
  <c r="B15" i="9"/>
  <c r="H14" i="9" a="1"/>
  <c r="H14" i="9" s="1"/>
  <c r="G14" i="9" a="1"/>
  <c r="G14" i="9" s="1"/>
  <c r="F14" i="9" a="1"/>
  <c r="F14" i="9" s="1"/>
  <c r="E14" i="9" a="1"/>
  <c r="E14" i="9" s="1"/>
  <c r="D14" i="9" a="1"/>
  <c r="D14" i="9" s="1"/>
  <c r="C14" i="9" a="1"/>
  <c r="C14" i="9" s="1"/>
  <c r="B14" i="9"/>
  <c r="H13" i="9" a="1"/>
  <c r="H13" i="9" s="1"/>
  <c r="G13" i="9" a="1"/>
  <c r="G13" i="9" s="1"/>
  <c r="F13" i="9" a="1"/>
  <c r="F13" i="9" s="1"/>
  <c r="E13" i="9" a="1"/>
  <c r="E13" i="9" s="1"/>
  <c r="D13" i="9" a="1"/>
  <c r="D13" i="9" s="1"/>
  <c r="C13" i="9" a="1"/>
  <c r="C13" i="9" s="1"/>
  <c r="B13" i="9"/>
  <c r="H12" i="9" a="1"/>
  <c r="H12" i="9" s="1"/>
  <c r="G12" i="9" a="1"/>
  <c r="G12" i="9" s="1"/>
  <c r="F12" i="9" a="1"/>
  <c r="F12" i="9" s="1"/>
  <c r="E12" i="9" a="1"/>
  <c r="E12" i="9" s="1"/>
  <c r="D12" i="9" a="1"/>
  <c r="D12" i="9" s="1"/>
  <c r="C12" i="9" a="1"/>
  <c r="C12" i="9" s="1"/>
  <c r="B12" i="9"/>
  <c r="H11" i="9" a="1"/>
  <c r="H11" i="9" s="1"/>
  <c r="G11" i="9" a="1"/>
  <c r="G11" i="9" s="1"/>
  <c r="F11" i="9" a="1"/>
  <c r="F11" i="9" s="1"/>
  <c r="E11" i="9" a="1"/>
  <c r="E11" i="9" s="1"/>
  <c r="C11" i="9" a="1"/>
  <c r="C11" i="9" s="1"/>
  <c r="B11" i="9"/>
  <c r="H35" i="9" a="1"/>
  <c r="H35" i="9" s="1"/>
  <c r="G35" i="9" a="1"/>
  <c r="G35" i="9" s="1"/>
  <c r="F35" i="9" a="1"/>
  <c r="F35" i="9" s="1"/>
  <c r="E35" i="9" a="1"/>
  <c r="E35" i="9" s="1"/>
  <c r="D35" i="9" a="1"/>
  <c r="D35" i="9" s="1"/>
  <c r="C35" i="9" a="1"/>
  <c r="C35" i="9" s="1"/>
  <c r="B35" i="9"/>
  <c r="H34" i="9" a="1"/>
  <c r="H34" i="9" s="1"/>
  <c r="G34" i="9" a="1"/>
  <c r="G34" i="9" s="1"/>
  <c r="F34" i="9" a="1"/>
  <c r="F34" i="9" s="1"/>
  <c r="E34" i="9" a="1"/>
  <c r="E34" i="9" s="1"/>
  <c r="D34" i="9" a="1"/>
  <c r="D34" i="9" s="1"/>
  <c r="C34" i="9" a="1"/>
  <c r="C34" i="9" s="1"/>
  <c r="B34" i="9"/>
  <c r="H33" i="9" a="1"/>
  <c r="H33" i="9" s="1"/>
  <c r="G33" i="9" a="1"/>
  <c r="G33" i="9" s="1"/>
  <c r="F33" i="9" a="1"/>
  <c r="F33" i="9" s="1"/>
  <c r="E33" i="9" a="1"/>
  <c r="E33" i="9" s="1"/>
  <c r="D33" i="9" a="1"/>
  <c r="D33" i="9" s="1"/>
  <c r="C33" i="9" a="1"/>
  <c r="C33" i="9" s="1"/>
  <c r="B33" i="9"/>
  <c r="H32" i="9" a="1"/>
  <c r="H32" i="9" s="1"/>
  <c r="G32" i="9" a="1"/>
  <c r="G32" i="9" s="1"/>
  <c r="F32" i="9" a="1"/>
  <c r="F32" i="9" s="1"/>
  <c r="E32" i="9" a="1"/>
  <c r="E32" i="9" s="1"/>
  <c r="D32" i="9" a="1"/>
  <c r="D32" i="9" s="1"/>
  <c r="C32" i="9" a="1"/>
  <c r="C32" i="9" s="1"/>
  <c r="B32" i="9"/>
  <c r="H31" i="9" a="1"/>
  <c r="H31" i="9" s="1"/>
  <c r="G31" i="9" a="1"/>
  <c r="G31" i="9" s="1"/>
  <c r="F31" i="9" a="1"/>
  <c r="F31" i="9" s="1"/>
  <c r="E31" i="9" a="1"/>
  <c r="E31" i="9" s="1"/>
  <c r="D31" i="9" a="1"/>
  <c r="D31" i="9" s="1"/>
  <c r="C31" i="9" a="1"/>
  <c r="C31" i="9" s="1"/>
  <c r="B31" i="9"/>
  <c r="H30" i="9" a="1"/>
  <c r="H30" i="9" s="1"/>
  <c r="G30" i="9" a="1"/>
  <c r="G30" i="9" s="1"/>
  <c r="F30" i="9" a="1"/>
  <c r="F30" i="9" s="1"/>
  <c r="E30" i="9" a="1"/>
  <c r="E30" i="9" s="1"/>
  <c r="D30" i="9" a="1"/>
  <c r="D30" i="9" s="1"/>
  <c r="C30" i="9" a="1"/>
  <c r="C30" i="9" s="1"/>
  <c r="B30" i="9"/>
  <c r="H29" i="9" a="1"/>
  <c r="H29" i="9" s="1"/>
  <c r="G29" i="9" a="1"/>
  <c r="G29" i="9" s="1"/>
  <c r="F29" i="9" a="1"/>
  <c r="F29" i="9" s="1"/>
  <c r="E29" i="9" a="1"/>
  <c r="E29" i="9" s="1"/>
  <c r="D29" i="9" a="1"/>
  <c r="D29" i="9" s="1"/>
  <c r="C29" i="9" a="1"/>
  <c r="C29" i="9" s="1"/>
  <c r="B29" i="9"/>
  <c r="H28" i="9" a="1"/>
  <c r="H28" i="9" s="1"/>
  <c r="G28" i="9" a="1"/>
  <c r="G28" i="9" s="1"/>
  <c r="F28" i="9" a="1"/>
  <c r="F28" i="9" s="1"/>
  <c r="E28" i="9" a="1"/>
  <c r="E28" i="9" s="1"/>
  <c r="D28" i="9" a="1"/>
  <c r="D28" i="9" s="1"/>
  <c r="C28" i="9" a="1"/>
  <c r="C28" i="9" s="1"/>
  <c r="B28" i="9"/>
  <c r="H27" i="9" a="1"/>
  <c r="H27" i="9" s="1"/>
  <c r="G27" i="9" a="1"/>
  <c r="G27" i="9" s="1"/>
  <c r="F27" i="9" a="1"/>
  <c r="F27" i="9" s="1"/>
  <c r="E27" i="9" a="1"/>
  <c r="E27" i="9" s="1"/>
  <c r="D27" i="9" a="1"/>
  <c r="D27" i="9" s="1"/>
  <c r="C27" i="9" a="1"/>
  <c r="C27" i="9" s="1"/>
  <c r="B27" i="9"/>
  <c r="H26" i="9" a="1"/>
  <c r="H26" i="9" s="1"/>
  <c r="G26" i="9" a="1"/>
  <c r="G26" i="9" s="1"/>
  <c r="F26" i="9" a="1"/>
  <c r="F26" i="9" s="1"/>
  <c r="E26" i="9" a="1"/>
  <c r="E26" i="9" s="1"/>
  <c r="D26" i="9" a="1"/>
  <c r="D26" i="9" s="1"/>
  <c r="C26" i="9" a="1"/>
  <c r="C26" i="9" s="1"/>
  <c r="B26" i="9"/>
  <c r="H25" i="9" a="1"/>
  <c r="H25" i="9" s="1"/>
  <c r="G25" i="9" a="1"/>
  <c r="G25" i="9" s="1"/>
  <c r="F25" i="9" a="1"/>
  <c r="F25" i="9" s="1"/>
  <c r="E25" i="9" a="1"/>
  <c r="E25" i="9" s="1"/>
  <c r="D25" i="9" a="1"/>
  <c r="D25" i="9" s="1"/>
  <c r="C25" i="9" a="1"/>
  <c r="C25" i="9" s="1"/>
  <c r="B25" i="9"/>
  <c r="H24" i="9" a="1"/>
  <c r="H24" i="9" s="1"/>
  <c r="G24" i="9" a="1"/>
  <c r="G24" i="9" s="1"/>
  <c r="F24" i="9" a="1"/>
  <c r="F24" i="9" s="1"/>
  <c r="E24" i="9" a="1"/>
  <c r="E24" i="9" s="1"/>
  <c r="D24" i="9" a="1"/>
  <c r="D24" i="9" s="1"/>
  <c r="C24" i="9" a="1"/>
  <c r="C24" i="9" s="1"/>
  <c r="B24" i="9"/>
  <c r="H48" i="9" a="1"/>
  <c r="H48" i="9" s="1"/>
  <c r="G48" i="9" a="1"/>
  <c r="G48" i="9" s="1"/>
  <c r="F48" i="9" a="1"/>
  <c r="F48" i="9" s="1"/>
  <c r="E48" i="9" a="1"/>
  <c r="E48" i="9" s="1"/>
  <c r="D48" i="9" a="1"/>
  <c r="D48" i="9" s="1"/>
  <c r="C48" i="9" a="1"/>
  <c r="C48" i="9" s="1"/>
  <c r="B48" i="9"/>
  <c r="H47" i="9" a="1"/>
  <c r="H47" i="9" s="1"/>
  <c r="G47" i="9" a="1"/>
  <c r="G47" i="9" s="1"/>
  <c r="F47" i="9" a="1"/>
  <c r="F47" i="9" s="1"/>
  <c r="E47" i="9" a="1"/>
  <c r="E47" i="9" s="1"/>
  <c r="D47" i="9" a="1"/>
  <c r="D47" i="9" s="1"/>
  <c r="C47" i="9" a="1"/>
  <c r="C47" i="9" s="1"/>
  <c r="B47" i="9"/>
  <c r="H46" i="9" a="1"/>
  <c r="H46" i="9" s="1"/>
  <c r="G46" i="9" a="1"/>
  <c r="G46" i="9" s="1"/>
  <c r="F46" i="9" a="1"/>
  <c r="F46" i="9" s="1"/>
  <c r="E46" i="9" a="1"/>
  <c r="E46" i="9" s="1"/>
  <c r="D46" i="9" a="1"/>
  <c r="D46" i="9" s="1"/>
  <c r="C46" i="9" a="1"/>
  <c r="C46" i="9" s="1"/>
  <c r="B46" i="9"/>
  <c r="H45" i="9" a="1"/>
  <c r="H45" i="9" s="1"/>
  <c r="G45" i="9" a="1"/>
  <c r="G45" i="9" s="1"/>
  <c r="F45" i="9" a="1"/>
  <c r="F45" i="9" s="1"/>
  <c r="E45" i="9" a="1"/>
  <c r="E45" i="9" s="1"/>
  <c r="D45" i="9" a="1"/>
  <c r="D45" i="9" s="1"/>
  <c r="C45" i="9" a="1"/>
  <c r="C45" i="9" s="1"/>
  <c r="B45" i="9"/>
  <c r="H44" i="9" a="1"/>
  <c r="H44" i="9" s="1"/>
  <c r="G44" i="9" a="1"/>
  <c r="G44" i="9" s="1"/>
  <c r="F44" i="9" a="1"/>
  <c r="F44" i="9" s="1"/>
  <c r="E44" i="9" a="1"/>
  <c r="E44" i="9" s="1"/>
  <c r="D44" i="9" a="1"/>
  <c r="D44" i="9" s="1"/>
  <c r="C44" i="9" a="1"/>
  <c r="C44" i="9" s="1"/>
  <c r="B44" i="9"/>
  <c r="H43" i="9" a="1"/>
  <c r="H43" i="9" s="1"/>
  <c r="G43" i="9" a="1"/>
  <c r="G43" i="9" s="1"/>
  <c r="F43" i="9" a="1"/>
  <c r="F43" i="9" s="1"/>
  <c r="E43" i="9" a="1"/>
  <c r="E43" i="9" s="1"/>
  <c r="D43" i="9" a="1"/>
  <c r="D43" i="9" s="1"/>
  <c r="C43" i="9" a="1"/>
  <c r="C43" i="9" s="1"/>
  <c r="B43" i="9"/>
  <c r="H42" i="9" a="1"/>
  <c r="H42" i="9" s="1"/>
  <c r="G42" i="9" a="1"/>
  <c r="G42" i="9" s="1"/>
  <c r="F42" i="9" a="1"/>
  <c r="F42" i="9" s="1"/>
  <c r="E42" i="9" a="1"/>
  <c r="E42" i="9" s="1"/>
  <c r="D42" i="9" a="1"/>
  <c r="D42" i="9" s="1"/>
  <c r="C42" i="9" a="1"/>
  <c r="C42" i="9" s="1"/>
  <c r="B42" i="9"/>
  <c r="H41" i="9" a="1"/>
  <c r="H41" i="9" s="1"/>
  <c r="G41" i="9" a="1"/>
  <c r="G41" i="9" s="1"/>
  <c r="F41" i="9" a="1"/>
  <c r="F41" i="9" s="1"/>
  <c r="E41" i="9" a="1"/>
  <c r="E41" i="9" s="1"/>
  <c r="D41" i="9" a="1"/>
  <c r="D41" i="9" s="1"/>
  <c r="C41" i="9" a="1"/>
  <c r="C41" i="9" s="1"/>
  <c r="B41" i="9"/>
  <c r="H40" i="9" a="1"/>
  <c r="H40" i="9" s="1"/>
  <c r="G40" i="9" a="1"/>
  <c r="G40" i="9" s="1"/>
  <c r="F40" i="9" a="1"/>
  <c r="F40" i="9" s="1"/>
  <c r="E40" i="9" a="1"/>
  <c r="E40" i="9" s="1"/>
  <c r="D40" i="9" a="1"/>
  <c r="D40" i="9" s="1"/>
  <c r="C40" i="9" a="1"/>
  <c r="C40" i="9" s="1"/>
  <c r="B40" i="9"/>
  <c r="H39" i="9" a="1"/>
  <c r="H39" i="9" s="1"/>
  <c r="G39" i="9" a="1"/>
  <c r="G39" i="9" s="1"/>
  <c r="F39" i="9" a="1"/>
  <c r="F39" i="9" s="1"/>
  <c r="E39" i="9" a="1"/>
  <c r="E39" i="9" s="1"/>
  <c r="D39" i="9" a="1"/>
  <c r="D39" i="9" s="1"/>
  <c r="C39" i="9" a="1"/>
  <c r="C39" i="9" s="1"/>
  <c r="B39" i="9"/>
  <c r="H38" i="9" a="1"/>
  <c r="H38" i="9" s="1"/>
  <c r="G38" i="9" a="1"/>
  <c r="G38" i="9" s="1"/>
  <c r="F38" i="9" a="1"/>
  <c r="F38" i="9" s="1"/>
  <c r="E38" i="9" a="1"/>
  <c r="E38" i="9" s="1"/>
  <c r="D38" i="9" a="1"/>
  <c r="D38" i="9" s="1"/>
  <c r="C38" i="9" a="1"/>
  <c r="C38" i="9" s="1"/>
  <c r="B38" i="9"/>
  <c r="H37" i="9" a="1"/>
  <c r="H37" i="9" s="1"/>
  <c r="G37" i="9" a="1"/>
  <c r="G37" i="9" s="1"/>
  <c r="F37" i="9" a="1"/>
  <c r="F37" i="9" s="1"/>
  <c r="E37" i="9" a="1"/>
  <c r="E37" i="9" s="1"/>
  <c r="D37" i="9" a="1"/>
  <c r="D37" i="9" s="1"/>
  <c r="C37" i="9" a="1"/>
  <c r="C37" i="9" s="1"/>
  <c r="B37" i="9"/>
  <c r="H61" i="9" a="1"/>
  <c r="H61" i="9" s="1"/>
  <c r="G61" i="9" a="1"/>
  <c r="G61" i="9" s="1"/>
  <c r="F61" i="9" a="1"/>
  <c r="F61" i="9" s="1"/>
  <c r="E61" i="9" a="1"/>
  <c r="E61" i="9" s="1"/>
  <c r="D61" i="9" a="1"/>
  <c r="D61" i="9" s="1"/>
  <c r="C61" i="9" a="1"/>
  <c r="C61" i="9" s="1"/>
  <c r="B61" i="9"/>
  <c r="H60" i="9" a="1"/>
  <c r="H60" i="9" s="1"/>
  <c r="G60" i="9" a="1"/>
  <c r="G60" i="9" s="1"/>
  <c r="F60" i="9" a="1"/>
  <c r="F60" i="9" s="1"/>
  <c r="E60" i="9" a="1"/>
  <c r="E60" i="9" s="1"/>
  <c r="D60" i="9" a="1"/>
  <c r="D60" i="9" s="1"/>
  <c r="C60" i="9" a="1"/>
  <c r="C60" i="9" s="1"/>
  <c r="B60" i="9"/>
  <c r="H59" i="9" a="1"/>
  <c r="H59" i="9" s="1"/>
  <c r="G59" i="9" a="1"/>
  <c r="G59" i="9" s="1"/>
  <c r="F59" i="9" a="1"/>
  <c r="F59" i="9" s="1"/>
  <c r="E59" i="9" a="1"/>
  <c r="E59" i="9" s="1"/>
  <c r="D59" i="9" a="1"/>
  <c r="D59" i="9" s="1"/>
  <c r="C59" i="9" a="1"/>
  <c r="C59" i="9" s="1"/>
  <c r="B59" i="9"/>
  <c r="H58" i="9" a="1"/>
  <c r="H58" i="9" s="1"/>
  <c r="G58" i="9" a="1"/>
  <c r="G58" i="9" s="1"/>
  <c r="F58" i="9" a="1"/>
  <c r="F58" i="9" s="1"/>
  <c r="E58" i="9" a="1"/>
  <c r="E58" i="9" s="1"/>
  <c r="D58" i="9" a="1"/>
  <c r="D58" i="9" s="1"/>
  <c r="C58" i="9" a="1"/>
  <c r="C58" i="9" s="1"/>
  <c r="B58" i="9"/>
  <c r="H57" i="9" a="1"/>
  <c r="H57" i="9" s="1"/>
  <c r="G57" i="9" a="1"/>
  <c r="G57" i="9" s="1"/>
  <c r="F57" i="9" a="1"/>
  <c r="F57" i="9" s="1"/>
  <c r="E57" i="9" a="1"/>
  <c r="E57" i="9" s="1"/>
  <c r="D57" i="9" a="1"/>
  <c r="D57" i="9" s="1"/>
  <c r="C57" i="9" a="1"/>
  <c r="C57" i="9" s="1"/>
  <c r="B57" i="9"/>
  <c r="H56" i="9" a="1"/>
  <c r="H56" i="9" s="1"/>
  <c r="G56" i="9" a="1"/>
  <c r="G56" i="9" s="1"/>
  <c r="F56" i="9" a="1"/>
  <c r="F56" i="9" s="1"/>
  <c r="E56" i="9" a="1"/>
  <c r="E56" i="9" s="1"/>
  <c r="D56" i="9" a="1"/>
  <c r="D56" i="9" s="1"/>
  <c r="C56" i="9" a="1"/>
  <c r="C56" i="9" s="1"/>
  <c r="B56" i="9"/>
  <c r="H55" i="9" a="1"/>
  <c r="H55" i="9" s="1"/>
  <c r="G55" i="9" a="1"/>
  <c r="G55" i="9" s="1"/>
  <c r="F55" i="9" a="1"/>
  <c r="F55" i="9" s="1"/>
  <c r="E55" i="9" a="1"/>
  <c r="E55" i="9" s="1"/>
  <c r="D55" i="9" a="1"/>
  <c r="D55" i="9" s="1"/>
  <c r="C55" i="9" a="1"/>
  <c r="C55" i="9" s="1"/>
  <c r="B55" i="9"/>
  <c r="H54" i="9" a="1"/>
  <c r="H54" i="9" s="1"/>
  <c r="G54" i="9" a="1"/>
  <c r="G54" i="9" s="1"/>
  <c r="F54" i="9" a="1"/>
  <c r="F54" i="9" s="1"/>
  <c r="E54" i="9" a="1"/>
  <c r="E54" i="9" s="1"/>
  <c r="D54" i="9" a="1"/>
  <c r="D54" i="9" s="1"/>
  <c r="C54" i="9" a="1"/>
  <c r="C54" i="9" s="1"/>
  <c r="B54" i="9"/>
  <c r="H53" i="9" a="1"/>
  <c r="H53" i="9" s="1"/>
  <c r="G53" i="9" a="1"/>
  <c r="G53" i="9" s="1"/>
  <c r="F53" i="9" a="1"/>
  <c r="F53" i="9" s="1"/>
  <c r="E53" i="9" a="1"/>
  <c r="E53" i="9" s="1"/>
  <c r="D53" i="9" a="1"/>
  <c r="D53" i="9" s="1"/>
  <c r="C53" i="9" a="1"/>
  <c r="C53" i="9" s="1"/>
  <c r="B53" i="9"/>
  <c r="H52" i="9" a="1"/>
  <c r="H52" i="9" s="1"/>
  <c r="G52" i="9" a="1"/>
  <c r="G52" i="9" s="1"/>
  <c r="F52" i="9" a="1"/>
  <c r="F52" i="9" s="1"/>
  <c r="E52" i="9" a="1"/>
  <c r="E52" i="9" s="1"/>
  <c r="D52" i="9" a="1"/>
  <c r="D52" i="9" s="1"/>
  <c r="C52" i="9" a="1"/>
  <c r="C52" i="9" s="1"/>
  <c r="B52" i="9"/>
  <c r="H51" i="9" a="1"/>
  <c r="H51" i="9" s="1"/>
  <c r="G51" i="9" a="1"/>
  <c r="G51" i="9" s="1"/>
  <c r="F51" i="9" a="1"/>
  <c r="F51" i="9" s="1"/>
  <c r="E51" i="9" a="1"/>
  <c r="E51" i="9" s="1"/>
  <c r="D51" i="9" a="1"/>
  <c r="D51" i="9" s="1"/>
  <c r="C51" i="9" a="1"/>
  <c r="C51" i="9" s="1"/>
  <c r="B51" i="9"/>
  <c r="H50" i="9" a="1"/>
  <c r="H50" i="9" s="1"/>
  <c r="G50" i="9" a="1"/>
  <c r="G50" i="9" s="1"/>
  <c r="F50" i="9" a="1"/>
  <c r="F50" i="9" s="1"/>
  <c r="E50" i="9" a="1"/>
  <c r="E50" i="9" s="1"/>
  <c r="C50" i="9" a="1"/>
  <c r="C50" i="9" s="1"/>
  <c r="B50" i="9"/>
  <c r="D50" i="9" s="1" a="1"/>
  <c r="D50" i="9" s="1"/>
  <c r="H22" i="7" a="1"/>
  <c r="H22" i="7" s="1"/>
  <c r="G22" i="7" a="1"/>
  <c r="G22" i="7" s="1"/>
  <c r="F22" i="7" a="1"/>
  <c r="F22" i="7" s="1"/>
  <c r="E22" i="7" a="1"/>
  <c r="E22" i="7" s="1"/>
  <c r="D22" i="7" a="1"/>
  <c r="D22" i="7" s="1"/>
  <c r="C22" i="7" a="1"/>
  <c r="C22" i="7" s="1"/>
  <c r="B22" i="7"/>
  <c r="H21" i="7" a="1"/>
  <c r="H21" i="7" s="1"/>
  <c r="G21" i="7" a="1"/>
  <c r="G21" i="7" s="1"/>
  <c r="F21" i="7" a="1"/>
  <c r="F21" i="7" s="1"/>
  <c r="E21" i="7" a="1"/>
  <c r="E21" i="7" s="1"/>
  <c r="D21" i="7" a="1"/>
  <c r="D21" i="7" s="1"/>
  <c r="C21" i="7" a="1"/>
  <c r="C21" i="7" s="1"/>
  <c r="B21" i="7"/>
  <c r="H20" i="7" a="1"/>
  <c r="H20" i="7" s="1"/>
  <c r="G20" i="7" a="1"/>
  <c r="G20" i="7" s="1"/>
  <c r="F20" i="7" a="1"/>
  <c r="F20" i="7" s="1"/>
  <c r="E20" i="7" a="1"/>
  <c r="E20" i="7" s="1"/>
  <c r="D20" i="7" a="1"/>
  <c r="D20" i="7" s="1"/>
  <c r="C20" i="7" a="1"/>
  <c r="C20" i="7" s="1"/>
  <c r="B20" i="7"/>
  <c r="H19" i="7" a="1"/>
  <c r="H19" i="7" s="1"/>
  <c r="G19" i="7" a="1"/>
  <c r="G19" i="7" s="1"/>
  <c r="F19" i="7" a="1"/>
  <c r="F19" i="7" s="1"/>
  <c r="E19" i="7" a="1"/>
  <c r="E19" i="7" s="1"/>
  <c r="D19" i="7" a="1"/>
  <c r="D19" i="7" s="1"/>
  <c r="C19" i="7" a="1"/>
  <c r="C19" i="7" s="1"/>
  <c r="B19" i="7"/>
  <c r="H18" i="7" a="1"/>
  <c r="H18" i="7" s="1"/>
  <c r="G18" i="7" a="1"/>
  <c r="G18" i="7" s="1"/>
  <c r="F18" i="7" a="1"/>
  <c r="F18" i="7" s="1"/>
  <c r="E18" i="7" a="1"/>
  <c r="E18" i="7" s="1"/>
  <c r="D18" i="7" a="1"/>
  <c r="D18" i="7" s="1"/>
  <c r="C18" i="7" a="1"/>
  <c r="C18" i="7" s="1"/>
  <c r="B18" i="7"/>
  <c r="H17" i="7" a="1"/>
  <c r="H17" i="7" s="1"/>
  <c r="G17" i="7" a="1"/>
  <c r="G17" i="7" s="1"/>
  <c r="F17" i="7" a="1"/>
  <c r="F17" i="7" s="1"/>
  <c r="E17" i="7" a="1"/>
  <c r="E17" i="7" s="1"/>
  <c r="D17" i="7" a="1"/>
  <c r="D17" i="7" s="1"/>
  <c r="C17" i="7" a="1"/>
  <c r="C17" i="7" s="1"/>
  <c r="B17" i="7"/>
  <c r="H16" i="7" a="1"/>
  <c r="H16" i="7" s="1"/>
  <c r="G16" i="7" a="1"/>
  <c r="G16" i="7" s="1"/>
  <c r="F16" i="7" a="1"/>
  <c r="F16" i="7" s="1"/>
  <c r="E16" i="7" a="1"/>
  <c r="E16" i="7" s="1"/>
  <c r="D16" i="7" a="1"/>
  <c r="D16" i="7" s="1"/>
  <c r="C16" i="7" a="1"/>
  <c r="C16" i="7" s="1"/>
  <c r="B16" i="7"/>
  <c r="H15" i="7" a="1"/>
  <c r="H15" i="7" s="1"/>
  <c r="G15" i="7" a="1"/>
  <c r="G15" i="7" s="1"/>
  <c r="F15" i="7" a="1"/>
  <c r="F15" i="7" s="1"/>
  <c r="E15" i="7" a="1"/>
  <c r="E15" i="7" s="1"/>
  <c r="D15" i="7" a="1"/>
  <c r="D15" i="7" s="1"/>
  <c r="C15" i="7" a="1"/>
  <c r="C15" i="7" s="1"/>
  <c r="B15" i="7"/>
  <c r="H14" i="7" a="1"/>
  <c r="H14" i="7" s="1"/>
  <c r="G14" i="7" a="1"/>
  <c r="G14" i="7" s="1"/>
  <c r="F14" i="7" a="1"/>
  <c r="F14" i="7" s="1"/>
  <c r="E14" i="7" a="1"/>
  <c r="E14" i="7" s="1"/>
  <c r="D14" i="7" a="1"/>
  <c r="D14" i="7" s="1"/>
  <c r="C14" i="7" a="1"/>
  <c r="C14" i="7" s="1"/>
  <c r="B14" i="7"/>
  <c r="H13" i="7" a="1"/>
  <c r="H13" i="7" s="1"/>
  <c r="G13" i="7" a="1"/>
  <c r="G13" i="7" s="1"/>
  <c r="F13" i="7" a="1"/>
  <c r="F13" i="7" s="1"/>
  <c r="E13" i="7" a="1"/>
  <c r="E13" i="7" s="1"/>
  <c r="D13" i="7" a="1"/>
  <c r="D13" i="7" s="1"/>
  <c r="C13" i="7" a="1"/>
  <c r="C13" i="7" s="1"/>
  <c r="B13" i="7"/>
  <c r="H12" i="7" a="1"/>
  <c r="H12" i="7" s="1"/>
  <c r="G12" i="7" a="1"/>
  <c r="G12" i="7" s="1"/>
  <c r="F12" i="7" a="1"/>
  <c r="F12" i="7" s="1"/>
  <c r="E12" i="7" a="1"/>
  <c r="E12" i="7" s="1"/>
  <c r="D12" i="7" a="1"/>
  <c r="D12" i="7" s="1"/>
  <c r="C12" i="7" a="1"/>
  <c r="C12" i="7" s="1"/>
  <c r="B12" i="7"/>
  <c r="H11" i="7" a="1"/>
  <c r="H11" i="7" s="1"/>
  <c r="G11" i="7" a="1"/>
  <c r="G11" i="7" s="1"/>
  <c r="F11" i="7" a="1"/>
  <c r="F11" i="7" s="1"/>
  <c r="E11" i="7" a="1"/>
  <c r="E11" i="7" s="1"/>
  <c r="C11" i="7" a="1"/>
  <c r="C11" i="7" s="1"/>
  <c r="B11" i="7"/>
  <c r="H35" i="7" a="1"/>
  <c r="H35" i="7" s="1"/>
  <c r="G35" i="7" a="1"/>
  <c r="G35" i="7" s="1"/>
  <c r="F35" i="7" a="1"/>
  <c r="F35" i="7" s="1"/>
  <c r="E35" i="7" a="1"/>
  <c r="E35" i="7" s="1"/>
  <c r="D35" i="7" a="1"/>
  <c r="D35" i="7" s="1"/>
  <c r="C35" i="7" a="1"/>
  <c r="C35" i="7" s="1"/>
  <c r="B35" i="7"/>
  <c r="H34" i="7" a="1"/>
  <c r="H34" i="7" s="1"/>
  <c r="G34" i="7" a="1"/>
  <c r="G34" i="7" s="1"/>
  <c r="F34" i="7" a="1"/>
  <c r="F34" i="7" s="1"/>
  <c r="E34" i="7" a="1"/>
  <c r="E34" i="7" s="1"/>
  <c r="D34" i="7" a="1"/>
  <c r="D34" i="7" s="1"/>
  <c r="C34" i="7" a="1"/>
  <c r="C34" i="7" s="1"/>
  <c r="B34" i="7"/>
  <c r="H33" i="7" a="1"/>
  <c r="H33" i="7" s="1"/>
  <c r="G33" i="7" a="1"/>
  <c r="G33" i="7" s="1"/>
  <c r="F33" i="7" a="1"/>
  <c r="F33" i="7" s="1"/>
  <c r="E33" i="7" a="1"/>
  <c r="E33" i="7" s="1"/>
  <c r="D33" i="7" a="1"/>
  <c r="D33" i="7" s="1"/>
  <c r="C33" i="7" a="1"/>
  <c r="C33" i="7" s="1"/>
  <c r="B33" i="7"/>
  <c r="H32" i="7" a="1"/>
  <c r="H32" i="7" s="1"/>
  <c r="G32" i="7" a="1"/>
  <c r="G32" i="7" s="1"/>
  <c r="F32" i="7" a="1"/>
  <c r="F32" i="7" s="1"/>
  <c r="E32" i="7" a="1"/>
  <c r="E32" i="7" s="1"/>
  <c r="D32" i="7" a="1"/>
  <c r="D32" i="7" s="1"/>
  <c r="C32" i="7" a="1"/>
  <c r="C32" i="7" s="1"/>
  <c r="B32" i="7"/>
  <c r="H31" i="7" a="1"/>
  <c r="H31" i="7" s="1"/>
  <c r="G31" i="7" a="1"/>
  <c r="G31" i="7" s="1"/>
  <c r="F31" i="7" a="1"/>
  <c r="F31" i="7" s="1"/>
  <c r="E31" i="7" a="1"/>
  <c r="E31" i="7" s="1"/>
  <c r="D31" i="7" a="1"/>
  <c r="D31" i="7" s="1"/>
  <c r="C31" i="7" a="1"/>
  <c r="C31" i="7" s="1"/>
  <c r="B31" i="7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C30" i="7" a="1"/>
  <c r="C30" i="7" s="1"/>
  <c r="B30" i="7"/>
  <c r="H29" i="7" a="1"/>
  <c r="H29" i="7" s="1"/>
  <c r="G29" i="7" a="1"/>
  <c r="G29" i="7" s="1"/>
  <c r="F29" i="7" a="1"/>
  <c r="F29" i="7" s="1"/>
  <c r="E29" i="7" a="1"/>
  <c r="E29" i="7" s="1"/>
  <c r="D29" i="7" a="1"/>
  <c r="D29" i="7" s="1"/>
  <c r="C29" i="7" a="1"/>
  <c r="C29" i="7" s="1"/>
  <c r="B29" i="7"/>
  <c r="H28" i="7" a="1"/>
  <c r="H28" i="7" s="1"/>
  <c r="G28" i="7" a="1"/>
  <c r="G28" i="7" s="1"/>
  <c r="F28" i="7" a="1"/>
  <c r="F28" i="7" s="1"/>
  <c r="E28" i="7" a="1"/>
  <c r="E28" i="7" s="1"/>
  <c r="D28" i="7" a="1"/>
  <c r="D28" i="7" s="1"/>
  <c r="C28" i="7" a="1"/>
  <c r="C28" i="7" s="1"/>
  <c r="B28" i="7"/>
  <c r="H27" i="7" a="1"/>
  <c r="H27" i="7" s="1"/>
  <c r="G27" i="7" a="1"/>
  <c r="G27" i="7" s="1"/>
  <c r="F27" i="7" a="1"/>
  <c r="F27" i="7" s="1"/>
  <c r="E27" i="7" a="1"/>
  <c r="E27" i="7" s="1"/>
  <c r="D27" i="7" a="1"/>
  <c r="D27" i="7" s="1"/>
  <c r="C27" i="7" a="1"/>
  <c r="C27" i="7" s="1"/>
  <c r="B27" i="7"/>
  <c r="H26" i="7" a="1"/>
  <c r="H26" i="7" s="1"/>
  <c r="G26" i="7" a="1"/>
  <c r="G26" i="7" s="1"/>
  <c r="F26" i="7" a="1"/>
  <c r="F26" i="7" s="1"/>
  <c r="E26" i="7" a="1"/>
  <c r="E26" i="7" s="1"/>
  <c r="D26" i="7" a="1"/>
  <c r="D26" i="7" s="1"/>
  <c r="C26" i="7" a="1"/>
  <c r="C26" i="7" s="1"/>
  <c r="B26" i="7"/>
  <c r="H25" i="7" a="1"/>
  <c r="H25" i="7" s="1"/>
  <c r="G25" i="7" a="1"/>
  <c r="G25" i="7" s="1"/>
  <c r="F25" i="7" a="1"/>
  <c r="F25" i="7" s="1"/>
  <c r="E25" i="7" a="1"/>
  <c r="E25" i="7" s="1"/>
  <c r="C25" i="7" a="1"/>
  <c r="C25" i="7" s="1"/>
  <c r="B25" i="7"/>
  <c r="H24" i="7" a="1"/>
  <c r="H24" i="7" s="1"/>
  <c r="G24" i="7" a="1"/>
  <c r="G24" i="7" s="1"/>
  <c r="F24" i="7" a="1"/>
  <c r="F24" i="7" s="1"/>
  <c r="E24" i="7" a="1"/>
  <c r="E24" i="7" s="1"/>
  <c r="C24" i="7" a="1"/>
  <c r="C24" i="7" s="1"/>
  <c r="B24" i="7"/>
  <c r="H48" i="7" a="1"/>
  <c r="H48" i="7" s="1"/>
  <c r="G48" i="7" a="1"/>
  <c r="G48" i="7" s="1"/>
  <c r="F48" i="7" a="1"/>
  <c r="F48" i="7" s="1"/>
  <c r="E48" i="7" a="1"/>
  <c r="E48" i="7" s="1"/>
  <c r="D48" i="7" a="1"/>
  <c r="D48" i="7" s="1"/>
  <c r="C48" i="7" a="1"/>
  <c r="C48" i="7" s="1"/>
  <c r="B48" i="7"/>
  <c r="H47" i="7" a="1"/>
  <c r="H47" i="7" s="1"/>
  <c r="G47" i="7" a="1"/>
  <c r="G47" i="7" s="1"/>
  <c r="F47" i="7" a="1"/>
  <c r="F47" i="7" s="1"/>
  <c r="E47" i="7" a="1"/>
  <c r="E47" i="7" s="1"/>
  <c r="D47" i="7" a="1"/>
  <c r="D47" i="7" s="1"/>
  <c r="C47" i="7" a="1"/>
  <c r="C47" i="7" s="1"/>
  <c r="B47" i="7"/>
  <c r="H46" i="7" a="1"/>
  <c r="H46" i="7" s="1"/>
  <c r="G46" i="7" a="1"/>
  <c r="G46" i="7" s="1"/>
  <c r="F46" i="7" a="1"/>
  <c r="F46" i="7" s="1"/>
  <c r="E46" i="7" a="1"/>
  <c r="E46" i="7" s="1"/>
  <c r="D46" i="7" a="1"/>
  <c r="D46" i="7" s="1"/>
  <c r="C46" i="7" a="1"/>
  <c r="C46" i="7" s="1"/>
  <c r="B46" i="7"/>
  <c r="H45" i="7" a="1"/>
  <c r="H45" i="7" s="1"/>
  <c r="G45" i="7" a="1"/>
  <c r="G45" i="7" s="1"/>
  <c r="F45" i="7" a="1"/>
  <c r="F45" i="7" s="1"/>
  <c r="E45" i="7" a="1"/>
  <c r="E45" i="7" s="1"/>
  <c r="D45" i="7" a="1"/>
  <c r="D45" i="7" s="1"/>
  <c r="C45" i="7" a="1"/>
  <c r="C45" i="7" s="1"/>
  <c r="B45" i="7"/>
  <c r="H44" i="7" a="1"/>
  <c r="H44" i="7" s="1"/>
  <c r="G44" i="7" a="1"/>
  <c r="G44" i="7" s="1"/>
  <c r="F44" i="7" a="1"/>
  <c r="F44" i="7" s="1"/>
  <c r="E44" i="7" a="1"/>
  <c r="E44" i="7" s="1"/>
  <c r="D44" i="7" a="1"/>
  <c r="D44" i="7" s="1"/>
  <c r="C44" i="7" a="1"/>
  <c r="C44" i="7" s="1"/>
  <c r="B44" i="7"/>
  <c r="H43" i="7" a="1"/>
  <c r="H43" i="7" s="1"/>
  <c r="G43" i="7" a="1"/>
  <c r="G43" i="7" s="1"/>
  <c r="F43" i="7" a="1"/>
  <c r="F43" i="7" s="1"/>
  <c r="E43" i="7" a="1"/>
  <c r="E43" i="7" s="1"/>
  <c r="D43" i="7" a="1"/>
  <c r="D43" i="7" s="1"/>
  <c r="C43" i="7" a="1"/>
  <c r="C43" i="7" s="1"/>
  <c r="B43" i="7"/>
  <c r="H42" i="7" a="1"/>
  <c r="H42" i="7" s="1"/>
  <c r="G42" i="7" a="1"/>
  <c r="G42" i="7" s="1"/>
  <c r="F42" i="7" a="1"/>
  <c r="F42" i="7" s="1"/>
  <c r="E42" i="7" a="1"/>
  <c r="E42" i="7" s="1"/>
  <c r="D42" i="7" a="1"/>
  <c r="D42" i="7" s="1"/>
  <c r="C42" i="7" a="1"/>
  <c r="C42" i="7" s="1"/>
  <c r="B42" i="7"/>
  <c r="H41" i="7" a="1"/>
  <c r="H41" i="7" s="1"/>
  <c r="G41" i="7" a="1"/>
  <c r="G41" i="7" s="1"/>
  <c r="F41" i="7" a="1"/>
  <c r="F41" i="7" s="1"/>
  <c r="E41" i="7" a="1"/>
  <c r="E41" i="7" s="1"/>
  <c r="D41" i="7" a="1"/>
  <c r="D41" i="7" s="1"/>
  <c r="C41" i="7" a="1"/>
  <c r="C41" i="7" s="1"/>
  <c r="B41" i="7"/>
  <c r="H40" i="7" a="1"/>
  <c r="H40" i="7" s="1"/>
  <c r="G40" i="7" a="1"/>
  <c r="G40" i="7" s="1"/>
  <c r="F40" i="7" a="1"/>
  <c r="F40" i="7" s="1"/>
  <c r="E40" i="7" a="1"/>
  <c r="E40" i="7" s="1"/>
  <c r="D40" i="7" a="1"/>
  <c r="D40" i="7" s="1"/>
  <c r="C40" i="7" a="1"/>
  <c r="C40" i="7" s="1"/>
  <c r="B40" i="7"/>
  <c r="H39" i="7" a="1"/>
  <c r="H39" i="7" s="1"/>
  <c r="G39" i="7" a="1"/>
  <c r="G39" i="7" s="1"/>
  <c r="F39" i="7" a="1"/>
  <c r="F39" i="7" s="1"/>
  <c r="E39" i="7" a="1"/>
  <c r="E39" i="7" s="1"/>
  <c r="D39" i="7" a="1"/>
  <c r="D39" i="7" s="1"/>
  <c r="C39" i="7" a="1"/>
  <c r="C39" i="7" s="1"/>
  <c r="B39" i="7"/>
  <c r="H38" i="7" a="1"/>
  <c r="H38" i="7" s="1"/>
  <c r="G38" i="7" a="1"/>
  <c r="G38" i="7" s="1"/>
  <c r="F38" i="7" a="1"/>
  <c r="F38" i="7" s="1"/>
  <c r="E38" i="7" a="1"/>
  <c r="E38" i="7" s="1"/>
  <c r="D38" i="7" a="1"/>
  <c r="D38" i="7" s="1"/>
  <c r="C38" i="7" a="1"/>
  <c r="C38" i="7" s="1"/>
  <c r="B38" i="7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C37" i="7" a="1"/>
  <c r="C37" i="7" s="1"/>
  <c r="B37" i="7"/>
  <c r="H61" i="7" a="1"/>
  <c r="H61" i="7" s="1"/>
  <c r="G61" i="7" a="1"/>
  <c r="G61" i="7" s="1"/>
  <c r="F61" i="7" a="1"/>
  <c r="F61" i="7" s="1"/>
  <c r="E61" i="7" a="1"/>
  <c r="E61" i="7" s="1"/>
  <c r="D61" i="7" a="1"/>
  <c r="D61" i="7" s="1"/>
  <c r="C61" i="7" a="1"/>
  <c r="C61" i="7" s="1"/>
  <c r="B61" i="7"/>
  <c r="H60" i="7" a="1"/>
  <c r="H60" i="7" s="1"/>
  <c r="G60" i="7" a="1"/>
  <c r="G60" i="7" s="1"/>
  <c r="F60" i="7" a="1"/>
  <c r="F60" i="7" s="1"/>
  <c r="E60" i="7" a="1"/>
  <c r="E60" i="7" s="1"/>
  <c r="D60" i="7" a="1"/>
  <c r="D60" i="7" s="1"/>
  <c r="C60" i="7" a="1"/>
  <c r="C60" i="7" s="1"/>
  <c r="B60" i="7"/>
  <c r="H59" i="7" a="1"/>
  <c r="H59" i="7" s="1"/>
  <c r="G59" i="7" a="1"/>
  <c r="G59" i="7" s="1"/>
  <c r="F59" i="7" a="1"/>
  <c r="F59" i="7" s="1"/>
  <c r="E59" i="7" a="1"/>
  <c r="E59" i="7" s="1"/>
  <c r="D59" i="7" a="1"/>
  <c r="D59" i="7" s="1"/>
  <c r="C59" i="7" a="1"/>
  <c r="C59" i="7" s="1"/>
  <c r="B59" i="7"/>
  <c r="H58" i="7" a="1"/>
  <c r="H58" i="7" s="1"/>
  <c r="G58" i="7" a="1"/>
  <c r="G58" i="7" s="1"/>
  <c r="F58" i="7" a="1"/>
  <c r="F58" i="7" s="1"/>
  <c r="E58" i="7" a="1"/>
  <c r="E58" i="7" s="1"/>
  <c r="D58" i="7" a="1"/>
  <c r="D58" i="7" s="1"/>
  <c r="C58" i="7" a="1"/>
  <c r="C58" i="7" s="1"/>
  <c r="B58" i="7"/>
  <c r="H57" i="7" a="1"/>
  <c r="H57" i="7" s="1"/>
  <c r="G57" i="7" a="1"/>
  <c r="G57" i="7" s="1"/>
  <c r="F57" i="7" a="1"/>
  <c r="F57" i="7" s="1"/>
  <c r="E57" i="7" a="1"/>
  <c r="E57" i="7" s="1"/>
  <c r="D57" i="7" a="1"/>
  <c r="D57" i="7" s="1"/>
  <c r="C57" i="7" a="1"/>
  <c r="C57" i="7" s="1"/>
  <c r="B57" i="7"/>
  <c r="H56" i="7" a="1"/>
  <c r="H56" i="7" s="1"/>
  <c r="G56" i="7" a="1"/>
  <c r="G56" i="7" s="1"/>
  <c r="F56" i="7" a="1"/>
  <c r="F56" i="7" s="1"/>
  <c r="E56" i="7" a="1"/>
  <c r="E56" i="7" s="1"/>
  <c r="D56" i="7" a="1"/>
  <c r="D56" i="7" s="1"/>
  <c r="C56" i="7" a="1"/>
  <c r="C56" i="7" s="1"/>
  <c r="B56" i="7"/>
  <c r="H55" i="7" a="1"/>
  <c r="H55" i="7" s="1"/>
  <c r="G55" i="7" a="1"/>
  <c r="G55" i="7" s="1"/>
  <c r="F55" i="7" a="1"/>
  <c r="F55" i="7" s="1"/>
  <c r="E55" i="7" a="1"/>
  <c r="E55" i="7" s="1"/>
  <c r="D55" i="7" a="1"/>
  <c r="D55" i="7" s="1"/>
  <c r="C55" i="7" a="1"/>
  <c r="C55" i="7" s="1"/>
  <c r="B55" i="7"/>
  <c r="H54" i="7" a="1"/>
  <c r="H54" i="7" s="1"/>
  <c r="G54" i="7" a="1"/>
  <c r="G54" i="7" s="1"/>
  <c r="F54" i="7" a="1"/>
  <c r="F54" i="7" s="1"/>
  <c r="E54" i="7" a="1"/>
  <c r="E54" i="7" s="1"/>
  <c r="D54" i="7" a="1"/>
  <c r="D54" i="7" s="1"/>
  <c r="C54" i="7" a="1"/>
  <c r="C54" i="7" s="1"/>
  <c r="B54" i="7"/>
  <c r="H53" i="7" a="1"/>
  <c r="H53" i="7" s="1"/>
  <c r="G53" i="7" a="1"/>
  <c r="G53" i="7" s="1"/>
  <c r="F53" i="7" a="1"/>
  <c r="F53" i="7" s="1"/>
  <c r="E53" i="7" a="1"/>
  <c r="E53" i="7" s="1"/>
  <c r="D53" i="7" a="1"/>
  <c r="D53" i="7" s="1"/>
  <c r="C53" i="7" a="1"/>
  <c r="C53" i="7" s="1"/>
  <c r="B53" i="7"/>
  <c r="H52" i="7" a="1"/>
  <c r="H52" i="7" s="1"/>
  <c r="G52" i="7" a="1"/>
  <c r="G52" i="7" s="1"/>
  <c r="F52" i="7" a="1"/>
  <c r="F52" i="7" s="1"/>
  <c r="E52" i="7" a="1"/>
  <c r="E52" i="7" s="1"/>
  <c r="D52" i="7" a="1"/>
  <c r="D52" i="7" s="1"/>
  <c r="C52" i="7" a="1"/>
  <c r="C52" i="7" s="1"/>
  <c r="B52" i="7"/>
  <c r="H51" i="7" a="1"/>
  <c r="H51" i="7" s="1"/>
  <c r="G51" i="7" a="1"/>
  <c r="G51" i="7" s="1"/>
  <c r="F51" i="7" a="1"/>
  <c r="F51" i="7" s="1"/>
  <c r="E51" i="7" a="1"/>
  <c r="E51" i="7" s="1"/>
  <c r="D51" i="7" a="1"/>
  <c r="D51" i="7" s="1"/>
  <c r="C51" i="7" a="1"/>
  <c r="C51" i="7" s="1"/>
  <c r="B51" i="7"/>
  <c r="H50" i="7" a="1"/>
  <c r="H50" i="7" s="1"/>
  <c r="G50" i="7" a="1"/>
  <c r="G50" i="7" s="1"/>
  <c r="F50" i="7" a="1"/>
  <c r="F50" i="7" s="1"/>
  <c r="E50" i="7" a="1"/>
  <c r="E50" i="7" s="1"/>
  <c r="C50" i="7" a="1"/>
  <c r="C50" i="7" s="1"/>
  <c r="B50" i="7"/>
  <c r="D50" i="7" s="1" a="1"/>
  <c r="D50" i="7" s="1"/>
  <c r="D11" i="33" l="1" a="1"/>
  <c r="D11" i="33" s="1"/>
  <c r="D24" i="7" a="1"/>
  <c r="D24" i="7" s="1"/>
  <c r="D25" i="7" a="1"/>
  <c r="D25" i="7" s="1"/>
  <c r="L16" i="6"/>
  <c r="D11" i="7" a="1"/>
  <c r="D11" i="7" s="1"/>
  <c r="L16" i="8"/>
  <c r="D11" i="9" a="1"/>
  <c r="D11" i="9" s="1"/>
</calcChain>
</file>

<file path=xl/sharedStrings.xml><?xml version="1.0" encoding="utf-8"?>
<sst xmlns="http://schemas.openxmlformats.org/spreadsheetml/2006/main" count="2278" uniqueCount="295">
  <si>
    <t>Discharge Outcomes</t>
  </si>
  <si>
    <t>As of</t>
  </si>
  <si>
    <t>Live from Discharge + Yearly Log · updates automatically each time this file is opened</t>
  </si>
  <si>
    <t>TOTAL DISCHARGES</t>
  </si>
  <si>
    <t>MET DISCHARGE PLAN</t>
  </si>
  <si>
    <t>THIS MONTH</t>
  </si>
  <si>
    <t>THIS WEEK</t>
  </si>
  <si>
    <t>DOCS OBTAINED</t>
  </si>
  <si>
    <t>YEAR TO DATE</t>
  </si>
  <si>
    <t>DISCHARGES</t>
  </si>
  <si>
    <t>AVG. YTD</t>
  </si>
  <si>
    <t>Referral Source</t>
  </si>
  <si>
    <t>Documents Obtained  ·  % of discharges (YTD)</t>
  </si>
  <si>
    <t>Placements  ·  Treatment / Sober Living / Shelter (YTD)</t>
  </si>
  <si>
    <t>Oceans</t>
  </si>
  <si>
    <t>ID</t>
  </si>
  <si>
    <t>Cenikor</t>
  </si>
  <si>
    <t>Bayview</t>
  </si>
  <si>
    <t>Bus Pass</t>
  </si>
  <si>
    <t>Lifetime Recovery</t>
  </si>
  <si>
    <t>PubDef</t>
  </si>
  <si>
    <t>Clinic Card</t>
  </si>
  <si>
    <t>Liberty Lodge</t>
  </si>
  <si>
    <t>MCOT</t>
  </si>
  <si>
    <t>SNAP</t>
  </si>
  <si>
    <t>Oxford House</t>
  </si>
  <si>
    <t>CaseMgr</t>
  </si>
  <si>
    <t>Wenholtz House</t>
  </si>
  <si>
    <t>OCR</t>
  </si>
  <si>
    <t>Met Discharge Plan  ·  YTD</t>
  </si>
  <si>
    <t>Rustic House</t>
  </si>
  <si>
    <t>IDD</t>
  </si>
  <si>
    <t>Met</t>
  </si>
  <si>
    <t>Broken Chains</t>
  </si>
  <si>
    <t>OTHER</t>
  </si>
  <si>
    <t>Not Met</t>
  </si>
  <si>
    <t>Good Sam</t>
  </si>
  <si>
    <t>Salvation Army</t>
  </si>
  <si>
    <t>AVG. LENGTH OF STAY</t>
  </si>
  <si>
    <t>VS. LAST MONTH</t>
  </si>
  <si>
    <t>DAYS, YTD</t>
  </si>
  <si>
    <t>CHANGE IN DISCHARGES</t>
  </si>
  <si>
    <t>Discharges by Month</t>
  </si>
  <si>
    <t>Month</t>
  </si>
  <si>
    <t>Discharges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</si>
  <si>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</si>
  <si>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</si>
  <si>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</si>
  <si>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</si>
  <si>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</si>
  <si>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</si>
  <si>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</si>
  <si>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</si>
  <si>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</si>
  <si>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</si>
  <si>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</si>
  <si>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</si>
  <si>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Client Needs Tracker</t>
  </si>
  <si>
    <t>Select ✓ if the client has it / it's met, ✗ if still needed. Resource highlights follow ID, Substance use, and Employed status. See Medications tab, linked by Member ID.</t>
  </si>
  <si>
    <t>Member ID</t>
  </si>
  <si>
    <t>Client name</t>
  </si>
  <si>
    <t>Admit date</t>
  </si>
  <si>
    <t>Days admitted</t>
  </si>
  <si>
    <t>LOC</t>
  </si>
  <si>
    <t>Case Manager</t>
  </si>
  <si>
    <t>Referral source</t>
  </si>
  <si>
    <t>Employed (Y/N)</t>
  </si>
  <si>
    <t>Substance use</t>
  </si>
  <si>
    <t>Free Phone</t>
  </si>
  <si>
    <t>Shelter</t>
  </si>
  <si>
    <t>Treatment Center</t>
  </si>
  <si>
    <t>Sober Living</t>
  </si>
  <si>
    <t>Notes</t>
  </si>
  <si>
    <t>Bed</t>
  </si>
  <si>
    <t>Discharged</t>
  </si>
  <si>
    <t>Discharge Date</t>
  </si>
  <si>
    <t>Joe Jackson</t>
  </si>
  <si>
    <t>TBD</t>
  </si>
  <si>
    <t>Y</t>
  </si>
  <si>
    <t>✓</t>
  </si>
  <si>
    <t>✗</t>
  </si>
  <si>
    <t>M - 1A</t>
  </si>
  <si>
    <t>Yusef Jui</t>
  </si>
  <si>
    <t>LOC2</t>
  </si>
  <si>
    <t>M - 1B</t>
  </si>
  <si>
    <t>M - 2A</t>
  </si>
  <si>
    <t>M - 2B</t>
  </si>
  <si>
    <t>M - 3A</t>
  </si>
  <si>
    <t>M - 3B</t>
  </si>
  <si>
    <t>M - 4A</t>
  </si>
  <si>
    <t>M - 4B</t>
  </si>
  <si>
    <t>Brenda Homes</t>
  </si>
  <si>
    <t>LOC3</t>
  </si>
  <si>
    <t>F - 1A</t>
  </si>
  <si>
    <t>Lisa Lou</t>
  </si>
  <si>
    <t>F - 1B</t>
  </si>
  <si>
    <t>Betty Boop</t>
  </si>
  <si>
    <t>F - 2A</t>
  </si>
  <si>
    <t>lololo kkk</t>
  </si>
  <si>
    <t>F - 2B</t>
  </si>
  <si>
    <t>Jessica Simpson</t>
  </si>
  <si>
    <t>F - 3A</t>
  </si>
  <si>
    <t>Manuel Lewis</t>
  </si>
  <si>
    <t>LOC5</t>
  </si>
  <si>
    <t>J. Wilkers</t>
  </si>
  <si>
    <t>F - 3B</t>
  </si>
  <si>
    <t>F - 4A</t>
  </si>
  <si>
    <t>F - 4B</t>
  </si>
  <si>
    <t>Needs summary (counts as of last save)</t>
  </si>
  <si>
    <t>Need</t>
  </si>
  <si>
    <t>Have it (✓)</t>
  </si>
  <si>
    <t>Still need (✗)</t>
  </si>
  <si>
    <t>Treatment Center placements</t>
  </si>
  <si>
    <t>Sober Living placements</t>
  </si>
  <si>
    <t>Shelter placements</t>
  </si>
  <si>
    <t>Discharge Analytics</t>
  </si>
  <si>
    <t>Program outcomes across all processed discharges — updates automatically</t>
  </si>
  <si>
    <t>11.7 days</t>
  </si>
  <si>
    <t>AVG LENGTH OF STAY</t>
  </si>
  <si>
    <t>OBTAINED ID</t>
  </si>
  <si>
    <t>OBTAINED SNAP</t>
  </si>
  <si>
    <t>Length of Stay by Level of Care</t>
  </si>
  <si>
    <t>Discharges by Referral Source</t>
  </si>
  <si>
    <t>Avg LOS</t>
  </si>
  <si>
    <t>Count</t>
  </si>
  <si>
    <t>% of Total</t>
  </si>
  <si>
    <t>LOC1</t>
  </si>
  <si>
    <t>LOC4</t>
  </si>
  <si>
    <t>Resources Obtained at Discharge</t>
  </si>
  <si>
    <t>Resource</t>
  </si>
  <si>
    <t>Obtained</t>
  </si>
  <si>
    <t>Rate</t>
  </si>
  <si>
    <t>Met Discharge Plan</t>
  </si>
  <si>
    <t>Obtained ID</t>
  </si>
  <si>
    <t>Obtained Bus Pass</t>
  </si>
  <si>
    <t>Obtained Clinic Card</t>
  </si>
  <si>
    <t>Obtained SNAP</t>
  </si>
  <si>
    <t>Client Status Board</t>
  </si>
  <si>
    <t>Initials, Bed, Case Manager, and Pharmacy pull automatically. Fill in Doctor, Appointment info, Scripts Status + Submitted Date, and Notes manually. This is the sheet to export/upload to Google Sheets.</t>
  </si>
  <si>
    <t>Client Initials</t>
  </si>
  <si>
    <t>Appointment Status</t>
  </si>
  <si>
    <t>Doctor</t>
  </si>
  <si>
    <t>Appointment Time</t>
  </si>
  <si>
    <t>Appointment Date</t>
  </si>
  <si>
    <t>Pharmacy Status</t>
  </si>
  <si>
    <t>Pharmacy</t>
  </si>
  <si>
    <t>Med Times</t>
  </si>
  <si>
    <t>Admit Date</t>
  </si>
  <si>
    <t>Requested/Pending</t>
  </si>
  <si>
    <t>Unknown</t>
  </si>
  <si>
    <t>Needs clothes</t>
  </si>
  <si>
    <t>Submitted/Pending</t>
  </si>
  <si>
    <t>Genoa</t>
  </si>
  <si>
    <t>Scheduled</t>
  </si>
  <si>
    <t>Destiny</t>
  </si>
  <si>
    <t>Picked Up</t>
  </si>
  <si>
    <t>HEB</t>
  </si>
  <si>
    <t>Needs ID</t>
  </si>
  <si>
    <t>CVS</t>
  </si>
  <si>
    <t>Common Psychological Medications (reference list for dropdown)</t>
  </si>
  <si>
    <t>Depression</t>
  </si>
  <si>
    <t>Bipolar</t>
  </si>
  <si>
    <t>Anxiety</t>
  </si>
  <si>
    <t>All (dropdown source)</t>
  </si>
  <si>
    <t>Sertraline (Zoloft)</t>
  </si>
  <si>
    <t>Lithium</t>
  </si>
  <si>
    <t>Alprazolam (Xanax)</t>
  </si>
  <si>
    <t>Fluoxetine (Prozac)</t>
  </si>
  <si>
    <t>Divalproex/Valproate (Depakote)</t>
  </si>
  <si>
    <t>Lorazepam (Ativan)</t>
  </si>
  <si>
    <t>Escitalopram (Lexapro)</t>
  </si>
  <si>
    <t>Lamotrigine (Lamictal)</t>
  </si>
  <si>
    <t>Clonazepam (Klonopin)</t>
  </si>
  <si>
    <t>Citalopram (Celexa)</t>
  </si>
  <si>
    <t>Quetiapine (Seroquel)</t>
  </si>
  <si>
    <t>Buspirone (BuSpar)</t>
  </si>
  <si>
    <t>Bupropion (Wellbutrin)</t>
  </si>
  <si>
    <t>Olanzapine (Zyprexa)</t>
  </si>
  <si>
    <t>Hydroxyzine (Vistaril)</t>
  </si>
  <si>
    <t>Venlafaxine (Effexor)</t>
  </si>
  <si>
    <t>Aripiprazole (Abilify)</t>
  </si>
  <si>
    <t>Diazepam (Valium)</t>
  </si>
  <si>
    <t>Duloxetine (Cymbalta)</t>
  </si>
  <si>
    <t>Risperidone (Risperdal)</t>
  </si>
  <si>
    <t>Mirtazapine (Remeron)</t>
  </si>
  <si>
    <t>Carbamazepine (Tegretol)</t>
  </si>
  <si>
    <t>Trazodone</t>
  </si>
  <si>
    <t>Milligram strengths by medication (used for the Dosage dropdown)</t>
  </si>
  <si>
    <t>[Program / Facility Name]</t>
  </si>
  <si>
    <t>Suggested tab names (rename manually):</t>
  </si>
  <si>
    <t>MEDICATION INVENTORY FORM</t>
  </si>
  <si>
    <t>MAR:</t>
  </si>
  <si>
    <t>Confidential Patient Health Information</t>
  </si>
  <si>
    <t>Inventory:</t>
  </si>
  <si>
    <t>Patient Name</t>
  </si>
  <si>
    <t>Start Date 07/03/2026</t>
  </si>
  <si>
    <t>Med #</t>
  </si>
  <si>
    <t>Medication Name</t>
  </si>
  <si>
    <t>Dosage (mg)</t>
  </si>
  <si>
    <t>Route</t>
  </si>
  <si>
    <t>Times/day</t>
  </si>
  <si>
    <t>Start Time</t>
  </si>
  <si>
    <t>Interval (hrs)</t>
  </si>
  <si>
    <t>Specific Times</t>
  </si>
  <si>
    <t>PRN</t>
  </si>
  <si>
    <t>Category</t>
  </si>
  <si>
    <t>Count In</t>
  </si>
  <si>
    <t>Count Out</t>
  </si>
  <si>
    <t>PO</t>
  </si>
  <si>
    <t>Physical</t>
  </si>
  <si>
    <t>I certify that the above medication counts are accurate as of the date signed.</t>
  </si>
  <si>
    <t>Counted In By (Signature): _______________________________</t>
  </si>
  <si>
    <t>Date: ______________</t>
  </si>
  <si>
    <t>Counted Out By (Signature): _______________________________</t>
  </si>
  <si>
    <t>Patient Signature: _______________________________</t>
  </si>
  <si>
    <t>Weekly Medication Administration Record</t>
  </si>
  <si>
    <t>Start Date:</t>
  </si>
  <si>
    <t>Time</t>
  </si>
  <si>
    <t>Staff</t>
  </si>
  <si>
    <t>Pt</t>
  </si>
  <si>
    <t>Time Slot 1 (6 AM–11 AM)</t>
  </si>
  <si>
    <t>Time Slot 2 (12 PM–4 PM)</t>
  </si>
  <si>
    <t>Time Slot 3 (5 PM–7 PM)</t>
  </si>
  <si>
    <t>Time Slot 4 (8 PM–5 AM)</t>
  </si>
  <si>
    <t>Start Date</t>
  </si>
  <si>
    <t>Psychological</t>
  </si>
  <si>
    <t>SubQ</t>
  </si>
  <si>
    <t>N</t>
  </si>
  <si>
    <t>Discharge Log</t>
  </si>
  <si>
    <t>Automatically filled when a client is marked Discharged on the Client Needs Tracker sheet.</t>
  </si>
  <si>
    <t>Timothy Moore</t>
  </si>
  <si>
    <t>T. Nguyen, LCSW</t>
  </si>
  <si>
    <t>Susan Scott</t>
  </si>
  <si>
    <t>Christopher Anderson</t>
  </si>
  <si>
    <t>A. Ramirez, LCSW</t>
  </si>
  <si>
    <t>Margaret Allen</t>
  </si>
  <si>
    <t>Thomas Harris</t>
  </si>
  <si>
    <t>Margaret Adams</t>
  </si>
  <si>
    <t>Susan Wright</t>
  </si>
  <si>
    <t>Sarah Hill</t>
  </si>
  <si>
    <t>J. Patel, LMSW</t>
  </si>
  <si>
    <t>Margaret Young</t>
  </si>
  <si>
    <t>Barbara King</t>
  </si>
  <si>
    <t>Sarah Lewis</t>
  </si>
  <si>
    <t>Karen Young</t>
  </si>
  <si>
    <t>Margaret Wright</t>
  </si>
  <si>
    <t>Betty Lewis</t>
  </si>
  <si>
    <t>Ronald Martin</t>
  </si>
  <si>
    <t>Sarah Walker</t>
  </si>
  <si>
    <t>Timothy Wilson</t>
  </si>
  <si>
    <t>Margaret Scott</t>
  </si>
  <si>
    <t>Susan Allen</t>
  </si>
  <si>
    <t>Nancy Green</t>
  </si>
  <si>
    <t>Christopher Jackson</t>
  </si>
  <si>
    <t>Elizabeth Wright</t>
  </si>
  <si>
    <t>Edward Anderson</t>
  </si>
  <si>
    <t>Barbara Adams</t>
  </si>
  <si>
    <t>Barbara Hill</t>
  </si>
  <si>
    <t>Charles Taylor</t>
  </si>
  <si>
    <t>Karen Allen</t>
  </si>
  <si>
    <t>Timothy Taylor</t>
  </si>
  <si>
    <t>Elizabeth Lewis</t>
  </si>
  <si>
    <t>Edward Thompson</t>
  </si>
  <si>
    <t>Oscar Ramirez</t>
  </si>
  <si>
    <t>Ready for discharge testing</t>
  </si>
  <si>
    <t>Paula Nguyen</t>
  </si>
  <si>
    <t>Quentin Ford</t>
  </si>
  <si>
    <t>David Rodriguez</t>
  </si>
  <si>
    <t>Anthony Brown</t>
  </si>
  <si>
    <t>Kevin Martinez</t>
  </si>
  <si>
    <t>Marcus Lopez</t>
  </si>
  <si>
    <t>Daniel Gonzalez</t>
  </si>
  <si>
    <t>Maria Hernandez</t>
  </si>
  <si>
    <t>Jennifer Perez</t>
  </si>
  <si>
    <t>Ashley Torres</t>
  </si>
  <si>
    <t>Sandra Flores</t>
  </si>
  <si>
    <t>Michelle Sanchez</t>
  </si>
  <si>
    <t>Amanda Ramirez</t>
  </si>
  <si>
    <t>Patricia Reyes</t>
  </si>
  <si>
    <t>Laura Diaz</t>
  </si>
  <si>
    <t>Michael Jackson</t>
  </si>
  <si>
    <t>J. Wilkerson</t>
  </si>
  <si>
    <t>Wilerson, W</t>
  </si>
  <si>
    <t>J. Willace</t>
  </si>
  <si>
    <t>Janet Cole</t>
  </si>
  <si>
    <t>L. Larry</t>
  </si>
  <si>
    <t>J. Storms</t>
  </si>
  <si>
    <t>Danielle Walker</t>
  </si>
  <si>
    <t>Purple Door</t>
  </si>
  <si>
    <t>N/A</t>
  </si>
  <si>
    <t>Adam Blue</t>
  </si>
  <si>
    <t>Joe Jackson III</t>
  </si>
  <si>
    <t>Hailey Beiber</t>
  </si>
  <si>
    <t>Yearly Discharge Log (permanent archive - never cleared)</t>
  </si>
  <si>
    <t>Rows are appended here by the monthly archive macro. This sheet accumulates all year and should not be cleared.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</si>
</sst>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mmm\ d&quot;, &quot;yyyy"/>
    <numFmt numFmtId="166" formatCode="0.0"/>
    <numFmt numFmtId="167" formatCode="\+0;\-0;0"/>
    <numFmt numFmtId="168" formatCode="ddd\ m/d"/>
  </numFmts>
  <fonts count="52">
    <font>
      <sz val="11"/>
      <color theme="1"/>
      <name val="Calibri"/>
      <scheme val="minor"/>
    </font>
    <font>
      <b/>
      <sz val="18"/>
      <color rgb="FF1D9E75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1D9E75"/>
      <name val="Arial"/>
    </font>
    <font>
      <i/>
      <sz val="10"/>
      <color rgb="FF5F5E5A"/>
      <name val="Arial"/>
    </font>
    <font>
      <b/>
      <sz val="24"/>
      <color rgb="FF0D3D33"/>
      <name val="Calibri"/>
      <scheme val="minor"/>
    </font>
    <font>
      <b/>
      <sz val="10"/>
      <color rgb="FFFFFFFF"/>
      <name val="Arial"/>
    </font>
    <font>
      <sz val="11"/>
      <color rgb="FF7C8D8A"/>
      <name val="Calibri"/>
      <scheme val="minor"/>
    </font>
    <font>
      <b/>
      <sz val="11"/>
      <color rgb="FF0F5C43"/>
      <name val="Arial"/>
    </font>
    <font>
      <b/>
      <sz val="11"/>
      <color rgb="FFFFFFFF"/>
      <name val="Arial"/>
    </font>
    <font>
      <b/>
      <sz val="18"/>
      <color rgb="FF0D3D33"/>
      <name val="Calibri"/>
      <scheme val="minor"/>
    </font>
    <font>
      <sz val="11"/>
      <name val="Calibri"/>
    </font>
    <font>
      <b/>
      <sz val="18"/>
      <color rgb="FF12735C"/>
      <name val="Calibri"/>
      <scheme val="minor"/>
    </font>
    <font>
      <b/>
      <sz val="11"/>
      <color rgb="FF0F3D2C"/>
      <name val="Arial"/>
    </font>
    <font>
      <b/>
      <sz val="18"/>
      <color rgb="FF276A2F"/>
      <name val="Calibri"/>
      <scheme val="minor"/>
    </font>
    <font>
      <sz val="11"/>
      <color theme="1"/>
      <name val="Arial"/>
    </font>
    <font>
      <b/>
      <sz val="11"/>
      <color rgb="FF7C8D8A"/>
      <name val="Calibri"/>
      <scheme val="minor"/>
    </font>
    <font>
      <b/>
      <sz val="12"/>
      <color rgb="FF0D3D33"/>
      <name val="Calibri"/>
      <scheme val="minor"/>
    </font>
    <font>
      <b/>
      <sz val="11"/>
      <color rgb="FFFFFFFF"/>
      <name val="Calibri"/>
      <scheme val="minor"/>
    </font>
    <font>
      <b/>
      <sz val="11"/>
      <color rgb="FF1F3F5C"/>
      <name val="Arial"/>
    </font>
    <font>
      <sz val="11"/>
      <color rgb="FF1C2B29"/>
      <name val="Calibri"/>
      <scheme val="minor"/>
    </font>
    <font>
      <b/>
      <sz val="11"/>
      <color rgb="FF276A2F"/>
      <name val="Calibri"/>
      <scheme val="minor"/>
    </font>
    <font>
      <b/>
      <sz val="22"/>
      <color rgb="FF1F2421"/>
      <name val="Arial"/>
    </font>
    <font>
      <sz val="9"/>
      <color rgb="FF6B7280"/>
      <name val="Arial"/>
    </font>
    <font>
      <b/>
      <sz val="10"/>
      <color rgb="FF1F2421"/>
      <name val="Arial"/>
    </font>
    <font>
      <i/>
      <sz val="10"/>
      <color rgb="FF6B7280"/>
      <name val="Arial"/>
    </font>
    <font>
      <b/>
      <sz val="28"/>
      <color rgb="FF1B4D38"/>
      <name val="Arial"/>
    </font>
    <font>
      <b/>
      <sz val="11"/>
      <color rgb="FF7A2E45"/>
      <name val="Arial"/>
    </font>
    <font>
      <sz val="8"/>
      <color rgb="FF6B7280"/>
      <name val="Arial"/>
    </font>
    <font>
      <b/>
      <sz val="12"/>
      <color theme="1"/>
      <name val="Arial"/>
    </font>
    <font>
      <b/>
      <sz val="12"/>
      <color rgb="FF1F2421"/>
      <name val="Arial"/>
    </font>
    <font>
      <sz val="10"/>
      <color rgb="FF1F2421"/>
      <name val="Arial"/>
    </font>
    <font>
      <b/>
      <sz val="12"/>
      <color rgb="FF1D9E75"/>
      <name val="Arial"/>
    </font>
    <font>
      <b/>
      <sz val="11"/>
      <color rgb="FF1D9E75"/>
      <name val="Arial"/>
    </font>
    <font>
      <b/>
      <sz val="9"/>
      <color rgb="FF6B7280"/>
      <name val="Arial"/>
    </font>
    <font>
      <i/>
      <sz val="10"/>
      <color rgb="FF6B6B63"/>
      <name val="Arial"/>
    </font>
    <font>
      <i/>
      <sz val="9"/>
      <color rgb="FF5F5E5A"/>
      <name val="Arial"/>
    </font>
    <font>
      <b/>
      <sz val="18"/>
      <color rgb="FF1D1D1B"/>
      <name val="Arial"/>
    </font>
    <font>
      <sz val="10"/>
      <color theme="1"/>
      <name val="Arial"/>
    </font>
    <font>
      <b/>
      <sz val="13"/>
      <color rgb="FF0F5C43"/>
      <name val="Arial"/>
    </font>
    <font>
      <i/>
      <sz val="9"/>
      <color rgb="FF6B6B63"/>
      <name val="Arial"/>
    </font>
    <font>
      <sz val="11"/>
      <color theme="1"/>
      <name val="Cambria"/>
    </font>
    <font>
      <b/>
      <sz val="22"/>
      <color rgb="FF0F5C43"/>
      <name val="Arial"/>
    </font>
    <font>
      <b/>
      <sz val="16"/>
      <color rgb="FF0F5C43"/>
      <name val="Arial"/>
    </font>
    <font>
      <b/>
      <sz val="14"/>
      <color rgb="FF0F5C43"/>
      <name val="Arial"/>
    </font>
    <font>
      <b/>
      <sz val="24"/>
      <color rgb="FF0F5C43"/>
      <name val="Arial"/>
    </font>
    <font>
      <b/>
      <sz val="18"/>
      <color rgb="FF0F5C43"/>
      <name val="Arial"/>
    </font>
    <font>
      <sz val="10"/>
      <color rgb="FF3A3A34"/>
      <name val="Arial"/>
    </font>
    <font>
      <b/>
      <sz val="10"/>
      <color theme="1"/>
      <name val="Arial"/>
    </font>
    <font>
      <b/>
      <sz val="8"/>
      <color rgb="FFFFFFFF"/>
      <name val="Arial"/>
    </font>
    <font>
      <b/>
      <sz val="10"/>
      <color rgb="FF3A3A34"/>
      <name val="Arial"/>
    </font>
  </fonts>
  <fills count="16">
    <fill>
      <patternFill patternType="none"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rgb="FFCDEDE0"/>
        <bgColor rgb="FFCDEDE0"/>
      </patternFill>
    </fill>
    <fill>
      <patternFill patternType="solid">
        <fgColor rgb="FFE2F2EC"/>
        <bgColor rgb="FFE2F2EC"/>
      </patternFill>
    </fill>
    <fill>
      <patternFill patternType="solid">
        <fgColor rgb="FF7FCDAE"/>
        <bgColor rgb="FF7FCDAE"/>
      </patternFill>
    </fill>
    <fill>
      <patternFill patternType="solid">
        <fgColor rgb="FFE9F3E8"/>
        <bgColor rgb="FFE9F3E8"/>
      </patternFill>
    </fill>
    <fill>
      <patternFill patternType="solid">
        <fgColor rgb="FF2F9A72"/>
        <bgColor rgb="FF2F9A72"/>
      </patternFill>
    </fill>
    <fill>
      <patternFill patternType="solid">
        <fgColor rgb="FFFDE2C8"/>
        <bgColor rgb="FFFDE2C8"/>
      </patternFill>
    </fill>
    <fill>
      <patternFill patternType="solid">
        <fgColor rgb="FF12735C"/>
        <bgColor rgb="FF12735C"/>
      </patternFill>
    </fill>
    <fill>
      <patternFill patternType="solid">
        <fgColor rgb="FFD6E4F0"/>
        <bgColor rgb="FFD6E4F0"/>
      </patternFill>
    </fill>
    <fill>
      <patternFill patternType="solid">
        <fgColor rgb="FFF5F5F0"/>
        <bgColor rgb="FFF5F5F0"/>
      </patternFill>
    </fill>
    <fill>
      <patternFill patternType="solid">
        <fgColor rgb="FFFAFAF8"/>
        <bgColor rgb="FFFAFAF8"/>
      </patternFill>
    </fill>
    <fill>
      <patternFill patternType="solid">
        <fgColor rgb="FFF7D9E3"/>
        <bgColor rgb="FFF7D9E3"/>
      </patternFill>
    </fill>
    <fill>
      <patternFill patternType="solid">
        <fgColor rgb="FFFFF3D6"/>
        <bgColor rgb="FFFFF3D6"/>
      </patternFill>
    </fill>
    <fill>
      <patternFill patternType="solid">
        <fgColor rgb="FFD9D6C9"/>
        <bgColor rgb="FFD9D6C9"/>
      </patternFill>
    </fill>
  </fills>
  <borders count="4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E0DA"/>
      </left>
      <right/>
      <top style="thin">
        <color rgb="FFD3E0DA"/>
      </top>
      <bottom/>
      <diagonal/>
    </border>
    <border>
      <left/>
      <right style="thin">
        <color rgb="FFD3E0DA"/>
      </right>
      <top style="thin">
        <color rgb="FFD3E0DA"/>
      </top>
      <bottom/>
      <diagonal/>
    </border>
    <border>
      <left style="thin">
        <color rgb="FFD3E0DA"/>
      </left>
      <right/>
      <top/>
      <bottom/>
      <diagonal/>
    </border>
    <border>
      <left/>
      <right style="thin">
        <color rgb="FFD3E0DA"/>
      </right>
      <top/>
      <bottom/>
      <diagonal/>
    </border>
    <border>
      <left style="thin">
        <color rgb="FFD3E0DA"/>
      </left>
      <right/>
      <top/>
      <bottom style="thin">
        <color rgb="FFD3E0DA"/>
      </bottom>
      <diagonal/>
    </border>
    <border>
      <left/>
      <right style="thin">
        <color rgb="FFD3E0DA"/>
      </right>
      <top/>
      <bottom style="thin">
        <color rgb="FFD3E0DA"/>
      </bottom>
      <diagonal/>
    </border>
    <border>
      <left style="thin">
        <color rgb="FFD3E0DA"/>
      </left>
      <right style="thin">
        <color rgb="FFD3E0DA"/>
      </right>
      <top style="thin">
        <color rgb="FFD3E0DA"/>
      </top>
      <bottom style="thin">
        <color rgb="FFD3E0DA"/>
      </bottom>
      <diagonal/>
    </border>
    <border>
      <left style="thin">
        <color rgb="FFE0E0DC"/>
      </left>
      <right/>
      <top style="medium">
        <color rgb="FF2E7D5B"/>
      </top>
      <bottom/>
      <diagonal/>
    </border>
    <border>
      <left/>
      <right style="thin">
        <color rgb="FFE0E0DC"/>
      </right>
      <top style="medium">
        <color rgb="FF2E7D5B"/>
      </top>
      <bottom/>
      <diagonal/>
    </border>
    <border>
      <left style="thin">
        <color rgb="FFE0E0DC"/>
      </left>
      <right/>
      <top/>
      <bottom/>
      <diagonal/>
    </border>
    <border>
      <left/>
      <right style="thin">
        <color rgb="FFE0E0DC"/>
      </right>
      <top/>
      <bottom/>
      <diagonal/>
    </border>
    <border>
      <left style="thin">
        <color rgb="FFE0E0DC"/>
      </left>
      <right/>
      <top/>
      <bottom style="thin">
        <color rgb="FFE0E0DC"/>
      </bottom>
      <diagonal/>
    </border>
    <border>
      <left/>
      <right style="thin">
        <color rgb="FFE0E0DC"/>
      </right>
      <top/>
      <bottom style="thin">
        <color rgb="FFE0E0DC"/>
      </bottom>
      <diagonal/>
    </border>
    <border>
      <left style="medium">
        <color rgb="FF2B2B28"/>
      </left>
      <right/>
      <top style="medium">
        <color rgb="FF2B2B28"/>
      </top>
      <bottom/>
      <diagonal/>
    </border>
    <border>
      <left/>
      <right/>
      <top style="medium">
        <color rgb="FF2B2B28"/>
      </top>
      <bottom/>
      <diagonal/>
    </border>
    <border>
      <left/>
      <right style="medium">
        <color rgb="FF2B2B28"/>
      </right>
      <top style="medium">
        <color rgb="FF2B2B28"/>
      </top>
      <bottom/>
      <diagonal/>
    </border>
    <border>
      <left style="medium">
        <color rgb="FF2B2B28"/>
      </left>
      <right/>
      <top/>
      <bottom/>
      <diagonal/>
    </border>
    <border>
      <left/>
      <right style="medium">
        <color rgb="FF2B2B28"/>
      </right>
      <top/>
      <bottom/>
      <diagonal/>
    </border>
    <border>
      <left style="medium">
        <color rgb="FF2B2B28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 style="medium">
        <color rgb="FF2B2B28"/>
      </right>
      <top style="thin">
        <color rgb="FFD3D1C7"/>
      </top>
      <bottom style="thin">
        <color rgb="FFD3D1C7"/>
      </bottom>
      <diagonal/>
    </border>
    <border>
      <left style="medium">
        <color rgb="FF2B2B28"/>
      </left>
      <right/>
      <top style="thin">
        <color rgb="FFB7B7AE"/>
      </top>
      <bottom style="thin">
        <color rgb="FFB7B7AE"/>
      </bottom>
      <diagonal/>
    </border>
    <border>
      <left/>
      <right/>
      <top style="thin">
        <color rgb="FFB7B7AE"/>
      </top>
      <bottom style="thin">
        <color rgb="FFB7B7AE"/>
      </bottom>
      <diagonal/>
    </border>
    <border>
      <left/>
      <right style="medium">
        <color rgb="FF2B2B28"/>
      </right>
      <top style="thin">
        <color rgb="FFB7B7AE"/>
      </top>
      <bottom style="thin">
        <color rgb="FFB7B7AE"/>
      </bottom>
      <diagonal/>
    </border>
    <border>
      <left style="medium">
        <color rgb="FF2B2B28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medium">
        <color rgb="FF2B2B28"/>
      </right>
      <top style="thin">
        <color rgb="FFD3D1C7"/>
      </top>
      <bottom style="thin">
        <color rgb="FFD3D1C7"/>
      </bottom>
      <diagonal/>
    </border>
    <border>
      <left style="medium">
        <color rgb="FF2B2B28"/>
      </left>
      <right/>
      <top/>
      <bottom style="medium">
        <color rgb="FF2B2B28"/>
      </bottom>
      <diagonal/>
    </border>
    <border>
      <left/>
      <right/>
      <top/>
      <bottom style="medium">
        <color rgb="FF2B2B28"/>
      </bottom>
      <diagonal/>
    </border>
    <border>
      <left/>
      <right style="medium">
        <color rgb="FF2B2B28"/>
      </right>
      <top/>
      <bottom style="medium">
        <color rgb="FF2B2B28"/>
      </bottom>
      <diagonal/>
    </border>
    <border>
      <left style="thin">
        <color rgb="FFD3D1C7"/>
      </left>
      <right/>
      <top style="thin">
        <color rgb="FFD3D1C7"/>
      </top>
      <bottom/>
      <diagonal/>
    </border>
    <border>
      <left/>
      <right/>
      <top style="thin">
        <color rgb="FFD3D1C7"/>
      </top>
      <bottom/>
      <diagonal/>
    </border>
    <border>
      <left style="thin">
        <color rgb="FFD3D1C7"/>
      </left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  <border>
      <left/>
      <right/>
      <top/>
      <bottom/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/>
      <bottom style="thin">
        <color rgb="FFD3D1C7"/>
      </bottom>
      <diagonal/>
    </border>
    <border>
      <left style="thin">
        <color rgb="FFD3D1C7"/>
      </left>
      <right/>
      <top/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9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9" fillId="9" borderId="8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1" fillId="0" borderId="8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9" fontId="21" fillId="0" borderId="8" xfId="0" applyNumberFormat="1" applyFont="1" applyBorder="1" applyAlignment="1">
      <alignment horizontal="center"/>
    </xf>
    <xf numFmtId="0" fontId="16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9" fontId="22" fillId="0" borderId="8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165" fontId="25" fillId="0" borderId="0" xfId="0" applyNumberFormat="1" applyFont="1"/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164" fontId="16" fillId="10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30" fillId="0" borderId="0" xfId="0" applyFont="1"/>
    <xf numFmtId="0" fontId="9" fillId="3" borderId="1" xfId="0" applyFont="1" applyFill="1" applyBorder="1" applyAlignment="1">
      <alignment horizontal="center" vertical="center"/>
    </xf>
    <xf numFmtId="0" fontId="32" fillId="0" borderId="0" xfId="0" applyFont="1"/>
    <xf numFmtId="0" fontId="16" fillId="0" borderId="1" xfId="0" applyFont="1" applyBorder="1"/>
    <xf numFmtId="0" fontId="3" fillId="0" borderId="1" xfId="0" applyFont="1" applyBorder="1" applyAlignment="1">
      <alignment horizontal="center" vertical="center"/>
    </xf>
    <xf numFmtId="0" fontId="33" fillId="0" borderId="0" xfId="0" applyFont="1"/>
    <xf numFmtId="0" fontId="3" fillId="0" borderId="1" xfId="0" applyFont="1" applyBorder="1"/>
    <xf numFmtId="0" fontId="34" fillId="0" borderId="0" xfId="0" applyFont="1"/>
    <xf numFmtId="0" fontId="35" fillId="0" borderId="0" xfId="0" applyFont="1"/>
    <xf numFmtId="0" fontId="37" fillId="0" borderId="0" xfId="0" applyFont="1"/>
    <xf numFmtId="0" fontId="39" fillId="0" borderId="0" xfId="0" applyFont="1"/>
    <xf numFmtId="0" fontId="40" fillId="14" borderId="1" xfId="0" applyFont="1" applyFill="1" applyBorder="1"/>
    <xf numFmtId="0" fontId="3" fillId="0" borderId="18" xfId="0" applyFont="1" applyBorder="1"/>
    <xf numFmtId="0" fontId="3" fillId="0" borderId="19" xfId="0" applyFont="1" applyBorder="1"/>
    <xf numFmtId="0" fontId="42" fillId="0" borderId="0" xfId="0" applyFont="1"/>
    <xf numFmtId="0" fontId="14" fillId="5" borderId="26" xfId="0" applyFont="1" applyFill="1" applyBorder="1" applyAlignment="1">
      <alignment horizontal="center" vertical="center" wrapText="1"/>
    </xf>
    <xf numFmtId="0" fontId="14" fillId="5" borderId="27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18" fontId="16" fillId="0" borderId="1" xfId="0" applyNumberFormat="1" applyFont="1" applyBorder="1" applyAlignment="1">
      <alignment horizontal="center" vertical="center"/>
    </xf>
    <xf numFmtId="20" fontId="16" fillId="0" borderId="1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49" fillId="0" borderId="0" xfId="0" applyFont="1"/>
    <xf numFmtId="0" fontId="50" fillId="7" borderId="1" xfId="0" applyFont="1" applyFill="1" applyBorder="1" applyAlignment="1">
      <alignment horizontal="center" vertical="center"/>
    </xf>
    <xf numFmtId="18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16" fillId="8" borderId="38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164" fontId="16" fillId="0" borderId="21" xfId="0" applyNumberFormat="1" applyFont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16" fillId="10" borderId="41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left" vertical="center"/>
    </xf>
    <xf numFmtId="164" fontId="16" fillId="10" borderId="34" xfId="0" applyNumberFormat="1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11" borderId="34" xfId="0" applyFont="1" applyFill="1" applyBorder="1" applyAlignment="1">
      <alignment horizontal="center" vertical="center"/>
    </xf>
    <xf numFmtId="0" fontId="16" fillId="11" borderId="34" xfId="0" applyFont="1" applyFill="1" applyBorder="1" applyAlignment="1">
      <alignment horizontal="left" vertical="center"/>
    </xf>
    <xf numFmtId="0" fontId="28" fillId="13" borderId="34" xfId="0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64" fontId="16" fillId="0" borderId="31" xfId="0" applyNumberFormat="1" applyFont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5" borderId="37" xfId="0" applyFont="1" applyFill="1" applyBorder="1"/>
    <xf numFmtId="0" fontId="42" fillId="14" borderId="37" xfId="0" applyFont="1" applyFill="1" applyBorder="1"/>
    <xf numFmtId="9" fontId="13" fillId="4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3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9" fontId="15" fillId="6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9" fontId="25" fillId="0" borderId="0" xfId="0" applyNumberFormat="1" applyFont="1" applyAlignment="1">
      <alignment horizontal="left"/>
    </xf>
    <xf numFmtId="0" fontId="31" fillId="0" borderId="0" xfId="0" applyFont="1" applyAlignment="1">
      <alignment horizontal="left"/>
    </xf>
    <xf numFmtId="0" fontId="45" fillId="0" borderId="21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164" fontId="45" fillId="0" borderId="23" xfId="0" applyNumberFormat="1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64" fontId="44" fillId="0" borderId="20" xfId="0" applyNumberFormat="1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51" fillId="15" borderId="37" xfId="0" applyFont="1" applyFill="1" applyBorder="1" applyAlignment="1">
      <alignment horizontal="left" vertical="center"/>
    </xf>
    <xf numFmtId="0" fontId="14" fillId="5" borderId="34" xfId="0" applyFont="1" applyFill="1" applyBorder="1" applyAlignment="1">
      <alignment horizontal="center" vertical="center" wrapText="1"/>
    </xf>
    <xf numFmtId="168" fontId="10" fillId="7" borderId="21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23" fillId="0" borderId="0" xfId="0" applyFont="1" applyAlignment="1"/>
    <xf numFmtId="0" fontId="0" fillId="0" borderId="0" xfId="0" applyAlignment="1"/>
    <xf numFmtId="0" fontId="26" fillId="0" borderId="0" xfId="0" applyFont="1" applyAlignment="1"/>
    <xf numFmtId="0" fontId="3" fillId="12" borderId="9" xfId="0" applyFont="1" applyFill="1" applyBorder="1" applyAlignment="1"/>
    <xf numFmtId="0" fontId="12" fillId="0" borderId="10" xfId="0" applyFont="1" applyBorder="1" applyAlignment="1"/>
    <xf numFmtId="0" fontId="24" fillId="12" borderId="11" xfId="0" applyFont="1" applyFill="1" applyBorder="1" applyAlignment="1"/>
    <xf numFmtId="0" fontId="12" fillId="0" borderId="12" xfId="0" applyFont="1" applyBorder="1" applyAlignment="1"/>
    <xf numFmtId="0" fontId="3" fillId="12" borderId="11" xfId="0" applyFont="1" applyFill="1" applyBorder="1" applyAlignment="1"/>
    <xf numFmtId="0" fontId="27" fillId="12" borderId="11" xfId="0" applyFont="1" applyFill="1" applyBorder="1" applyAlignment="1"/>
    <xf numFmtId="9" fontId="27" fillId="12" borderId="11" xfId="0" applyNumberFormat="1" applyFont="1" applyFill="1" applyBorder="1" applyAlignment="1"/>
    <xf numFmtId="0" fontId="29" fillId="12" borderId="13" xfId="0" applyFont="1" applyFill="1" applyBorder="1" applyAlignment="1"/>
    <xf numFmtId="0" fontId="12" fillId="0" borderId="14" xfId="0" applyFont="1" applyBorder="1" applyAlignment="1"/>
    <xf numFmtId="0" fontId="31" fillId="0" borderId="0" xfId="0" applyFont="1" applyAlignment="1"/>
    <xf numFmtId="0" fontId="25" fillId="0" borderId="0" xfId="0" applyFont="1" applyAlignment="1"/>
    <xf numFmtId="166" fontId="27" fillId="12" borderId="11" xfId="0" applyNumberFormat="1" applyFont="1" applyFill="1" applyBorder="1" applyAlignment="1"/>
    <xf numFmtId="167" fontId="27" fillId="12" borderId="11" xfId="0" applyNumberFormat="1" applyFont="1" applyFill="1" applyBorder="1" applyAlignment="1"/>
    <xf numFmtId="0" fontId="30" fillId="0" borderId="0" xfId="0" applyFont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6" xfId="0" applyFont="1" applyBorder="1" applyAlignment="1"/>
    <xf numFmtId="0" fontId="12" fillId="0" borderId="7" xfId="0" applyFont="1" applyBorder="1" applyAlignment="1"/>
    <xf numFmtId="0" fontId="1" fillId="0" borderId="0" xfId="0" applyFont="1" applyAlignment="1"/>
    <xf numFmtId="0" fontId="5" fillId="0" borderId="0" xfId="0" applyFont="1" applyAlignment="1"/>
    <xf numFmtId="0" fontId="12" fillId="0" borderId="16" xfId="0" applyFont="1" applyBorder="1" applyAlignment="1"/>
    <xf numFmtId="0" fontId="12" fillId="0" borderId="17" xfId="0" applyFont="1" applyBorder="1" applyAlignment="1"/>
    <xf numFmtId="0" fontId="12" fillId="0" borderId="19" xfId="0" applyFont="1" applyBorder="1" applyAlignment="1"/>
    <xf numFmtId="0" fontId="37" fillId="0" borderId="18" xfId="0" applyFont="1" applyBorder="1" applyAlignment="1"/>
    <xf numFmtId="0" fontId="37" fillId="0" borderId="0" xfId="0" applyFont="1" applyAlignment="1"/>
    <xf numFmtId="0" fontId="12" fillId="0" borderId="35" xfId="0" applyFont="1" applyBorder="1" applyAlignment="1"/>
    <xf numFmtId="0" fontId="12" fillId="0" borderId="22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41" fillId="0" borderId="18" xfId="0" applyFont="1" applyBorder="1" applyAlignment="1"/>
    <xf numFmtId="0" fontId="16" fillId="0" borderId="18" xfId="0" applyFont="1" applyBorder="1" applyAlignment="1"/>
    <xf numFmtId="0" fontId="16" fillId="0" borderId="0" xfId="0" applyFont="1" applyAlignment="1"/>
    <xf numFmtId="0" fontId="16" fillId="0" borderId="28" xfId="0" applyFont="1" applyBorder="1" applyAlignment="1"/>
    <xf numFmtId="0" fontId="12" fillId="0" borderId="29" xfId="0" applyFont="1" applyBorder="1" applyAlignment="1"/>
    <xf numFmtId="0" fontId="16" fillId="0" borderId="29" xfId="0" applyFont="1" applyBorder="1" applyAlignment="1"/>
    <xf numFmtId="0" fontId="12" fillId="0" borderId="30" xfId="0" applyFont="1" applyBorder="1" applyAlignment="1"/>
    <xf numFmtId="0" fontId="12" fillId="0" borderId="32" xfId="0" applyFont="1" applyBorder="1" applyAlignment="1"/>
    <xf numFmtId="0" fontId="12" fillId="0" borderId="33" xfId="0" applyFont="1" applyBorder="1" applyAlignment="1"/>
    <xf numFmtId="164" fontId="9" fillId="0" borderId="21" xfId="0" applyNumberFormat="1" applyFont="1" applyBorder="1" applyAlignment="1"/>
    <xf numFmtId="0" fontId="12" fillId="0" borderId="36" xfId="0" applyFont="1" applyBorder="1" applyAlignment="1"/>
    <xf numFmtId="0" fontId="12" fillId="0" borderId="37" xfId="0" applyFont="1" applyBorder="1" applyAlignment="1"/>
    <xf numFmtId="0" fontId="4" fillId="0" borderId="0" xfId="0" applyFont="1" applyAlignment="1"/>
  </cellXfs>
  <cellStyles count="1">
    <cellStyle name="Normal" xfId="0" builtinId="0"/>
  </cellStyles>
  <dxfs count="955"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ill>
        <patternFill patternType="solid">
          <fgColor rgb="FFEDEDE8"/>
          <bgColor rgb="FFEDEDE8"/>
        </patternFill>
      </fill>
    </dxf>
    <dxf>
      <font>
        <b/>
        <color rgb="FF1F3F5C"/>
        <name val="Arial"/>
      </font>
      <fill>
        <patternFill patternType="solid">
          <fgColor rgb="FFD6E4F0"/>
          <bgColor rgb="FFD6E4F0"/>
        </patternFill>
      </fill>
    </dxf>
    <dxf>
      <font>
        <b/>
        <color rgb="FF8A4B0B"/>
        <name val="Arial"/>
      </font>
      <fill>
        <patternFill patternType="solid">
          <fgColor rgb="FFFDE2C8"/>
          <bgColor rgb="FFFDE2C8"/>
        </patternFill>
      </fill>
    </dxf>
    <dxf>
      <font>
        <b/>
        <color rgb="FF4A2E73"/>
        <name val="Arial"/>
      </font>
      <fill>
        <patternFill patternType="solid">
          <fgColor rgb="FFE4D4F7"/>
          <bgColor rgb="FFE4D4F7"/>
        </patternFill>
      </fill>
    </dxf>
    <dxf>
      <font>
        <b/>
        <color rgb="FF0B4A66"/>
        <name val="Arial"/>
      </font>
      <fill>
        <patternFill patternType="solid">
          <fgColor rgb="FFCFE8F3"/>
          <bgColor rgb="FFCFE8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mm/dd/yyyy"/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/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A2E45"/>
        <name val="Arial"/>
        <scheme val="none"/>
      </font>
      <fill>
        <patternFill patternType="solid">
          <fgColor rgb="FFF7D9E3"/>
          <bgColor rgb="FFF7D9E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F5F5F0"/>
          <bgColor rgb="FFF5F5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mm/dd/yyyy"/>
      <fill>
        <patternFill patternType="solid">
          <fgColor rgb="FFD6E4F0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D6E4F0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3D1C7"/>
        </right>
        <top style="thin">
          <color rgb="FFD3D1C7"/>
        </top>
        <bottom style="thin">
          <color rgb="FFD3D1C7"/>
        </bottom>
        <vertical/>
        <horizontal/>
      </border>
    </dxf>
    <dxf>
      <border outline="0">
        <top style="thin">
          <color rgb="FFD3D1C7"/>
        </top>
      </border>
    </dxf>
    <dxf>
      <border outline="0">
        <bottom style="thin">
          <color rgb="FFD3D1C7"/>
        </bottom>
      </border>
    </dxf>
    <dxf>
      <border outline="0">
        <left style="thin">
          <color rgb="FFD3D1C7"/>
        </left>
        <right style="thin">
          <color rgb="FFD3D1C7"/>
        </right>
        <top style="thin">
          <color rgb="FFD3D1C7"/>
        </top>
        <bottom style="thin">
          <color rgb="FFD3D1C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5C43"/>
        <name val="Arial"/>
        <scheme val="none"/>
      </font>
      <fill>
        <patternFill patternType="solid">
          <fgColor rgb="FFCDEDE0"/>
          <bgColor rgb="FFCDEDE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1C7"/>
        </left>
        <right style="thin">
          <color rgb="FFD3D1C7"/>
        </right>
        <top/>
        <bottom/>
      </border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633806"/>
        <name val="Arial"/>
      </font>
      <fill>
        <patternFill patternType="solid">
          <fgColor rgb="FFFAC775"/>
          <bgColor rgb="FFFAC775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791F1F"/>
        <name val="Arial"/>
      </font>
      <fill>
        <patternFill patternType="solid">
          <fgColor rgb="FFF7C1C1"/>
          <bgColor rgb="FFF7C1C1"/>
        </patternFill>
      </fill>
    </dxf>
    <dxf>
      <font>
        <b/>
        <color rgb="FF173404"/>
        <name val="Arial"/>
      </font>
      <fill>
        <patternFill patternType="solid">
          <fgColor rgb="FFC0DD97"/>
          <bgColor rgb="FFC0DD97"/>
        </patternFill>
      </fill>
    </dxf>
    <dxf>
      <font>
        <b/>
        <color rgb="FF4B2E63"/>
        <name val="Arial"/>
      </font>
      <fill>
        <patternFill patternType="solid">
          <fgColor rgb="FFD9C6EC"/>
          <bgColor rgb="FFD9C6EC"/>
        </patternFill>
      </fill>
    </dxf>
    <dxf>
      <font>
        <b/>
        <sz val="28"/>
        <color rgb="FF2E7D5B"/>
        <name val="Arial"/>
      </font>
      <fill>
        <patternFill patternType="none"/>
      </fill>
    </dxf>
    <dxf>
      <font>
        <b/>
        <sz val="28"/>
        <color rgb="FFC0504D"/>
        <name val="Arial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Discharges</c:v>
          </c:tx>
          <c:spPr>
            <a:ln w="19050" cmpd="sng">
              <a:solidFill>
                <a:srgbClr val="2E7D5B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7D5B">
                  <a:alpha val="100000"/>
                </a:srgbClr>
              </a:solidFill>
              <a:ln cmpd="sng">
                <a:solidFill>
                  <a:srgbClr val="2E7D5B">
                    <a:alpha val="100000"/>
                  </a:srgbClr>
                </a:solidFill>
              </a:ln>
            </c:spPr>
          </c:marker>
          <c:cat>
            <c:strRef>
              <c:f>Dashboard!$B$34:$B$45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Dashboard!$C$34:$C$45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E-4197-81A6-C896BCBD9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404610"/>
        <c:axId val="265647542"/>
      </c:lineChart>
      <c:catAx>
        <c:axId val="231404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647542"/>
        <c:crosses val="autoZero"/>
        <c:auto val="1"/>
        <c:lblAlgn val="ctr"/>
        <c:lblOffset val="100"/>
        <c:noMultiLvlLbl val="1"/>
      </c:catAx>
      <c:valAx>
        <c:axId val="265647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40461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31</xdr:row>
      <xdr:rowOff>38100</xdr:rowOff>
    </xdr:from>
    <xdr:ext cx="8515350" cy="2886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A379B-0445-4140-BF5B-3C22494398CC}" name="ClientStatus" displayName="ClientStatus" ref="A4:U20" totalsRowShown="0" headerRowDxfId="930" headerRowBorderDxfId="928" tableBorderDxfId="929" totalsRowBorderDxfId="927">
  <autoFilter ref="A4:U20" xr:uid="{5FCA379B-0445-4140-BF5B-3C22494398CC}"/>
  <tableColumns count="21">
    <tableColumn id="1" xr3:uid="{EBA4CED9-6E7F-4DBA-9906-F8E438D5AB92}" name="Member ID" dataDxfId="926"/>
    <tableColumn id="2" xr3:uid="{F74AEA37-1021-4A56-A9BA-A317D07F64F7}" name="Client name" dataDxfId="925"/>
    <tableColumn id="3" xr3:uid="{AD106346-77E8-4582-B172-01573C0A7E43}" name="Admit date" dataDxfId="924"/>
    <tableColumn id="4" xr3:uid="{8DAA7E60-59C5-4216-B70A-DEE83345A6A8}" name="Days admitted" dataDxfId="923">
      <calculatedColumnFormula>IF(C5="","",TODAY()-C5)</calculatedColumnFormula>
    </tableColumn>
    <tableColumn id="5" xr3:uid="{03A7000A-AA2B-486E-86C8-CBAC3A9D2DB0}" name="LOC" dataDxfId="922"/>
    <tableColumn id="6" xr3:uid="{5D1EA2E8-C934-4952-A5A9-E51B0AF5A801}" name="Case Manager" dataDxfId="921"/>
    <tableColumn id="7" xr3:uid="{6A7090CB-D869-4325-BEB2-BE834E1D5BC0}" name="Referral source" dataDxfId="920"/>
    <tableColumn id="8" xr3:uid="{F3197C03-2111-4702-A3AE-1EFEA006AF09}" name="Employed (Y/N)" dataDxfId="919"/>
    <tableColumn id="9" xr3:uid="{0FEBFAC8-81C2-48EF-B1E3-A513C96C0C05}" name="Substance use" dataDxfId="918"/>
    <tableColumn id="10" xr3:uid="{8D61270F-C831-4213-A381-BE657C5C6CB7}" name="ID" dataDxfId="917"/>
    <tableColumn id="11" xr3:uid="{0A6EA95B-F042-4A19-88CB-C91B2F78EDC0}" name="SNAP" dataDxfId="916"/>
    <tableColumn id="12" xr3:uid="{863802E5-38C5-420D-BF84-264306EC926A}" name="Clinic Card" dataDxfId="915"/>
    <tableColumn id="13" xr3:uid="{DC0D9F7A-E67E-4E2A-A506-1502896CB4BC}" name="Free Phone" dataDxfId="914"/>
    <tableColumn id="14" xr3:uid="{B4F8E14F-B1E0-4C65-A49A-4B9956689CC4}" name="Bus Pass" dataDxfId="913"/>
    <tableColumn id="15" xr3:uid="{26AA1D1E-34C5-4B73-B7E7-02D2FB2B6F2C}" name="Shelter" dataDxfId="912"/>
    <tableColumn id="16" xr3:uid="{855E8FBD-7AA7-4CD4-9500-FF37571C66CD}" name="Treatment Center" dataDxfId="911"/>
    <tableColumn id="17" xr3:uid="{0989C160-DED6-4BCE-8F43-19486B4E75CB}" name="Sober Living" dataDxfId="910"/>
    <tableColumn id="18" xr3:uid="{8B6EA3DA-35B2-45D9-BD89-D1FF04B94942}" name="Notes" dataDxfId="909"/>
    <tableColumn id="19" xr3:uid="{13267299-434E-46A9-ACC8-1F641A054D1D}" name="Bed" dataDxfId="908"/>
    <tableColumn id="20" xr3:uid="{30DA25C1-C946-4140-8CA9-883307473B08}" name="Discharged" dataDxfId="907"/>
    <tableColumn id="21" xr3:uid="{D3C3A589-1376-43CA-B5FC-7FC92AD2665C}" name="Discharge Date" dataDxfId="90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5"/>
  <sheetViews>
    <sheetView showGridLines="0" workbookViewId="0"/>
  </sheetViews>
  <sheetFormatPr defaultColWidth="14.42578125" defaultRowHeight="15" customHeight="1"/>
  <cols>
    <col min="1" max="1" width="2" style="2" customWidth="1"/>
    <col min="2" max="2" width="12" customWidth="1"/>
    <col min="3" max="3" width="2" customWidth="1"/>
    <col min="4" max="4" width="12" customWidth="1"/>
    <col min="5" max="5" width="2" customWidth="1"/>
    <col min="6" max="6" width="12" customWidth="1"/>
    <col min="7" max="7" width="2" customWidth="1"/>
    <col min="8" max="8" width="12" customWidth="1"/>
    <col min="9" max="9" width="2" customWidth="1"/>
    <col min="10" max="10" width="12" customWidth="1"/>
    <col min="11" max="11" width="2" customWidth="1"/>
    <col min="12" max="12" width="14" customWidth="1"/>
    <col min="13" max="13" width="2" customWidth="1"/>
    <col min="14" max="14" width="14" customWidth="1"/>
    <col min="15" max="15" width="10" style="2" customWidth="1"/>
    <col min="16" max="16" width="8.7109375" style="2" customWidth="1"/>
    <col min="17" max="26" width="8.7109375" customWidth="1"/>
  </cols>
  <sheetData>
    <row r="2" spans="2:15" ht="26.25" customHeight="1">
      <c r="B2" s="105" t="s">
        <v>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24" t="s">
        <v>1</v>
      </c>
      <c r="O2" s="25">
        <f ca="1">TODAY()</f>
        <v>46242</v>
      </c>
    </row>
    <row r="3" spans="2:15" ht="15" customHeight="1">
      <c r="B3" s="107" t="s">
        <v>2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2"/>
    </row>
    <row r="4" spans="2:1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5" ht="15" customHeight="1">
      <c r="B5" s="108"/>
      <c r="C5" s="109"/>
      <c r="D5" s="108"/>
      <c r="E5" s="109"/>
      <c r="F5" s="108"/>
      <c r="G5" s="109"/>
      <c r="H5" s="108"/>
      <c r="I5" s="109"/>
      <c r="J5" s="108"/>
      <c r="K5" s="109"/>
      <c r="L5" s="2"/>
      <c r="M5" s="2"/>
      <c r="N5" s="2"/>
    </row>
    <row r="6" spans="2:15" ht="15" customHeight="1">
      <c r="B6" s="110" t="s">
        <v>3</v>
      </c>
      <c r="C6" s="111"/>
      <c r="D6" s="110" t="s">
        <v>4</v>
      </c>
      <c r="E6" s="111"/>
      <c r="F6" s="110" t="s">
        <v>5</v>
      </c>
      <c r="G6" s="111"/>
      <c r="H6" s="110" t="s">
        <v>6</v>
      </c>
      <c r="I6" s="111"/>
      <c r="J6" s="110" t="s">
        <v>7</v>
      </c>
      <c r="K6" s="111"/>
      <c r="L6" s="2"/>
      <c r="M6" s="2"/>
      <c r="N6" s="2"/>
    </row>
    <row r="7" spans="2:15" ht="15" customHeight="1">
      <c r="B7" s="112"/>
      <c r="C7" s="111"/>
      <c r="D7" s="112"/>
      <c r="E7" s="111"/>
      <c r="F7" s="112"/>
      <c r="G7" s="111"/>
      <c r="H7" s="112"/>
      <c r="I7" s="111"/>
      <c r="J7" s="112"/>
      <c r="K7" s="111"/>
      <c r="L7" s="2"/>
      <c r="M7" s="2"/>
      <c r="N7" s="2"/>
    </row>
    <row r="8" spans="2:15" ht="30" customHeight="1">
      <c r="B8" s="113">
        <f ca="1">SUMPRODUCT((YEAR(Discharge!$T$5:$T$204)=YEAR($O$2))*(Discharge!$T$5:$T$204&lt;&gt;""))+SUMPRODUCT((YEAR('Yearly Log'!$T$5:$T$204)=YEAR($O$2))*('Yearly Log'!$T$5:$T$204&lt;&gt;""))</f>
        <v>61</v>
      </c>
      <c r="C8" s="111"/>
      <c r="D8" s="114">
        <f ca="1">IFERROR((SUMPRODUCT((YEAR(Discharge!$T$5:$T$204)=YEAR($O$2))*(Discharge!$U$5:$U$204="✓"))+SUMPRODUCT((YEAR('Yearly Log'!$T$5:$T$204)=YEAR($O$2))*('Yearly Log'!$U$5:$U$204="✓")))/(SUMPRODUCT((YEAR(Discharge!$T$5:$T$204)=YEAR($O$2))*(Discharge!$T$5:$T$204&lt;&gt;""))+SUMPRODUCT((YEAR('Yearly Log'!$T$5:$T$204)=YEAR($O$2))*('Yearly Log'!$T$5:$T$204&lt;&gt;""))),0)</f>
        <v>0.34426229508196721</v>
      </c>
      <c r="E8" s="111"/>
      <c r="F8" s="113">
        <f ca="1">SUMPRODUCT(((MONTH(Discharge!$T$5:$T$204)=MONTH($O$2))*(YEAR(Discharge!$T$5:$T$204)=YEAR($O$2)))*(Discharge!$T$5:$T$204&lt;&gt;""))+SUMPRODUCT(((MONTH('Yearly Log'!$T$5:$T$204)=MONTH($O$2))*(YEAR('Yearly Log'!$T$5:$T$204)=YEAR($O$2)))*('Yearly Log'!$T$5:$T$204&lt;&gt;""))</f>
        <v>0</v>
      </c>
      <c r="G8" s="111"/>
      <c r="H8" s="113">
        <f ca="1">SUMPRODUCT(((Discharge!$T$5:$T$204&gt;=$O$2-WEEKDAY($O$2,2)+1)*(Discharge!$T$5:$T$204&lt;=$O$2-WEEKDAY($O$2,2)+7))*(Discharge!$T$5:$T$204&lt;&gt;""))+SUMPRODUCT((('Yearly Log'!$T$5:$T$204&gt;=$O$2-WEEKDAY($O$2,2)+1)*('Yearly Log'!$T$5:$T$204&lt;=$O$2-WEEKDAY($O$2,2)+7))*('Yearly Log'!$T$5:$T$204&lt;&gt;""))</f>
        <v>0</v>
      </c>
      <c r="I8" s="111"/>
      <c r="J8" s="114">
        <f ca="1">AVERAGE(IFERROR((SUMPRODUCT((YEAR(Discharge!$T$5:$T$204)=YEAR($O$2))*(Discharge!$V$5:$V$204="✓"))+SUMPRODUCT((YEAR('Yearly Log'!$T$5:$T$204)=YEAR($O$2))*('Yearly Log'!$V$5:$V$204="✓")))/(SUMPRODUCT((YEAR(Discharge!$T$5:$T$204)=YEAR($O$2))*(Discharge!$T$5:$T$204&lt;&gt;""))+SUMPRODUCT((YEAR('Yearly Log'!$T$5:$T$204)=YEAR($O$2))*('Yearly Log'!$T$5:$T$204&lt;&gt;""))),0),IFERROR((SUMPRODUCT((YEAR(Discharge!$T$5:$T$204)=YEAR($O$2))*(Discharge!$W$5:$W$204="✓"))+SUMPRODUCT((YEAR('Yearly Log'!$T$5:$T$204)=YEAR($O$2))*('Yearly Log'!$W$5:$W$204="✓")))/(SUMPRODUCT((YEAR(Discharge!$T$5:$T$204)=YEAR($O$2))*(Discharge!$T$5:$T$204&lt;&gt;""))+SUMPRODUCT((YEAR('Yearly Log'!$T$5:$T$204)=YEAR($O$2))*('Yearly Log'!$T$5:$T$204&lt;&gt;""))),0),IFERROR((SUMPRODUCT((YEAR(Discharge!$T$5:$T$204)=YEAR($O$2))*(Discharge!$X$5:$X$204="✓"))+SUMPRODUCT((YEAR('Yearly Log'!$T$5:$T$204)=YEAR($O$2))*('Yearly Log'!$X$5:$X$204="✓")))/(SUMPRODUCT((YEAR(Discharge!$T$5:$T$204)=YEAR($O$2))*(Discharge!$T$5:$T$204&lt;&gt;""))+SUMPRODUCT((YEAR('Yearly Log'!$T$5:$T$204)=YEAR($O$2))*('Yearly Log'!$T$5:$T$204&lt;&gt;""))),0),IFERROR((SUMPRODUCT((YEAR(Discharge!$T$5:$T$204)=YEAR($O$2))*(Discharge!$Y$5:$Y$204="✓"))+SUMPRODUCT((YEAR('Yearly Log'!$T$5:$T$204)=YEAR($O$2))*('Yearly Log'!$Y$5:$Y$204="✓")))/(SUMPRODUCT((YEAR(Discharge!$T$5:$T$204)=YEAR($O$2))*(Discharge!$T$5:$T$204&lt;&gt;""))+SUMPRODUCT((YEAR('Yearly Log'!$T$5:$T$204)=YEAR($O$2))*('Yearly Log'!$T$5:$T$204&lt;&gt;""))),0))</f>
        <v>0.3155737704918033</v>
      </c>
      <c r="K8" s="111"/>
      <c r="L8" s="2"/>
      <c r="M8" s="2"/>
      <c r="N8" s="2"/>
    </row>
    <row r="9" spans="2:15" ht="15" customHeight="1">
      <c r="B9" s="115" t="s">
        <v>8</v>
      </c>
      <c r="C9" s="116"/>
      <c r="D9" s="115" t="s">
        <v>8</v>
      </c>
      <c r="E9" s="116"/>
      <c r="F9" s="115" t="s">
        <v>9</v>
      </c>
      <c r="G9" s="116"/>
      <c r="H9" s="115" t="s">
        <v>9</v>
      </c>
      <c r="I9" s="116"/>
      <c r="J9" s="115" t="s">
        <v>10</v>
      </c>
      <c r="K9" s="116"/>
      <c r="L9" s="2"/>
      <c r="M9" s="2"/>
      <c r="N9" s="2"/>
    </row>
    <row r="10" spans="2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5" ht="19.5" customHeight="1">
      <c r="B12" s="88" t="s">
        <v>11</v>
      </c>
      <c r="C12" s="106"/>
      <c r="D12" s="106"/>
      <c r="E12" s="106"/>
      <c r="F12" s="117" t="s">
        <v>12</v>
      </c>
      <c r="G12" s="106"/>
      <c r="H12" s="106"/>
      <c r="I12" s="106"/>
      <c r="J12" s="117" t="s">
        <v>13</v>
      </c>
      <c r="K12" s="106"/>
      <c r="L12" s="106"/>
      <c r="M12" s="106"/>
      <c r="N12" s="106"/>
    </row>
    <row r="13" spans="2:15" ht="15.75" customHeight="1">
      <c r="B13" s="32" t="s">
        <v>14</v>
      </c>
      <c r="C13" s="86">
        <f ca="1">SUMPRODUCT((YEAR(Discharge!$T$5:$T$204)=YEAR($O$2))*(Discharge!$G$5:$G$204="Oceans"))+SUMPRODUCT((YEAR('Yearly Log'!$T$5:$T$204)=YEAR($O$2))*('Yearly Log'!$G$5:$G$204="Oceans"))</f>
        <v>13</v>
      </c>
      <c r="D13" s="106"/>
      <c r="E13" s="2"/>
      <c r="F13" s="32" t="s">
        <v>15</v>
      </c>
      <c r="G13" s="87">
        <f ca="1">IFERROR((SUMPRODUCT((YEAR(Discharge!$T$5:$T$204)=YEAR($O$2))*(Discharge!$V$5:$V$204="✓"))+SUMPRODUCT((YEAR('Yearly Log'!$T$5:$T$204)=YEAR($O$2))*('Yearly Log'!$V$5:$V$204="✓")))/(SUMPRODUCT((YEAR(Discharge!$T$5:$T$204)=YEAR($O$2))*(Discharge!$T$5:$T$204&lt;&gt;""))+SUMPRODUCT((YEAR('Yearly Log'!$T$5:$T$204)=YEAR($O$2))*('Yearly Log'!$T$5:$T$204&lt;&gt;""))),0)</f>
        <v>0.36065573770491804</v>
      </c>
      <c r="H13" s="106"/>
      <c r="I13" s="106"/>
      <c r="J13" s="32" t="s">
        <v>16</v>
      </c>
      <c r="K13" s="2"/>
      <c r="L13" s="86">
        <f ca="1">SUMPRODUCT((YEAR(Discharge!$T$5:$T$204)=YEAR($O$2))*(Discharge!$P$5:$P$204="Cenikor"))+SUMPRODUCT((YEAR('Yearly Log'!$T$5:$T$204)=YEAR($O$2))*('Yearly Log'!$P$5:$P$204="Cenikor"))</f>
        <v>8</v>
      </c>
      <c r="M13" s="106"/>
      <c r="N13" s="106"/>
    </row>
    <row r="14" spans="2:15" ht="15.75" customHeight="1">
      <c r="B14" s="32" t="s">
        <v>17</v>
      </c>
      <c r="C14" s="86">
        <f ca="1">SUMPRODUCT((YEAR(Discharge!$T$5:$T$204)=YEAR($O$2))*(Discharge!$G$5:$G$204="Bayview"))+SUMPRODUCT((YEAR('Yearly Log'!$T$5:$T$204)=YEAR($O$2))*('Yearly Log'!$G$5:$G$204="Bayview"))</f>
        <v>6</v>
      </c>
      <c r="D14" s="106"/>
      <c r="E14" s="2"/>
      <c r="F14" s="32" t="s">
        <v>18</v>
      </c>
      <c r="G14" s="87">
        <f ca="1">IFERROR((SUMPRODUCT((YEAR(Discharge!$T$5:$T$204)=YEAR($O$2))*(Discharge!$W$5:$W$204="✓"))+SUMPRODUCT((YEAR('Yearly Log'!$T$5:$T$204)=YEAR($O$2))*('Yearly Log'!$W$5:$W$204="✓")))/(SUMPRODUCT((YEAR(Discharge!$T$5:$T$204)=YEAR($O$2))*(Discharge!$T$5:$T$204&lt;&gt;""))+SUMPRODUCT((YEAR('Yearly Log'!$T$5:$T$204)=YEAR($O$2))*('Yearly Log'!$T$5:$T$204&lt;&gt;""))),0)</f>
        <v>0.27868852459016391</v>
      </c>
      <c r="H14" s="106"/>
      <c r="I14" s="106"/>
      <c r="J14" s="32" t="s">
        <v>19</v>
      </c>
      <c r="K14" s="2"/>
      <c r="L14" s="86">
        <f ca="1">SUMPRODUCT((YEAR(Discharge!$T$5:$T$204)=YEAR($O$2))*(Discharge!$P$5:$P$204="Lifetime Recovery"))+SUMPRODUCT((YEAR('Yearly Log'!$T$5:$T$204)=YEAR($O$2))*('Yearly Log'!$P$5:$P$204="Lifetime Recovery"))</f>
        <v>3</v>
      </c>
      <c r="M14" s="106"/>
      <c r="N14" s="106"/>
    </row>
    <row r="15" spans="2:15" ht="15.75" customHeight="1">
      <c r="B15" s="32" t="s">
        <v>20</v>
      </c>
      <c r="C15" s="86">
        <f ca="1">SUMPRODUCT((YEAR(Discharge!$T$5:$T$204)=YEAR($O$2))*(Discharge!$G$5:$G$204="PubDef"))+SUMPRODUCT((YEAR('Yearly Log'!$T$5:$T$204)=YEAR($O$2))*('Yearly Log'!$G$5:$G$204="PubDef"))</f>
        <v>5</v>
      </c>
      <c r="D15" s="106"/>
      <c r="E15" s="2"/>
      <c r="F15" s="32" t="s">
        <v>21</v>
      </c>
      <c r="G15" s="87">
        <f ca="1">IFERROR((SUMPRODUCT((YEAR(Discharge!$T$5:$T$204)=YEAR($O$2))*(Discharge!$X$5:$X$204="✓"))+SUMPRODUCT((YEAR('Yearly Log'!$T$5:$T$204)=YEAR($O$2))*('Yearly Log'!$X$5:$X$204="✓")))/(SUMPRODUCT((YEAR(Discharge!$T$5:$T$204)=YEAR($O$2))*(Discharge!$T$5:$T$204&lt;&gt;""))+SUMPRODUCT((YEAR('Yearly Log'!$T$5:$T$204)=YEAR($O$2))*('Yearly Log'!$T$5:$T$204&lt;&gt;""))),0)</f>
        <v>0.31147540983606559</v>
      </c>
      <c r="H15" s="106"/>
      <c r="I15" s="106"/>
      <c r="J15" s="32" t="s">
        <v>22</v>
      </c>
      <c r="K15" s="2"/>
      <c r="L15" s="86">
        <f ca="1">SUMPRODUCT((YEAR(Discharge!$T$5:$T$204)=YEAR($O$2))*(Discharge!$P$5:$P$204="Liberty Lodge"))+SUMPRODUCT((YEAR('Yearly Log'!$T$5:$T$204)=YEAR($O$2))*('Yearly Log'!$P$5:$P$204="Liberty Lodge"))</f>
        <v>8</v>
      </c>
      <c r="M15" s="106"/>
      <c r="N15" s="106"/>
    </row>
    <row r="16" spans="2:15" ht="15.75" customHeight="1">
      <c r="B16" s="32" t="s">
        <v>23</v>
      </c>
      <c r="C16" s="86">
        <f ca="1">SUMPRODUCT((YEAR(Discharge!$T$5:$T$204)=YEAR($O$2))*(Discharge!$G$5:$G$204="MCOT"))+SUMPRODUCT((YEAR('Yearly Log'!$T$5:$T$204)=YEAR($O$2))*('Yearly Log'!$G$5:$G$204="MCOT"))</f>
        <v>9</v>
      </c>
      <c r="D16" s="106"/>
      <c r="E16" s="2"/>
      <c r="F16" s="32" t="s">
        <v>24</v>
      </c>
      <c r="G16" s="87">
        <f ca="1">IFERROR((SUMPRODUCT((YEAR(Discharge!$T$5:$T$204)=YEAR($O$2))*(Discharge!$Y$5:$Y$204="✓"))+SUMPRODUCT((YEAR('Yearly Log'!$T$5:$T$204)=YEAR($O$2))*('Yearly Log'!$Y$5:$Y$204="✓")))/(SUMPRODUCT((YEAR(Discharge!$T$5:$T$204)=YEAR($O$2))*(Discharge!$T$5:$T$204&lt;&gt;""))+SUMPRODUCT((YEAR('Yearly Log'!$T$5:$T$204)=YEAR($O$2))*('Yearly Log'!$T$5:$T$204&lt;&gt;""))),0)</f>
        <v>0.31147540983606559</v>
      </c>
      <c r="H16" s="106"/>
      <c r="I16" s="106"/>
      <c r="J16" s="32" t="s">
        <v>25</v>
      </c>
      <c r="K16" s="2"/>
      <c r="L16" s="86">
        <f ca="1">SUMPRODUCT((YEAR(Discharge!$T$5:$T$204)=YEAR($O$2))*(Discharge!$Q$5:$Q$204="Oxford House"))+SUMPRODUCT((YEAR('Yearly Log'!$T$5:$T$204)=YEAR($O$2))*('Yearly Log'!$Q$5:$Q$204="Oxford House"))</f>
        <v>5</v>
      </c>
      <c r="M16" s="106"/>
      <c r="N16" s="106"/>
    </row>
    <row r="17" spans="2:14" ht="15.75" customHeight="1">
      <c r="B17" s="32" t="s">
        <v>26</v>
      </c>
      <c r="C17" s="86">
        <f ca="1">SUMPRODUCT((YEAR(Discharge!$T$5:$T$204)=YEAR($O$2))*(Discharge!$G$5:$G$204="CaseMgr"))+SUMPRODUCT((YEAR('Yearly Log'!$T$5:$T$204)=YEAR($O$2))*('Yearly Log'!$G$5:$G$204="CaseMgr"))</f>
        <v>4</v>
      </c>
      <c r="D17" s="106"/>
      <c r="E17" s="2"/>
      <c r="F17" s="2"/>
      <c r="G17" s="2"/>
      <c r="H17" s="2"/>
      <c r="I17" s="2"/>
      <c r="J17" s="32" t="s">
        <v>27</v>
      </c>
      <c r="K17" s="2"/>
      <c r="L17" s="86">
        <f ca="1">SUMPRODUCT((YEAR(Discharge!$T$5:$T$204)=YEAR($O$2))*(Discharge!$Q$5:$Q$204="Wenholtz House"))+SUMPRODUCT((YEAR('Yearly Log'!$T$5:$T$204)=YEAR($O$2))*('Yearly Log'!$Q$5:$Q$204="Wenholtz House"))</f>
        <v>2</v>
      </c>
      <c r="M17" s="106"/>
      <c r="N17" s="106"/>
    </row>
    <row r="18" spans="2:14" ht="15.75" customHeight="1">
      <c r="B18" s="32" t="s">
        <v>28</v>
      </c>
      <c r="C18" s="86">
        <f ca="1">SUMPRODUCT((YEAR(Discharge!$T$5:$T$204)=YEAR($O$2))*(Discharge!$G$5:$G$204="OCR"))+SUMPRODUCT((YEAR('Yearly Log'!$T$5:$T$204)=YEAR($O$2))*('Yearly Log'!$G$5:$G$204="OCR"))</f>
        <v>7</v>
      </c>
      <c r="D18" s="106"/>
      <c r="E18" s="2"/>
      <c r="F18" s="117" t="s">
        <v>29</v>
      </c>
      <c r="G18" s="106"/>
      <c r="H18" s="106"/>
      <c r="I18" s="106"/>
      <c r="J18" s="32" t="s">
        <v>30</v>
      </c>
      <c r="K18" s="2"/>
      <c r="L18" s="86">
        <f ca="1">SUMPRODUCT((YEAR(Discharge!$T$5:$T$204)=YEAR($O$2))*(Discharge!$Q$5:$Q$204="Rustic House"))+SUMPRODUCT((YEAR('Yearly Log'!$T$5:$T$204)=YEAR($O$2))*('Yearly Log'!$Q$5:$Q$204="Rustic House"))</f>
        <v>2</v>
      </c>
      <c r="M18" s="106"/>
      <c r="N18" s="106"/>
    </row>
    <row r="19" spans="2:14" ht="15.75" customHeight="1">
      <c r="B19" s="32" t="s">
        <v>31</v>
      </c>
      <c r="C19" s="86">
        <f ca="1">SUMPRODUCT((YEAR(Discharge!$T$5:$T$204)=YEAR($O$2))*(Discharge!$G$5:$G$204="IDD"))+SUMPRODUCT((YEAR('Yearly Log'!$T$5:$T$204)=YEAR($O$2))*('Yearly Log'!$G$5:$G$204="IDD"))</f>
        <v>2</v>
      </c>
      <c r="D19" s="106"/>
      <c r="E19" s="2"/>
      <c r="F19" s="32" t="s">
        <v>32</v>
      </c>
      <c r="G19" s="118">
        <f ca="1">SUMPRODUCT((YEAR(Discharge!$T$5:$T$204)=YEAR($O$2))*(Discharge!$U$5:$U$204="✓"))+SUMPRODUCT((YEAR('Yearly Log'!$T$5:$T$204)=YEAR($O$2))*('Yearly Log'!$U$5:$U$204="✓"))</f>
        <v>21</v>
      </c>
      <c r="H19" s="106"/>
      <c r="I19" s="106"/>
      <c r="J19" s="32" t="s">
        <v>33</v>
      </c>
      <c r="K19" s="2"/>
      <c r="L19" s="86">
        <f ca="1">SUMPRODUCT((YEAR(Discharge!$T$5:$T$204)=YEAR($O$2))*(Discharge!$Q$5:$Q$204="Broken Chains"))+SUMPRODUCT((YEAR('Yearly Log'!$T$5:$T$204)=YEAR($O$2))*('Yearly Log'!$Q$5:$Q$204="Broken Chains"))</f>
        <v>1</v>
      </c>
      <c r="M19" s="106"/>
      <c r="N19" s="106"/>
    </row>
    <row r="20" spans="2:14" ht="15.75" customHeight="1">
      <c r="B20" s="32" t="s">
        <v>34</v>
      </c>
      <c r="C20" s="86">
        <f ca="1">SUMPRODUCT((YEAR(Discharge!$T$5:$T$204)=YEAR($O$2))*(Discharge!$G$5:$G$204="OTHER"))+SUMPRODUCT((YEAR('Yearly Log'!$T$5:$T$204)=YEAR($O$2))*('Yearly Log'!$G$5:$G$204="OTHER"))</f>
        <v>6</v>
      </c>
      <c r="D20" s="106"/>
      <c r="E20" s="2"/>
      <c r="F20" s="32" t="s">
        <v>35</v>
      </c>
      <c r="G20" s="118">
        <f ca="1">SUMPRODUCT((YEAR(Discharge!$T$5:$T$204)=YEAR($O$2))*(Discharge!$U$5:$U$204="✗"))+SUMPRODUCT((YEAR('Yearly Log'!$T$5:$T$204)=YEAR($O$2))*('Yearly Log'!$U$5:$U$204="✗"))</f>
        <v>9</v>
      </c>
      <c r="H20" s="106"/>
      <c r="I20" s="106"/>
      <c r="J20" s="32" t="s">
        <v>36</v>
      </c>
      <c r="K20" s="2"/>
      <c r="L20" s="86">
        <f ca="1">SUMPRODUCT((YEAR(Discharge!$T$5:$T$204)=YEAR($O$2))*(Discharge!$O$5:$O$204="Good Sam"))+SUMPRODUCT((YEAR('Yearly Log'!$T$5:$T$204)=YEAR($O$2))*('Yearly Log'!$O$5:$O$204="Good Sam"))</f>
        <v>15</v>
      </c>
      <c r="M20" s="106"/>
      <c r="N20" s="106"/>
    </row>
    <row r="21" spans="2:14" ht="15.75" customHeight="1">
      <c r="B21" s="2"/>
      <c r="C21" s="2"/>
      <c r="D21" s="2"/>
      <c r="E21" s="2"/>
      <c r="F21" s="2"/>
      <c r="G21" s="2"/>
      <c r="H21" s="2"/>
      <c r="I21" s="2"/>
      <c r="J21" s="32" t="s">
        <v>37</v>
      </c>
      <c r="K21" s="2"/>
      <c r="L21" s="86">
        <f ca="1">SUMPRODUCT((YEAR(Discharge!$T$5:$T$204)=YEAR($O$2))*(Discharge!$O$5:$O$204="Salvation Army"))+SUMPRODUCT((YEAR('Yearly Log'!$T$5:$T$204)=YEAR($O$2))*('Yearly Log'!$O$5:$O$204="Salvation Army"))</f>
        <v>13</v>
      </c>
      <c r="M21" s="106"/>
      <c r="N21" s="106"/>
    </row>
    <row r="22" spans="2:14" ht="15" customHeight="1">
      <c r="B22" s="108"/>
      <c r="C22" s="109"/>
      <c r="D22" s="108"/>
      <c r="E22" s="109"/>
      <c r="F22" s="2"/>
      <c r="G22" s="2"/>
      <c r="H22" s="2"/>
      <c r="I22" s="2"/>
      <c r="J22" s="2"/>
      <c r="K22" s="2"/>
      <c r="L22" s="2"/>
      <c r="M22" s="2"/>
      <c r="N22" s="2"/>
    </row>
    <row r="23" spans="2:14" ht="15" customHeight="1">
      <c r="B23" s="110" t="s">
        <v>38</v>
      </c>
      <c r="C23" s="111"/>
      <c r="D23" s="110" t="s">
        <v>39</v>
      </c>
      <c r="E23" s="111"/>
      <c r="F23" s="2"/>
      <c r="G23" s="2"/>
      <c r="H23" s="2"/>
      <c r="I23" s="2"/>
      <c r="J23" s="2"/>
      <c r="K23" s="2"/>
      <c r="L23" s="2"/>
      <c r="M23" s="2"/>
      <c r="N23" s="2"/>
    </row>
    <row r="24" spans="2:14" ht="15" customHeight="1">
      <c r="B24" s="112"/>
      <c r="C24" s="111"/>
      <c r="D24" s="112"/>
      <c r="E24" s="111"/>
      <c r="F24" s="2"/>
      <c r="G24" s="2"/>
      <c r="H24" s="2"/>
      <c r="I24" s="2"/>
      <c r="J24" s="2"/>
      <c r="K24" s="2"/>
      <c r="L24" s="2"/>
      <c r="M24" s="2"/>
      <c r="N24" s="2"/>
    </row>
    <row r="25" spans="2:14" ht="30" customHeight="1">
      <c r="B25" s="119">
        <f ca="1">IFERROR((SUMPRODUCT((YEAR(Discharge!$T$5:$T$204)=YEAR($O$2))*(Discharge!$T$5:$T$204&lt;&gt;"")*(Discharge!$C$5:$C$204&lt;&gt;"")*(Discharge!$T$5:$T$204-Discharge!$C$5:$C$204))+SUMPRODUCT((YEAR('Yearly Log'!$T$5:$T$204)=YEAR($O$2))*('Yearly Log'!$T$5:$T$204&lt;&gt;"")*('Yearly Log'!$C$5:$C$204&lt;&gt;"")*('Yearly Log'!$T$5:$T$204-'Yearly Log'!$C$5:$C$204)))/(SUMPRODUCT((YEAR(Discharge!$T$5:$T$204)=YEAR($O$2))*(Discharge!$T$5:$T$204&lt;&gt;"")*(Discharge!$C$5:$C$204&lt;&gt;""))+SUMPRODUCT((YEAR('Yearly Log'!$T$5:$T$204)=YEAR($O$2))*('Yearly Log'!$T$5:$T$204&lt;&gt;"")*('Yearly Log'!$C$5:$C$204&lt;&gt;""))),0)</f>
        <v>25.307692307692307</v>
      </c>
      <c r="C25" s="111"/>
      <c r="D25" s="120">
        <f ca="1">IFERROR((SUMPRODUCT(((MONTH(Discharge!$T$5:$T$204)=MONTH($O$2))*(YEAR(Discharge!$T$5:$T$204)=YEAR($O$2)))*(Discharge!$T$5:$T$204&lt;&gt;""))+SUMPRODUCT(((MONTH('Yearly Log'!$T$5:$T$204)=MONTH($O$2))*(YEAR('Yearly Log'!$T$5:$T$204)=YEAR($O$2)))*('Yearly Log'!$T$5:$T$204&lt;&gt;"")))-(SUMPRODUCT(((MONTH(Discharge!$T$5:$T$204)=MONTH(EDATE($O$2,-1)))*(YEAR(Discharge!$T$5:$T$204)=YEAR(EDATE($O$2,-1))))*(Discharge!$T$5:$T$204&lt;&gt;""))+SUMPRODUCT(((MONTH('Yearly Log'!$T$5:$T$204)=MONTH(EDATE($O$2,-1)))*(YEAR('Yearly Log'!$T$5:$T$204)=YEAR(EDATE($O$2,-1))))*('Yearly Log'!$T$5:$T$204&lt;&gt;""))),0)</f>
        <v>-41</v>
      </c>
      <c r="E25" s="111"/>
      <c r="F25" s="2"/>
      <c r="G25" s="2"/>
      <c r="H25" s="2"/>
      <c r="I25" s="2"/>
      <c r="J25" s="2"/>
      <c r="K25" s="2"/>
      <c r="L25" s="2"/>
      <c r="M25" s="2"/>
      <c r="N25" s="2"/>
    </row>
    <row r="26" spans="2:14" ht="15" customHeight="1">
      <c r="B26" s="115" t="s">
        <v>40</v>
      </c>
      <c r="C26" s="116"/>
      <c r="D26" s="115" t="s">
        <v>41</v>
      </c>
      <c r="E26" s="116"/>
      <c r="F26" s="2"/>
      <c r="G26" s="2"/>
      <c r="H26" s="2"/>
      <c r="I26" s="2"/>
      <c r="J26" s="2"/>
      <c r="K26" s="2"/>
      <c r="L26" s="2"/>
      <c r="M26" s="2"/>
      <c r="N26" s="2"/>
    </row>
    <row r="27" spans="2:14" ht="15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.75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ht="15.7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 ht="15.7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 ht="15.7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ht="15" customHeight="1">
      <c r="B32" s="117" t="s">
        <v>42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</row>
    <row r="33" spans="2:14" ht="15" customHeight="1">
      <c r="B33" s="38" t="s">
        <v>43</v>
      </c>
      <c r="C33" s="38" t="s">
        <v>44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customHeight="1">
      <c r="B34" s="32" t="s">
        <v>45</v>
      </c>
      <c r="C34" s="32">
        <f ca="1">SUMPRODUCT(((MONTH(Discharge!$T$5:$T$204)=1)*(YEAR(Discharge!$T$5:$T$204)=YEAR($O$2)))*(Discharge!$T$5:$T$204&lt;&gt;""))+SUMPRODUCT(((MONTH('Yearly Log'!$T$5:$T$204)=1)*(YEAR('Yearly Log'!$T$5:$T$204)=YEAR($O$2)))*('Yearly Log'!$T$5:$T$204&lt;&gt;""))</f>
        <v>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customHeight="1">
      <c r="B35" s="32" t="s">
        <v>46</v>
      </c>
      <c r="C35" s="32">
        <f ca="1">SUMPRODUCT(((MONTH(Discharge!$T$5:$T$204)=2)*(YEAR(Discharge!$T$5:$T$204)=YEAR($O$2)))*(Discharge!$T$5:$T$204&lt;&gt;""))+SUMPRODUCT(((MONTH('Yearly Log'!$T$5:$T$204)=2)*(YEAR('Yearly Log'!$T$5:$T$204)=YEAR($O$2)))*('Yearly Log'!$T$5:$T$204&lt;&gt;""))</f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customHeight="1">
      <c r="B36" s="32" t="s">
        <v>47</v>
      </c>
      <c r="C36" s="32">
        <f ca="1">SUMPRODUCT(((MONTH(Discharge!$T$5:$T$204)=3)*(YEAR(Discharge!$T$5:$T$204)=YEAR($O$2)))*(Discharge!$T$5:$T$204&lt;&gt;""))+SUMPRODUCT(((MONTH('Yearly Log'!$T$5:$T$204)=3)*(YEAR('Yearly Log'!$T$5:$T$204)=YEAR($O$2)))*('Yearly Log'!$T$5:$T$204&lt;&gt;""))</f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customHeight="1">
      <c r="B37" s="32" t="s">
        <v>48</v>
      </c>
      <c r="C37" s="32">
        <f ca="1">SUMPRODUCT(((MONTH(Discharge!$T$5:$T$204)=4)*(YEAR(Discharge!$T$5:$T$204)=YEAR($O$2)))*(Discharge!$T$5:$T$204&lt;&gt;""))+SUMPRODUCT(((MONTH('Yearly Log'!$T$5:$T$204)=4)*(YEAR('Yearly Log'!$T$5:$T$204)=YEAR($O$2)))*('Yearly Log'!$T$5:$T$204&lt;&gt;""))</f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customHeight="1">
      <c r="B38" s="32" t="s">
        <v>49</v>
      </c>
      <c r="C38" s="32">
        <f ca="1">SUMPRODUCT(((MONTH(Discharge!$T$5:$T$204)=5)*(YEAR(Discharge!$T$5:$T$204)=YEAR($O$2)))*(Discharge!$T$5:$T$204&lt;&gt;""))+SUMPRODUCT(((MONTH('Yearly Log'!$T$5:$T$204)=5)*(YEAR('Yearly Log'!$T$5:$T$204)=YEAR($O$2)))*('Yearly Log'!$T$5:$T$204&lt;&gt;""))</f>
        <v>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customHeight="1">
      <c r="B39" s="32" t="s">
        <v>50</v>
      </c>
      <c r="C39" s="32">
        <f ca="1">SUMPRODUCT(((MONTH(Discharge!$T$5:$T$204)=6)*(YEAR(Discharge!$T$5:$T$204)=YEAR($O$2)))*(Discharge!$T$5:$T$204&lt;&gt;""))+SUMPRODUCT(((MONTH('Yearly Log'!$T$5:$T$204)=6)*(YEAR('Yearly Log'!$T$5:$T$204)=YEAR($O$2)))*('Yearly Log'!$T$5:$T$204&lt;&gt;""))</f>
        <v>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 ht="15" customHeight="1">
      <c r="B40" s="32" t="s">
        <v>51</v>
      </c>
      <c r="C40" s="32">
        <f ca="1">SUMPRODUCT(((MONTH(Discharge!$T$5:$T$204)=7)*(YEAR(Discharge!$T$5:$T$204)=YEAR($O$2)))*(Discharge!$T$5:$T$204&lt;&gt;""))+SUMPRODUCT(((MONTH('Yearly Log'!$T$5:$T$204)=7)*(YEAR('Yearly Log'!$T$5:$T$204)=YEAR($O$2)))*('Yearly Log'!$T$5:$T$204&lt;&gt;""))</f>
        <v>41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 ht="15" customHeight="1">
      <c r="B41" s="32" t="s">
        <v>52</v>
      </c>
      <c r="C41" s="32">
        <f ca="1">SUMPRODUCT(((MONTH(Discharge!$T$5:$T$204)=8)*(YEAR(Discharge!$T$5:$T$204)=YEAR($O$2)))*(Discharge!$T$5:$T$204&lt;&gt;""))+SUMPRODUCT(((MONTH('Yearly Log'!$T$5:$T$204)=8)*(YEAR('Yearly Log'!$T$5:$T$204)=YEAR($O$2)))*('Yearly Log'!$T$5:$T$204&lt;&gt;""))</f>
        <v>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 ht="15" customHeight="1">
      <c r="B42" s="32" t="s">
        <v>53</v>
      </c>
      <c r="C42" s="32">
        <f ca="1">SUMPRODUCT(((MONTH(Discharge!$T$5:$T$204)=9)*(YEAR(Discharge!$T$5:$T$204)=YEAR($O$2)))*(Discharge!$T$5:$T$204&lt;&gt;""))+SUMPRODUCT(((MONTH('Yearly Log'!$T$5:$T$204)=9)*(YEAR('Yearly Log'!$T$5:$T$204)=YEAR($O$2)))*('Yearly Log'!$T$5:$T$204&lt;&gt;""))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 ht="15" customHeight="1">
      <c r="B43" s="32" t="s">
        <v>54</v>
      </c>
      <c r="C43" s="32">
        <f ca="1">SUMPRODUCT(((MONTH(Discharge!$T$5:$T$204)=10)*(YEAR(Discharge!$T$5:$T$204)=YEAR($O$2)))*(Discharge!$T$5:$T$204&lt;&gt;""))+SUMPRODUCT(((MONTH('Yearly Log'!$T$5:$T$204)=10)*(YEAR('Yearly Log'!$T$5:$T$204)=YEAR($O$2)))*('Yearly Log'!$T$5:$T$204&lt;&gt;""))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ht="15" customHeight="1">
      <c r="B44" s="32" t="s">
        <v>55</v>
      </c>
      <c r="C44" s="32">
        <f ca="1">SUMPRODUCT(((MONTH(Discharge!$T$5:$T$204)=11)*(YEAR(Discharge!$T$5:$T$204)=YEAR($O$2)))*(Discharge!$T$5:$T$204&lt;&gt;""))+SUMPRODUCT(((MONTH('Yearly Log'!$T$5:$T$204)=11)*(YEAR('Yearly Log'!$T$5:$T$204)=YEAR($O$2)))*('Yearly Log'!$T$5:$T$204&lt;&gt;""))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ht="15" customHeight="1">
      <c r="B45" s="32" t="s">
        <v>56</v>
      </c>
      <c r="C45" s="32">
        <f ca="1">SUMPRODUCT(((MONTH(Discharge!$T$5:$T$204)=12)*(YEAR(Discharge!$T$5:$T$204)=YEAR($O$2)))*(Discharge!$T$5:$T$204&lt;&gt;""))+SUMPRODUCT(((MONTH('Yearly Log'!$T$5:$T$204)=12)*(YEAR('Yearly Log'!$T$5:$T$204)=YEAR($O$2)))*('Yearly Log'!$T$5:$T$204&lt;&gt;""))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</sheetData>
  <mergeCells count="65">
    <mergeCell ref="L13:N13"/>
    <mergeCell ref="C13:D13"/>
    <mergeCell ref="L14:N14"/>
    <mergeCell ref="B12:E12"/>
    <mergeCell ref="F12:I12"/>
    <mergeCell ref="J12:N12"/>
    <mergeCell ref="C14:D14"/>
    <mergeCell ref="G14:I14"/>
    <mergeCell ref="C16:D16"/>
    <mergeCell ref="C17:D17"/>
    <mergeCell ref="B9:C9"/>
    <mergeCell ref="G13:I13"/>
    <mergeCell ref="C18:D18"/>
    <mergeCell ref="C15:D15"/>
    <mergeCell ref="L15:N15"/>
    <mergeCell ref="G15:I15"/>
    <mergeCell ref="L21:N21"/>
    <mergeCell ref="B22:C22"/>
    <mergeCell ref="D22:E22"/>
    <mergeCell ref="G19:I19"/>
    <mergeCell ref="G20:I20"/>
    <mergeCell ref="C19:D19"/>
    <mergeCell ref="C20:D20"/>
    <mergeCell ref="L19:N19"/>
    <mergeCell ref="L20:N20"/>
    <mergeCell ref="L16:N16"/>
    <mergeCell ref="L17:N17"/>
    <mergeCell ref="L18:N18"/>
    <mergeCell ref="G16:I16"/>
    <mergeCell ref="F18:I18"/>
    <mergeCell ref="D26:E26"/>
    <mergeCell ref="B32:N32"/>
    <mergeCell ref="B23:C23"/>
    <mergeCell ref="D23:E23"/>
    <mergeCell ref="B24:C24"/>
    <mergeCell ref="D24:E24"/>
    <mergeCell ref="B25:C25"/>
    <mergeCell ref="D25:E25"/>
    <mergeCell ref="B26:C26"/>
    <mergeCell ref="B2:M2"/>
    <mergeCell ref="B3:M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B7:C7"/>
    <mergeCell ref="J6:K6"/>
    <mergeCell ref="D7:E7"/>
    <mergeCell ref="J7:K7"/>
    <mergeCell ref="H9:I9"/>
    <mergeCell ref="J9:K9"/>
    <mergeCell ref="F7:G7"/>
    <mergeCell ref="H7:I7"/>
    <mergeCell ref="D9:E9"/>
    <mergeCell ref="F9:G9"/>
    <mergeCell ref="B8:C8"/>
    <mergeCell ref="D8:E8"/>
    <mergeCell ref="F8:G8"/>
    <mergeCell ref="H8:I8"/>
    <mergeCell ref="J8:K8"/>
  </mergeCells>
  <conditionalFormatting sqref="D25">
    <cfRule type="cellIs" dxfId="954" priority="1" operator="lessThan">
      <formula>0</formula>
    </cfRule>
  </conditionalFormatting>
  <conditionalFormatting sqref="D25">
    <cfRule type="cellIs" dxfId="953" priority="2" operator="greaterThanOrEqual">
      <formula>0</formula>
    </cfRule>
  </conditionalFormatting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"/>
  <sheetViews>
    <sheetView tabSelected="1" workbookViewId="0">
      <pane ySplit="4" topLeftCell="A5" activePane="bottomLeft" state="frozen"/>
      <selection pane="bottomLeft" activeCell="A14" sqref="A14"/>
    </sheetView>
  </sheetViews>
  <sheetFormatPr defaultColWidth="14.42578125" defaultRowHeight="15" customHeight="1" outlineLevelCol="1"/>
  <cols>
    <col min="1" max="1" width="24" customWidth="1"/>
    <col min="2" max="2" width="18" customWidth="1"/>
    <col min="3" max="3" width="14.5703125" customWidth="1"/>
    <col min="4" max="4" width="15.28515625" customWidth="1"/>
    <col min="5" max="5" width="9" customWidth="1"/>
    <col min="6" max="6" width="15.28515625" customWidth="1"/>
    <col min="7" max="7" width="17.28515625" customWidth="1"/>
    <col min="8" max="9" width="15.28515625" customWidth="1"/>
    <col min="10" max="11" width="13" customWidth="1" outlineLevel="1"/>
    <col min="12" max="12" width="14.7109375" customWidth="1" outlineLevel="1"/>
    <col min="13" max="13" width="15.140625" customWidth="1" outlineLevel="1"/>
    <col min="14" max="14" width="13.140625" customWidth="1" outlineLevel="1"/>
    <col min="15" max="15" width="13" customWidth="1" outlineLevel="1"/>
    <col min="16" max="17" width="15.28515625" customWidth="1" outlineLevel="1"/>
    <col min="18" max="18" width="30" customWidth="1"/>
    <col min="19" max="19" width="10" style="2" customWidth="1"/>
    <col min="20" max="20" width="13.28515625" customWidth="1"/>
    <col min="21" max="21" width="15.28515625" customWidth="1"/>
    <col min="22" max="26" width="8.7109375" customWidth="1"/>
  </cols>
  <sheetData>
    <row r="1" spans="1:21" ht="19.5" customHeight="1">
      <c r="A1" s="82" t="s">
        <v>57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2"/>
      <c r="R1" s="2"/>
      <c r="T1" s="2"/>
      <c r="U1" s="2"/>
    </row>
    <row r="2" spans="1:21" ht="15" customHeight="1">
      <c r="A2" s="83" t="s">
        <v>58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2"/>
      <c r="R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  <c r="U3" s="2"/>
    </row>
    <row r="4" spans="1:21" ht="31.5" customHeight="1">
      <c r="A4" s="59" t="s">
        <v>59</v>
      </c>
      <c r="B4" s="60" t="s">
        <v>60</v>
      </c>
      <c r="C4" s="60" t="s">
        <v>61</v>
      </c>
      <c r="D4" s="60" t="s">
        <v>62</v>
      </c>
      <c r="E4" s="60" t="s">
        <v>63</v>
      </c>
      <c r="F4" s="60" t="s">
        <v>64</v>
      </c>
      <c r="G4" s="60" t="s">
        <v>65</v>
      </c>
      <c r="H4" s="60" t="s">
        <v>66</v>
      </c>
      <c r="I4" s="60" t="s">
        <v>67</v>
      </c>
      <c r="J4" s="61" t="s">
        <v>15</v>
      </c>
      <c r="K4" s="61" t="s">
        <v>24</v>
      </c>
      <c r="L4" s="61" t="s">
        <v>21</v>
      </c>
      <c r="M4" s="61" t="s">
        <v>68</v>
      </c>
      <c r="N4" s="61" t="s">
        <v>18</v>
      </c>
      <c r="O4" s="73" t="s">
        <v>69</v>
      </c>
      <c r="P4" s="73" t="s">
        <v>70</v>
      </c>
      <c r="Q4" s="73" t="s">
        <v>71</v>
      </c>
      <c r="R4" s="60" t="s">
        <v>72</v>
      </c>
      <c r="S4" s="60" t="s">
        <v>73</v>
      </c>
      <c r="T4" s="60" t="s">
        <v>74</v>
      </c>
      <c r="U4" s="62" t="s">
        <v>75</v>
      </c>
    </row>
    <row r="5" spans="1:21" ht="15" customHeight="1">
      <c r="A5" s="56">
        <v>102558</v>
      </c>
      <c r="B5" s="9" t="s">
        <v>76</v>
      </c>
      <c r="C5" s="10">
        <v>46228</v>
      </c>
      <c r="D5" s="8">
        <f t="shared" ref="D5:D20" ca="1" si="0">IF(C5="","",TODAY()-C5)</f>
        <v>14</v>
      </c>
      <c r="E5" s="8" t="s">
        <v>77</v>
      </c>
      <c r="F5" s="9" t="s">
        <v>77</v>
      </c>
      <c r="G5" s="8" t="s">
        <v>20</v>
      </c>
      <c r="H5" s="7" t="s">
        <v>78</v>
      </c>
      <c r="I5" s="7" t="s">
        <v>79</v>
      </c>
      <c r="J5" s="7" t="s">
        <v>80</v>
      </c>
      <c r="K5" s="7"/>
      <c r="L5" s="7"/>
      <c r="M5" s="7"/>
      <c r="N5" s="7"/>
      <c r="O5" s="7"/>
      <c r="P5" s="7"/>
      <c r="Q5" s="7"/>
      <c r="R5" s="14"/>
      <c r="S5" s="16" t="s">
        <v>81</v>
      </c>
      <c r="T5" s="7"/>
      <c r="U5" s="58"/>
    </row>
    <row r="6" spans="1:21" ht="15" customHeight="1">
      <c r="A6" s="56">
        <v>3520025</v>
      </c>
      <c r="B6" s="9" t="s">
        <v>82</v>
      </c>
      <c r="C6" s="10">
        <v>46240</v>
      </c>
      <c r="D6" s="8">
        <f t="shared" ca="1" si="0"/>
        <v>2</v>
      </c>
      <c r="E6" s="8" t="s">
        <v>83</v>
      </c>
      <c r="F6" s="9"/>
      <c r="G6" s="8" t="s">
        <v>17</v>
      </c>
      <c r="H6" s="21" t="s">
        <v>78</v>
      </c>
      <c r="I6" s="21" t="s">
        <v>79</v>
      </c>
      <c r="J6" s="21" t="s">
        <v>79</v>
      </c>
      <c r="K6" s="21"/>
      <c r="L6" s="21"/>
      <c r="M6" s="21"/>
      <c r="N6" s="21"/>
      <c r="O6" s="21"/>
      <c r="P6" s="21"/>
      <c r="Q6" s="21"/>
      <c r="R6" s="22"/>
      <c r="S6" s="16" t="s">
        <v>84</v>
      </c>
      <c r="T6" s="7"/>
      <c r="U6" s="58"/>
    </row>
    <row r="7" spans="1:21" ht="15" customHeight="1">
      <c r="A7" s="56"/>
      <c r="B7" s="9"/>
      <c r="C7" s="10"/>
      <c r="D7" s="8" t="str">
        <f t="shared" ca="1" si="0"/>
        <v/>
      </c>
      <c r="E7" s="8"/>
      <c r="F7" s="9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14"/>
      <c r="S7" s="16" t="s">
        <v>85</v>
      </c>
      <c r="T7" s="7"/>
      <c r="U7" s="58"/>
    </row>
    <row r="8" spans="1:21" ht="15" customHeight="1">
      <c r="A8" s="56"/>
      <c r="B8" s="9"/>
      <c r="C8" s="10"/>
      <c r="D8" s="8" t="str">
        <f t="shared" ca="1" si="0"/>
        <v/>
      </c>
      <c r="E8" s="8"/>
      <c r="F8" s="9"/>
      <c r="G8" s="8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16" t="s">
        <v>86</v>
      </c>
      <c r="T8" s="7"/>
      <c r="U8" s="58"/>
    </row>
    <row r="9" spans="1:21" ht="15" customHeight="1">
      <c r="A9" s="56"/>
      <c r="B9" s="9"/>
      <c r="C9" s="10"/>
      <c r="D9" s="8" t="str">
        <f t="shared" ca="1" si="0"/>
        <v/>
      </c>
      <c r="E9" s="8"/>
      <c r="F9" s="9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14"/>
      <c r="S9" s="16" t="s">
        <v>87</v>
      </c>
      <c r="T9" s="7"/>
      <c r="U9" s="58"/>
    </row>
    <row r="10" spans="1:21" ht="15" customHeight="1">
      <c r="A10" s="56"/>
      <c r="B10" s="9"/>
      <c r="C10" s="72"/>
      <c r="D10" s="8" t="str">
        <f t="shared" ca="1" si="0"/>
        <v/>
      </c>
      <c r="E10" s="8"/>
      <c r="F10" s="9"/>
      <c r="G10" s="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2"/>
      <c r="S10" s="16" t="s">
        <v>88</v>
      </c>
      <c r="T10" s="7"/>
      <c r="U10" s="58"/>
    </row>
    <row r="11" spans="1:21" ht="15" customHeight="1">
      <c r="A11" s="56"/>
      <c r="B11" s="9"/>
      <c r="C11" s="10"/>
      <c r="D11" s="8" t="str">
        <f t="shared" ca="1" si="0"/>
        <v/>
      </c>
      <c r="E11" s="8"/>
      <c r="F11" s="9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14"/>
      <c r="S11" s="16" t="s">
        <v>89</v>
      </c>
      <c r="T11" s="7"/>
      <c r="U11" s="58"/>
    </row>
    <row r="12" spans="1:21" ht="15" customHeight="1">
      <c r="A12" s="56"/>
      <c r="B12" s="9"/>
      <c r="C12" s="10"/>
      <c r="D12" s="8" t="str">
        <f t="shared" ca="1" si="0"/>
        <v/>
      </c>
      <c r="E12" s="8"/>
      <c r="F12" s="9"/>
      <c r="G12" s="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  <c r="S12" s="16" t="s">
        <v>90</v>
      </c>
      <c r="T12" s="7"/>
      <c r="U12" s="58"/>
    </row>
    <row r="13" spans="1:21" ht="15" customHeight="1">
      <c r="A13" s="57">
        <v>102558</v>
      </c>
      <c r="B13" s="27" t="s">
        <v>91</v>
      </c>
      <c r="C13" s="28">
        <v>46223</v>
      </c>
      <c r="D13" s="8">
        <f t="shared" ca="1" si="0"/>
        <v>19</v>
      </c>
      <c r="E13" s="26" t="s">
        <v>92</v>
      </c>
      <c r="F13" s="27" t="s">
        <v>77</v>
      </c>
      <c r="G13" s="26" t="s">
        <v>17</v>
      </c>
      <c r="H13" s="7" t="s">
        <v>78</v>
      </c>
      <c r="I13" s="7" t="s">
        <v>79</v>
      </c>
      <c r="J13" s="7" t="s">
        <v>79</v>
      </c>
      <c r="K13" s="7"/>
      <c r="L13" s="7"/>
      <c r="M13" s="7"/>
      <c r="N13" s="7"/>
      <c r="O13" s="7"/>
      <c r="P13" s="7"/>
      <c r="Q13" s="7"/>
      <c r="R13" s="14"/>
      <c r="S13" s="29" t="s">
        <v>93</v>
      </c>
      <c r="T13" s="7"/>
      <c r="U13" s="58"/>
    </row>
    <row r="14" spans="1:21" ht="15" customHeight="1">
      <c r="A14" s="57">
        <v>10223</v>
      </c>
      <c r="B14" s="27" t="s">
        <v>94</v>
      </c>
      <c r="C14" s="28">
        <v>46231</v>
      </c>
      <c r="D14" s="8">
        <f t="shared" ca="1" si="0"/>
        <v>11</v>
      </c>
      <c r="E14" s="26"/>
      <c r="F14" s="27"/>
      <c r="G14" s="26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  <c r="S14" s="29" t="s">
        <v>95</v>
      </c>
      <c r="T14" s="7"/>
      <c r="U14" s="58"/>
    </row>
    <row r="15" spans="1:21" ht="15" customHeight="1">
      <c r="A15" s="57">
        <v>10101010</v>
      </c>
      <c r="B15" s="27" t="s">
        <v>96</v>
      </c>
      <c r="C15" s="28">
        <v>46237</v>
      </c>
      <c r="D15" s="8">
        <f t="shared" ca="1" si="0"/>
        <v>5</v>
      </c>
      <c r="E15" s="26"/>
      <c r="F15" s="27"/>
      <c r="G15" s="26"/>
      <c r="H15" s="7"/>
      <c r="I15" s="7"/>
      <c r="J15" s="7"/>
      <c r="K15" s="7"/>
      <c r="L15" s="7"/>
      <c r="M15" s="7"/>
      <c r="N15" s="7"/>
      <c r="O15" s="7"/>
      <c r="P15" s="7"/>
      <c r="Q15" s="7"/>
      <c r="R15" s="14"/>
      <c r="S15" s="29" t="s">
        <v>97</v>
      </c>
      <c r="T15" s="7"/>
      <c r="U15" s="58"/>
    </row>
    <row r="16" spans="1:21" ht="15" customHeight="1">
      <c r="A16" s="57">
        <v>25585</v>
      </c>
      <c r="B16" s="27" t="s">
        <v>98</v>
      </c>
      <c r="C16" s="28">
        <v>46239</v>
      </c>
      <c r="D16" s="8">
        <f t="shared" ca="1" si="0"/>
        <v>3</v>
      </c>
      <c r="E16" s="26"/>
      <c r="F16" s="27"/>
      <c r="G16" s="26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  <c r="S16" s="29" t="s">
        <v>99</v>
      </c>
      <c r="T16" s="7"/>
      <c r="U16" s="58"/>
    </row>
    <row r="17" spans="1:21" ht="15" customHeight="1">
      <c r="A17" s="57">
        <v>588588</v>
      </c>
      <c r="B17" s="27" t="s">
        <v>100</v>
      </c>
      <c r="C17" s="28">
        <v>46238</v>
      </c>
      <c r="D17" s="8">
        <f t="shared" ca="1" si="0"/>
        <v>4</v>
      </c>
      <c r="E17" s="26"/>
      <c r="F17" s="27"/>
      <c r="G17" s="26"/>
      <c r="H17" s="7"/>
      <c r="I17" s="7"/>
      <c r="J17" s="7"/>
      <c r="K17" s="7"/>
      <c r="L17" s="7"/>
      <c r="M17" s="7"/>
      <c r="N17" s="7"/>
      <c r="O17" s="7"/>
      <c r="P17" s="7"/>
      <c r="Q17" s="7"/>
      <c r="R17" s="14"/>
      <c r="S17" s="29" t="s">
        <v>101</v>
      </c>
      <c r="T17" s="7"/>
      <c r="U17" s="58"/>
    </row>
    <row r="18" spans="1:21" ht="15" customHeight="1">
      <c r="A18" s="57">
        <v>3855</v>
      </c>
      <c r="B18" s="27" t="s">
        <v>102</v>
      </c>
      <c r="C18" s="28">
        <v>46205</v>
      </c>
      <c r="D18" s="8">
        <f t="shared" ca="1" si="0"/>
        <v>37</v>
      </c>
      <c r="E18" s="26" t="s">
        <v>103</v>
      </c>
      <c r="F18" s="27" t="s">
        <v>104</v>
      </c>
      <c r="G18" s="26" t="s">
        <v>20</v>
      </c>
      <c r="H18" s="21" t="s">
        <v>78</v>
      </c>
      <c r="I18" s="21" t="s">
        <v>80</v>
      </c>
      <c r="J18" s="21" t="s">
        <v>79</v>
      </c>
      <c r="K18" s="21"/>
      <c r="L18" s="21"/>
      <c r="M18" s="21"/>
      <c r="N18" s="21"/>
      <c r="O18" s="21"/>
      <c r="P18" s="21"/>
      <c r="Q18" s="21"/>
      <c r="R18" s="22"/>
      <c r="S18" s="29" t="s">
        <v>105</v>
      </c>
      <c r="T18" s="7"/>
      <c r="U18" s="58"/>
    </row>
    <row r="19" spans="1:21" ht="15" customHeight="1">
      <c r="A19" s="57"/>
      <c r="B19" s="27"/>
      <c r="C19" s="28"/>
      <c r="D19" s="8" t="str">
        <f t="shared" ca="1" si="0"/>
        <v/>
      </c>
      <c r="E19" s="26"/>
      <c r="F19" s="27"/>
      <c r="G19" s="26"/>
      <c r="H19" s="7"/>
      <c r="I19" s="7"/>
      <c r="J19" s="7"/>
      <c r="K19" s="7"/>
      <c r="L19" s="7"/>
      <c r="M19" s="7"/>
      <c r="N19" s="7"/>
      <c r="O19" s="7"/>
      <c r="P19" s="7"/>
      <c r="Q19" s="7"/>
      <c r="R19" s="14"/>
      <c r="S19" s="29" t="s">
        <v>106</v>
      </c>
      <c r="T19" s="7"/>
      <c r="U19" s="58"/>
    </row>
    <row r="20" spans="1:21" ht="15" customHeight="1">
      <c r="A20" s="63"/>
      <c r="B20" s="64"/>
      <c r="C20" s="65"/>
      <c r="D20" s="8" t="str">
        <f t="shared" ca="1" si="0"/>
        <v/>
      </c>
      <c r="E20" s="66"/>
      <c r="F20" s="64"/>
      <c r="G20" s="66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8"/>
      <c r="S20" s="69" t="s">
        <v>107</v>
      </c>
      <c r="T20" s="70"/>
      <c r="U20" s="71"/>
    </row>
    <row r="21" spans="1: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  <c r="U21" s="2"/>
    </row>
    <row r="22" spans="1:21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  <c r="U22" s="2"/>
    </row>
    <row r="23" spans="1:21" ht="15" customHeight="1">
      <c r="A23" s="121" t="s">
        <v>108</v>
      </c>
      <c r="B23" s="106"/>
      <c r="C23" s="106"/>
      <c r="D23" s="10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  <c r="U23" s="2"/>
    </row>
    <row r="24" spans="1:21" ht="15" customHeight="1">
      <c r="A24" s="31" t="s">
        <v>109</v>
      </c>
      <c r="B24" s="31" t="s">
        <v>110</v>
      </c>
      <c r="C24" s="31" t="s">
        <v>111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  <c r="U24" s="2"/>
    </row>
    <row r="25" spans="1:21" ht="15" customHeight="1">
      <c r="A25" s="33" t="s">
        <v>67</v>
      </c>
      <c r="B25" s="34">
        <f>COUNTIF(I5:I20,"✓")</f>
        <v>3</v>
      </c>
      <c r="C25" s="34">
        <f>COUNTIF(I5:I20,"✗")</f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  <c r="U25" s="2"/>
    </row>
    <row r="26" spans="1:21" ht="15" customHeight="1">
      <c r="A26" s="33" t="s">
        <v>15</v>
      </c>
      <c r="B26" s="34">
        <f>COUNTIF(J5:J20,"✓")</f>
        <v>3</v>
      </c>
      <c r="C26" s="34">
        <f>COUNTIF(J5:J20,"✗")</f>
        <v>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  <c r="U26" s="2"/>
    </row>
    <row r="27" spans="1:21" ht="15" customHeight="1">
      <c r="A27" s="33" t="s">
        <v>24</v>
      </c>
      <c r="B27" s="34">
        <f>COUNTIF(K5:K20,"✓")</f>
        <v>0</v>
      </c>
      <c r="C27" s="34">
        <f>COUNTIF(K5:K20,"✗")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  <c r="U27" s="2"/>
    </row>
    <row r="28" spans="1:21" ht="15" customHeight="1">
      <c r="A28" s="33" t="s">
        <v>21</v>
      </c>
      <c r="B28" s="34">
        <f>COUNTIF(L5:L20,"✓")</f>
        <v>0</v>
      </c>
      <c r="C28" s="34">
        <f>COUNTIF(L5:L20,"✗")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  <c r="U28" s="2"/>
    </row>
    <row r="29" spans="1:21" ht="15" customHeight="1">
      <c r="A29" s="33" t="s">
        <v>68</v>
      </c>
      <c r="B29" s="34">
        <f>COUNTIF(M5:M20,"✓")</f>
        <v>0</v>
      </c>
      <c r="C29" s="34">
        <f>COUNTIF(M5:M20,"✗")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  <c r="U29" s="2"/>
    </row>
    <row r="30" spans="1:21" ht="15" customHeight="1">
      <c r="A30" s="33" t="s">
        <v>18</v>
      </c>
      <c r="B30" s="34">
        <f>COUNTIF(N5:N20,"✓")</f>
        <v>0</v>
      </c>
      <c r="C30" s="34">
        <f>COUNTIF(N5:N20,"✗")</f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  <c r="U30" s="2"/>
    </row>
    <row r="31" spans="1:2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  <c r="U31" s="2"/>
    </row>
    <row r="32" spans="1:21" ht="15" customHeight="1">
      <c r="A32" s="30" t="s">
        <v>112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  <c r="U32" s="2"/>
    </row>
    <row r="33" spans="1:2" ht="15" customHeight="1">
      <c r="A33" s="36" t="s">
        <v>16</v>
      </c>
      <c r="B33" s="34">
        <f>COUNTIF(P5:P20,"Cenikor")</f>
        <v>0</v>
      </c>
    </row>
    <row r="34" spans="1:2" ht="15" customHeight="1">
      <c r="A34" s="36" t="s">
        <v>19</v>
      </c>
      <c r="B34" s="34">
        <f>COUNTIF(P5:P20,"Lifetime Recovery")</f>
        <v>0</v>
      </c>
    </row>
    <row r="35" spans="1:2" ht="15" customHeight="1">
      <c r="A35" s="36" t="s">
        <v>22</v>
      </c>
      <c r="B35" s="34">
        <f>COUNTIF(P5:P20,"Liberty Lodge")</f>
        <v>0</v>
      </c>
    </row>
    <row r="36" spans="1:2" ht="15.75" customHeight="1">
      <c r="A36" s="2"/>
      <c r="B36" s="2"/>
    </row>
    <row r="37" spans="1:2" ht="15" customHeight="1">
      <c r="A37" s="30" t="s">
        <v>113</v>
      </c>
      <c r="B37" s="2"/>
    </row>
    <row r="38" spans="1:2" ht="15" customHeight="1">
      <c r="A38" s="36" t="s">
        <v>25</v>
      </c>
      <c r="B38" s="34">
        <f>COUNTIF(Q5:Q20,"Oxford House")</f>
        <v>0</v>
      </c>
    </row>
    <row r="39" spans="1:2" ht="15" customHeight="1">
      <c r="A39" s="36" t="s">
        <v>27</v>
      </c>
      <c r="B39" s="34">
        <f>COUNTIF(Q5:Q20,"Wenholtz House")</f>
        <v>0</v>
      </c>
    </row>
    <row r="40" spans="1:2" ht="15" customHeight="1">
      <c r="A40" s="36" t="s">
        <v>30</v>
      </c>
      <c r="B40" s="34">
        <f>COUNTIF(Q5:Q20,"Rustic House")</f>
        <v>0</v>
      </c>
    </row>
    <row r="41" spans="1:2" ht="15" customHeight="1">
      <c r="A41" s="36" t="s">
        <v>33</v>
      </c>
      <c r="B41" s="34">
        <f>COUNTIF(Q5:Q20,"Broken Chains")</f>
        <v>0</v>
      </c>
    </row>
    <row r="42" spans="1:2" ht="15.75" customHeight="1">
      <c r="A42" s="2"/>
      <c r="B42" s="2"/>
    </row>
    <row r="43" spans="1:2" ht="15" customHeight="1">
      <c r="A43" s="30" t="s">
        <v>114</v>
      </c>
      <c r="B43" s="2"/>
    </row>
    <row r="44" spans="1:2" ht="15" customHeight="1">
      <c r="A44" s="36" t="s">
        <v>36</v>
      </c>
      <c r="B44" s="34">
        <f>COUNTIF(O5:O20,"Good Sam")</f>
        <v>0</v>
      </c>
    </row>
    <row r="45" spans="1:2" ht="15" customHeight="1">
      <c r="A45" s="36" t="s">
        <v>37</v>
      </c>
      <c r="B45" s="34">
        <f>COUNTIF(O5:O20,"Salvation Army")</f>
        <v>0</v>
      </c>
    </row>
    <row r="49" spans="1:12" ht="15.75" customHeight="1">
      <c r="A49" s="84" t="s">
        <v>115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</row>
    <row r="50" spans="1:12" ht="15.75" customHeight="1">
      <c r="A50" s="85" t="s">
        <v>116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</row>
    <row r="51" spans="1:1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80">
        <v>30</v>
      </c>
      <c r="B52" s="122"/>
      <c r="C52" s="79" t="s">
        <v>117</v>
      </c>
      <c r="D52" s="122"/>
      <c r="E52" s="81">
        <v>0.7</v>
      </c>
      <c r="F52" s="122"/>
      <c r="G52" s="76">
        <v>0.73</v>
      </c>
      <c r="H52" s="122"/>
      <c r="I52" s="76">
        <v>0.63</v>
      </c>
      <c r="J52" s="122"/>
      <c r="K52" s="1"/>
      <c r="L52" s="1"/>
    </row>
    <row r="53" spans="1:12" ht="15.75" customHeight="1">
      <c r="A53" s="123"/>
      <c r="B53" s="124"/>
      <c r="C53" s="123"/>
      <c r="D53" s="124"/>
      <c r="E53" s="123"/>
      <c r="F53" s="124"/>
      <c r="G53" s="123"/>
      <c r="H53" s="124"/>
      <c r="I53" s="123"/>
      <c r="J53" s="124"/>
      <c r="K53" s="1"/>
      <c r="L53" s="1"/>
    </row>
    <row r="54" spans="1:12" ht="15.75" customHeight="1">
      <c r="A54" s="125"/>
      <c r="B54" s="126"/>
      <c r="C54" s="125"/>
      <c r="D54" s="126"/>
      <c r="E54" s="125"/>
      <c r="F54" s="126"/>
      <c r="G54" s="125"/>
      <c r="H54" s="126"/>
      <c r="I54" s="125"/>
      <c r="J54" s="126"/>
      <c r="K54" s="1"/>
      <c r="L54" s="1"/>
    </row>
    <row r="55" spans="1:12" ht="15.75" customHeight="1">
      <c r="A55" s="77" t="s">
        <v>3</v>
      </c>
      <c r="B55" s="106"/>
      <c r="C55" s="77" t="s">
        <v>118</v>
      </c>
      <c r="D55" s="106"/>
      <c r="E55" s="77" t="s">
        <v>4</v>
      </c>
      <c r="F55" s="106"/>
      <c r="G55" s="77" t="s">
        <v>119</v>
      </c>
      <c r="H55" s="106"/>
      <c r="I55" s="77" t="s">
        <v>120</v>
      </c>
      <c r="J55" s="106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78" t="s">
        <v>121</v>
      </c>
      <c r="B58" s="106"/>
      <c r="C58" s="106"/>
      <c r="D58" s="106"/>
      <c r="E58" s="106"/>
      <c r="F58" s="1"/>
      <c r="G58" s="78" t="s">
        <v>122</v>
      </c>
      <c r="H58" s="106"/>
      <c r="I58" s="106"/>
      <c r="J58" s="106"/>
      <c r="K58" s="106"/>
      <c r="L58" s="106"/>
    </row>
    <row r="59" spans="1:12" ht="15.75" customHeight="1">
      <c r="A59" s="15" t="s">
        <v>63</v>
      </c>
      <c r="B59" s="15" t="s">
        <v>44</v>
      </c>
      <c r="C59" s="15" t="s">
        <v>123</v>
      </c>
      <c r="D59" s="1"/>
      <c r="E59" s="1"/>
      <c r="F59" s="1"/>
      <c r="G59" s="15" t="s">
        <v>11</v>
      </c>
      <c r="H59" s="15" t="s">
        <v>124</v>
      </c>
      <c r="I59" s="15" t="s">
        <v>125</v>
      </c>
      <c r="J59" s="1"/>
      <c r="K59" s="1"/>
      <c r="L59" s="1"/>
    </row>
    <row r="60" spans="1:12" ht="15.75" customHeight="1">
      <c r="A60" s="17" t="s">
        <v>126</v>
      </c>
      <c r="B60" s="18">
        <v>9</v>
      </c>
      <c r="C60" s="18">
        <v>16.3</v>
      </c>
      <c r="D60" s="1"/>
      <c r="E60" s="1"/>
      <c r="F60" s="1"/>
      <c r="G60" s="17" t="s">
        <v>28</v>
      </c>
      <c r="H60" s="18">
        <v>5</v>
      </c>
      <c r="I60" s="20">
        <v>0.17</v>
      </c>
      <c r="J60" s="1"/>
      <c r="K60" s="1"/>
      <c r="L60" s="1"/>
    </row>
    <row r="61" spans="1:12" ht="15.75" customHeight="1">
      <c r="A61" s="17" t="s">
        <v>83</v>
      </c>
      <c r="B61" s="18">
        <v>7</v>
      </c>
      <c r="C61" s="18">
        <v>10</v>
      </c>
      <c r="D61" s="1"/>
      <c r="E61" s="1"/>
      <c r="F61" s="1"/>
      <c r="G61" s="17" t="s">
        <v>23</v>
      </c>
      <c r="H61" s="18">
        <v>5</v>
      </c>
      <c r="I61" s="20">
        <v>0.17</v>
      </c>
      <c r="J61" s="1"/>
      <c r="K61" s="1"/>
      <c r="L61" s="1"/>
    </row>
    <row r="62" spans="1:12" ht="15.75" customHeight="1">
      <c r="A62" s="17" t="s">
        <v>92</v>
      </c>
      <c r="B62" s="18">
        <v>3</v>
      </c>
      <c r="C62" s="18">
        <v>8.6999999999999993</v>
      </c>
      <c r="D62" s="1"/>
      <c r="E62" s="1"/>
      <c r="F62" s="1"/>
      <c r="G62" s="17" t="s">
        <v>14</v>
      </c>
      <c r="H62" s="18">
        <v>7</v>
      </c>
      <c r="I62" s="20">
        <v>0.23</v>
      </c>
      <c r="J62" s="1"/>
      <c r="K62" s="1"/>
      <c r="L62" s="1"/>
    </row>
    <row r="63" spans="1:12" ht="15.75" customHeight="1">
      <c r="A63" s="17" t="s">
        <v>127</v>
      </c>
      <c r="B63" s="18">
        <v>0</v>
      </c>
      <c r="C63" s="18">
        <v>0</v>
      </c>
      <c r="D63" s="1"/>
      <c r="E63" s="1"/>
      <c r="F63" s="1"/>
      <c r="G63" s="17" t="s">
        <v>17</v>
      </c>
      <c r="H63" s="18">
        <v>2</v>
      </c>
      <c r="I63" s="20">
        <v>7.0000000000000007E-2</v>
      </c>
      <c r="J63" s="1"/>
      <c r="K63" s="1"/>
      <c r="L63" s="1"/>
    </row>
    <row r="64" spans="1:12" ht="15.75" customHeight="1">
      <c r="A64" s="17" t="s">
        <v>103</v>
      </c>
      <c r="B64" s="18">
        <v>11</v>
      </c>
      <c r="C64" s="18">
        <v>9.9</v>
      </c>
      <c r="D64" s="1"/>
      <c r="E64" s="1"/>
      <c r="F64" s="1"/>
      <c r="G64" s="17" t="s">
        <v>34</v>
      </c>
      <c r="H64" s="18">
        <v>3</v>
      </c>
      <c r="I64" s="20">
        <v>0.1</v>
      </c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7" t="s">
        <v>26</v>
      </c>
      <c r="H65" s="18">
        <v>2</v>
      </c>
      <c r="I65" s="20">
        <v>7.0000000000000007E-2</v>
      </c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78" t="s">
        <v>128</v>
      </c>
      <c r="B67" s="106"/>
      <c r="C67" s="106"/>
      <c r="D67" s="106"/>
      <c r="E67" s="106"/>
      <c r="F67" s="1"/>
      <c r="G67" s="1"/>
      <c r="H67" s="1"/>
      <c r="I67" s="1"/>
      <c r="J67" s="1"/>
      <c r="K67" s="1"/>
      <c r="L67" s="1"/>
    </row>
    <row r="68" spans="1:12" ht="15.75" customHeight="1">
      <c r="A68" s="15" t="s">
        <v>129</v>
      </c>
      <c r="B68" s="15" t="s">
        <v>130</v>
      </c>
      <c r="C68" s="15" t="s">
        <v>131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7" t="s">
        <v>132</v>
      </c>
      <c r="B69" s="18">
        <v>21</v>
      </c>
      <c r="C69" s="23">
        <v>0.7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7" t="s">
        <v>133</v>
      </c>
      <c r="B70" s="18">
        <v>22</v>
      </c>
      <c r="C70" s="23">
        <v>0.73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7" t="s">
        <v>134</v>
      </c>
      <c r="B71" s="18">
        <v>17</v>
      </c>
      <c r="C71" s="23">
        <v>0.56999999999999995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7" t="s">
        <v>135</v>
      </c>
      <c r="B72" s="18">
        <v>19</v>
      </c>
      <c r="C72" s="23">
        <v>0.63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7" t="s">
        <v>136</v>
      </c>
      <c r="B73" s="18">
        <v>19</v>
      </c>
      <c r="C73" s="23">
        <v>0.63</v>
      </c>
      <c r="D73" s="1"/>
      <c r="E73" s="1"/>
      <c r="F73" s="1"/>
      <c r="G73" s="1"/>
      <c r="H73" s="1"/>
      <c r="I73" s="1"/>
      <c r="J73" s="1"/>
      <c r="K73" s="1"/>
      <c r="L73" s="1"/>
    </row>
  </sheetData>
  <mergeCells count="18">
    <mergeCell ref="A1:P1"/>
    <mergeCell ref="A2:P2"/>
    <mergeCell ref="A23:D23"/>
    <mergeCell ref="A49:L49"/>
    <mergeCell ref="A50:L50"/>
    <mergeCell ref="G52:H54"/>
    <mergeCell ref="E55:F55"/>
    <mergeCell ref="G55:H55"/>
    <mergeCell ref="I55:J55"/>
    <mergeCell ref="A67:E67"/>
    <mergeCell ref="C52:D54"/>
    <mergeCell ref="I52:J54"/>
    <mergeCell ref="G58:L58"/>
    <mergeCell ref="A52:B54"/>
    <mergeCell ref="A55:B55"/>
    <mergeCell ref="C55:D55"/>
    <mergeCell ref="A58:E58"/>
    <mergeCell ref="E52:F54"/>
  </mergeCells>
  <conditionalFormatting sqref="D5:D20">
    <cfRule type="cellIs" dxfId="952" priority="1" operator="greaterThan">
      <formula>5</formula>
    </cfRule>
  </conditionalFormatting>
  <conditionalFormatting sqref="I5:I20">
    <cfRule type="cellIs" dxfId="951" priority="2" operator="equal">
      <formula>"✓"</formula>
    </cfRule>
  </conditionalFormatting>
  <conditionalFormatting sqref="I5:I20">
    <cfRule type="cellIs" dxfId="950" priority="3" operator="equal">
      <formula>"✗"</formula>
    </cfRule>
  </conditionalFormatting>
  <conditionalFormatting sqref="J5:J20">
    <cfRule type="cellIs" dxfId="949" priority="4" operator="equal">
      <formula>"✓"</formula>
    </cfRule>
  </conditionalFormatting>
  <conditionalFormatting sqref="J5:J20">
    <cfRule type="cellIs" dxfId="948" priority="5" operator="equal">
      <formula>"✗"</formula>
    </cfRule>
  </conditionalFormatting>
  <conditionalFormatting sqref="K5:K20">
    <cfRule type="cellIs" dxfId="947" priority="6" operator="equal">
      <formula>"✓"</formula>
    </cfRule>
  </conditionalFormatting>
  <conditionalFormatting sqref="K5:K20">
    <cfRule type="cellIs" dxfId="946" priority="7" operator="equal">
      <formula>"✗"</formula>
    </cfRule>
  </conditionalFormatting>
  <conditionalFormatting sqref="K5:K20">
    <cfRule type="expression" dxfId="945" priority="8">
      <formula>$J5="✓"</formula>
    </cfRule>
  </conditionalFormatting>
  <conditionalFormatting sqref="L5:L20">
    <cfRule type="cellIs" dxfId="944" priority="9" operator="equal">
      <formula>"✓"</formula>
    </cfRule>
  </conditionalFormatting>
  <conditionalFormatting sqref="L5:L20">
    <cfRule type="cellIs" dxfId="943" priority="10" operator="equal">
      <formula>"✗"</formula>
    </cfRule>
  </conditionalFormatting>
  <conditionalFormatting sqref="L5:L20">
    <cfRule type="expression" dxfId="942" priority="11">
      <formula>$J5="✓"</formula>
    </cfRule>
  </conditionalFormatting>
  <conditionalFormatting sqref="M5:M20">
    <cfRule type="cellIs" dxfId="941" priority="12" operator="equal">
      <formula>"✓"</formula>
    </cfRule>
  </conditionalFormatting>
  <conditionalFormatting sqref="M5:M20">
    <cfRule type="cellIs" dxfId="940" priority="13" operator="equal">
      <formula>"✗"</formula>
    </cfRule>
  </conditionalFormatting>
  <conditionalFormatting sqref="M5:M20">
    <cfRule type="expression" dxfId="939" priority="14">
      <formula>$J5="✓"</formula>
    </cfRule>
  </conditionalFormatting>
  <conditionalFormatting sqref="N5:N20">
    <cfRule type="cellIs" dxfId="938" priority="15" operator="equal">
      <formula>"✓"</formula>
    </cfRule>
  </conditionalFormatting>
  <conditionalFormatting sqref="N5:N20">
    <cfRule type="cellIs" dxfId="937" priority="16" operator="equal">
      <formula>"✗"</formula>
    </cfRule>
  </conditionalFormatting>
  <conditionalFormatting sqref="N5:N20">
    <cfRule type="expression" dxfId="936" priority="17">
      <formula>$J5="✓"</formula>
    </cfRule>
  </conditionalFormatting>
  <conditionalFormatting sqref="H5:H20">
    <cfRule type="cellIs" dxfId="935" priority="18" operator="equal">
      <formula>"Y"</formula>
    </cfRule>
  </conditionalFormatting>
  <conditionalFormatting sqref="H5:H20">
    <cfRule type="cellIs" dxfId="934" priority="19" operator="equal">
      <formula>"N"</formula>
    </cfRule>
  </conditionalFormatting>
  <conditionalFormatting sqref="P5:P20">
    <cfRule type="expression" dxfId="933" priority="20">
      <formula>$I5="✓"</formula>
    </cfRule>
  </conditionalFormatting>
  <conditionalFormatting sqref="O5:O20">
    <cfRule type="expression" dxfId="932" priority="21">
      <formula>$I5="✗"</formula>
    </cfRule>
  </conditionalFormatting>
  <conditionalFormatting sqref="Q5:Q20">
    <cfRule type="expression" dxfId="931" priority="22">
      <formula>AND($H5="Y",$I5&lt;&gt;"✗")</formula>
    </cfRule>
  </conditionalFormatting>
  <dataValidations count="8">
    <dataValidation type="list" allowBlank="1" sqref="T5:T20" xr:uid="{00000000-0002-0000-0100-000000000000}">
      <formula1>"✓"</formula1>
    </dataValidation>
    <dataValidation type="list" allowBlank="1" sqref="P5:P20" xr:uid="{00000000-0002-0000-0100-000001000000}">
      <formula1>"Cenikor,Lifetime Recovery,Liberty Lodge,N/A"</formula1>
    </dataValidation>
    <dataValidation type="list" allowBlank="1" sqref="H5:H20" xr:uid="{00000000-0002-0000-0100-000002000000}">
      <formula1>"Y,N"</formula1>
    </dataValidation>
    <dataValidation type="list" allowBlank="1" sqref="E5:E20" xr:uid="{00000000-0002-0000-0100-000003000000}">
      <formula1>"LOC1,LOC2,LOC3,LOC5,TBD"</formula1>
    </dataValidation>
    <dataValidation type="list" allowBlank="1" sqref="G5:G20" xr:uid="{00000000-0002-0000-0100-000004000000}">
      <formula1>"Oceans,Bayview,PubDef,MCOT,CaseMgr,OCR,IDD,OTHER"</formula1>
    </dataValidation>
    <dataValidation type="list" allowBlank="1" sqref="Q5:Q20" xr:uid="{00000000-0002-0000-0100-000005000000}">
      <formula1>"Oxford House,Wenholtz House,Rustic House,Broken Chains"</formula1>
    </dataValidation>
    <dataValidation type="list" allowBlank="1" sqref="O5:O20" xr:uid="{00000000-0002-0000-0100-000006000000}">
      <formula1>"Good Sam,Salvation Army,Purple Door"</formula1>
    </dataValidation>
    <dataValidation type="list" allowBlank="1" sqref="I5:N20" xr:uid="{00000000-0002-0000-0100-000007000000}">
      <formula1>"✓,✗"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4"/>
  <sheetViews>
    <sheetView workbookViewId="0"/>
  </sheetViews>
  <sheetFormatPr defaultColWidth="14.42578125" defaultRowHeight="15" customHeight="1"/>
  <sheetData>
    <row r="1" spans="1:12"/>
    <row r="2" spans="1:12">
      <c r="A2" s="84" t="s">
        <v>115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>
      <c r="A3" s="85" t="s">
        <v>116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80">
        <v>30</v>
      </c>
      <c r="B5" s="122"/>
      <c r="C5" s="79" t="s">
        <v>117</v>
      </c>
      <c r="D5" s="122"/>
      <c r="E5" s="81">
        <v>0.7</v>
      </c>
      <c r="F5" s="122"/>
      <c r="G5" s="76">
        <v>0.73</v>
      </c>
      <c r="H5" s="122"/>
      <c r="I5" s="76">
        <v>0.63</v>
      </c>
      <c r="J5" s="122"/>
      <c r="K5" s="1"/>
      <c r="L5" s="1"/>
    </row>
    <row r="6" spans="1:12">
      <c r="A6" s="123"/>
      <c r="B6" s="124"/>
      <c r="C6" s="123"/>
      <c r="D6" s="124"/>
      <c r="E6" s="123"/>
      <c r="F6" s="124"/>
      <c r="G6" s="123"/>
      <c r="H6" s="124"/>
      <c r="I6" s="123"/>
      <c r="J6" s="124"/>
      <c r="K6" s="1"/>
      <c r="L6" s="1"/>
    </row>
    <row r="7" spans="1:12">
      <c r="A7" s="125"/>
      <c r="B7" s="126"/>
      <c r="C7" s="125"/>
      <c r="D7" s="126"/>
      <c r="E7" s="125"/>
      <c r="F7" s="126"/>
      <c r="G7" s="125"/>
      <c r="H7" s="126"/>
      <c r="I7" s="125"/>
      <c r="J7" s="126"/>
      <c r="K7" s="1"/>
      <c r="L7" s="1"/>
    </row>
    <row r="8" spans="1:12">
      <c r="A8" s="77" t="s">
        <v>3</v>
      </c>
      <c r="B8" s="106"/>
      <c r="C8" s="77" t="s">
        <v>118</v>
      </c>
      <c r="D8" s="106"/>
      <c r="E8" s="77" t="s">
        <v>4</v>
      </c>
      <c r="F8" s="106"/>
      <c r="G8" s="77" t="s">
        <v>119</v>
      </c>
      <c r="H8" s="106"/>
      <c r="I8" s="77" t="s">
        <v>120</v>
      </c>
      <c r="J8" s="106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78" t="s">
        <v>121</v>
      </c>
      <c r="B11" s="106"/>
      <c r="C11" s="106"/>
      <c r="D11" s="106"/>
      <c r="E11" s="106"/>
      <c r="F11" s="1"/>
      <c r="G11" s="78" t="s">
        <v>122</v>
      </c>
      <c r="H11" s="106"/>
      <c r="I11" s="106"/>
      <c r="J11" s="106"/>
      <c r="K11" s="106"/>
      <c r="L11" s="106"/>
    </row>
    <row r="12" spans="1:12">
      <c r="A12" s="15" t="s">
        <v>63</v>
      </c>
      <c r="B12" s="15" t="s">
        <v>44</v>
      </c>
      <c r="C12" s="15" t="s">
        <v>123</v>
      </c>
      <c r="D12" s="1"/>
      <c r="E12" s="1"/>
      <c r="F12" s="1"/>
      <c r="G12" s="15" t="s">
        <v>11</v>
      </c>
      <c r="H12" s="15" t="s">
        <v>124</v>
      </c>
      <c r="I12" s="15" t="s">
        <v>125</v>
      </c>
      <c r="J12" s="1"/>
      <c r="K12" s="1"/>
      <c r="L12" s="1"/>
    </row>
    <row r="13" spans="1:12">
      <c r="A13" s="17" t="s">
        <v>126</v>
      </c>
      <c r="B13" s="18">
        <v>9</v>
      </c>
      <c r="C13" s="18">
        <v>16.3</v>
      </c>
      <c r="D13" s="1"/>
      <c r="E13" s="1"/>
      <c r="F13" s="1"/>
      <c r="G13" s="17" t="s">
        <v>28</v>
      </c>
      <c r="H13" s="18">
        <v>5</v>
      </c>
      <c r="I13" s="20">
        <v>0.17</v>
      </c>
      <c r="J13" s="1"/>
      <c r="K13" s="1"/>
      <c r="L13" s="1"/>
    </row>
    <row r="14" spans="1:12">
      <c r="A14" s="17" t="s">
        <v>83</v>
      </c>
      <c r="B14" s="18">
        <v>7</v>
      </c>
      <c r="C14" s="18">
        <v>10</v>
      </c>
      <c r="D14" s="1"/>
      <c r="E14" s="1"/>
      <c r="F14" s="1"/>
      <c r="G14" s="17" t="s">
        <v>23</v>
      </c>
      <c r="H14" s="18">
        <v>5</v>
      </c>
      <c r="I14" s="20">
        <v>0.17</v>
      </c>
      <c r="J14" s="1"/>
      <c r="K14" s="1"/>
      <c r="L14" s="1"/>
    </row>
    <row r="15" spans="1:12">
      <c r="A15" s="17" t="s">
        <v>92</v>
      </c>
      <c r="B15" s="18">
        <v>3</v>
      </c>
      <c r="C15" s="18">
        <v>8.6999999999999993</v>
      </c>
      <c r="D15" s="1"/>
      <c r="E15" s="1"/>
      <c r="F15" s="1"/>
      <c r="G15" s="17" t="s">
        <v>14</v>
      </c>
      <c r="H15" s="18">
        <v>7</v>
      </c>
      <c r="I15" s="20">
        <v>0.23</v>
      </c>
      <c r="J15" s="1"/>
      <c r="K15" s="1"/>
      <c r="L15" s="1"/>
    </row>
    <row r="16" spans="1:12">
      <c r="A16" s="17" t="s">
        <v>127</v>
      </c>
      <c r="B16" s="18">
        <v>0</v>
      </c>
      <c r="C16" s="18">
        <v>0</v>
      </c>
      <c r="D16" s="1"/>
      <c r="E16" s="1"/>
      <c r="F16" s="1"/>
      <c r="G16" s="17" t="s">
        <v>17</v>
      </c>
      <c r="H16" s="18">
        <v>2</v>
      </c>
      <c r="I16" s="20">
        <v>7.0000000000000007E-2</v>
      </c>
      <c r="J16" s="1"/>
      <c r="K16" s="1"/>
      <c r="L16" s="1"/>
    </row>
    <row r="17" spans="1:12">
      <c r="A17" s="17" t="s">
        <v>103</v>
      </c>
      <c r="B17" s="18">
        <v>11</v>
      </c>
      <c r="C17" s="18">
        <v>9.9</v>
      </c>
      <c r="D17" s="1"/>
      <c r="E17" s="1"/>
      <c r="F17" s="1"/>
      <c r="G17" s="17" t="s">
        <v>34</v>
      </c>
      <c r="H17" s="18">
        <v>3</v>
      </c>
      <c r="I17" s="20">
        <v>0.1</v>
      </c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7" t="s">
        <v>26</v>
      </c>
      <c r="H18" s="18">
        <v>2</v>
      </c>
      <c r="I18" s="20">
        <v>7.0000000000000007E-2</v>
      </c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78" t="s">
        <v>128</v>
      </c>
      <c r="B20" s="106"/>
      <c r="C20" s="106"/>
      <c r="D20" s="106"/>
      <c r="E20" s="106"/>
      <c r="F20" s="1"/>
      <c r="G20" s="1"/>
      <c r="H20" s="1"/>
      <c r="I20" s="1"/>
      <c r="J20" s="1"/>
      <c r="K20" s="1"/>
      <c r="L20" s="1"/>
    </row>
    <row r="21" spans="1:12">
      <c r="A21" s="15" t="s">
        <v>129</v>
      </c>
      <c r="B21" s="15" t="s">
        <v>130</v>
      </c>
      <c r="C21" s="15" t="s">
        <v>131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7" t="s">
        <v>132</v>
      </c>
      <c r="B22" s="18">
        <v>21</v>
      </c>
      <c r="C22" s="23">
        <v>0.7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7" t="s">
        <v>133</v>
      </c>
      <c r="B23" s="18">
        <v>22</v>
      </c>
      <c r="C23" s="23">
        <v>0.73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7" t="s">
        <v>134</v>
      </c>
      <c r="B24" s="18">
        <v>17</v>
      </c>
      <c r="C24" s="23">
        <v>0.56999999999999995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7" t="s">
        <v>135</v>
      </c>
      <c r="B25" s="18">
        <v>19</v>
      </c>
      <c r="C25" s="23">
        <v>0.63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7" t="s">
        <v>136</v>
      </c>
      <c r="B26" s="18">
        <v>19</v>
      </c>
      <c r="C26" s="23">
        <v>0.63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/>
    <row r="28" spans="1:12"/>
    <row r="29" spans="1:12"/>
    <row r="30" spans="1:12"/>
    <row r="31" spans="1:12"/>
    <row r="32" spans="1:12"/>
    <row r="33"/>
    <row r="34"/>
    <row r="35"/>
    <row r="36"/>
    <row r="37"/>
    <row r="38"/>
    <row r="39"/>
    <row r="40"/>
    <row r="41"/>
    <row r="42"/>
    <row r="43"/>
    <row r="44"/>
  </sheetData>
  <mergeCells count="15">
    <mergeCell ref="A11:E11"/>
    <mergeCell ref="G11:L11"/>
    <mergeCell ref="A20:E20"/>
    <mergeCell ref="A2:L2"/>
    <mergeCell ref="A3:L3"/>
    <mergeCell ref="A5:B7"/>
    <mergeCell ref="C5:D7"/>
    <mergeCell ref="E5:F7"/>
    <mergeCell ref="G5:H7"/>
    <mergeCell ref="I5:J7"/>
    <mergeCell ref="A8:B8"/>
    <mergeCell ref="C8:D8"/>
    <mergeCell ref="E8:F8"/>
    <mergeCell ref="G8:H8"/>
    <mergeCell ref="I8:J8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showGridLines="0" workbookViewId="0">
      <pane ySplit="4" topLeftCell="A5" activePane="bottomLeft" state="frozen"/>
      <selection pane="bottomLeft" activeCell="J6" sqref="J6"/>
    </sheetView>
  </sheetViews>
  <sheetFormatPr defaultColWidth="14.42578125" defaultRowHeight="15" customHeight="1"/>
  <cols>
    <col min="1" max="1" width="12" style="2" customWidth="1"/>
    <col min="2" max="10" width="12" customWidth="1"/>
    <col min="11" max="11" width="16" customWidth="1"/>
    <col min="12" max="12" width="10.5703125" customWidth="1"/>
    <col min="13" max="13" width="30" style="2" customWidth="1"/>
    <col min="14" max="14" width="10" customWidth="1"/>
    <col min="15" max="15" width="12" customWidth="1"/>
    <col min="16" max="24" width="8.7109375" customWidth="1"/>
  </cols>
  <sheetData>
    <row r="1" spans="1:15" ht="21.75" customHeight="1">
      <c r="A1" s="127" t="s">
        <v>137</v>
      </c>
      <c r="B1" s="106"/>
      <c r="C1" s="106"/>
      <c r="D1" s="106"/>
      <c r="E1" s="106"/>
      <c r="F1" s="106"/>
      <c r="G1" s="106"/>
      <c r="H1" s="106"/>
      <c r="I1" s="106"/>
      <c r="J1" s="2"/>
      <c r="K1" s="2"/>
      <c r="L1" s="2"/>
    </row>
    <row r="2" spans="1:15" ht="15" customHeight="1">
      <c r="A2" s="128" t="s">
        <v>138</v>
      </c>
      <c r="B2" s="106"/>
      <c r="C2" s="106"/>
      <c r="D2" s="106"/>
      <c r="E2" s="106"/>
      <c r="F2" s="106"/>
      <c r="G2" s="106"/>
      <c r="H2" s="106"/>
      <c r="I2" s="106"/>
      <c r="J2" s="2"/>
      <c r="K2" s="2"/>
      <c r="L2" s="2"/>
    </row>
    <row r="3" spans="1:1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5" ht="31.5" customHeight="1">
      <c r="A4" s="3" t="s">
        <v>59</v>
      </c>
      <c r="B4" s="3" t="s">
        <v>139</v>
      </c>
      <c r="C4" s="3" t="s">
        <v>73</v>
      </c>
      <c r="D4" s="4" t="s">
        <v>65</v>
      </c>
      <c r="E4" s="3" t="s">
        <v>64</v>
      </c>
      <c r="F4" s="5" t="s">
        <v>140</v>
      </c>
      <c r="G4" s="3" t="s">
        <v>141</v>
      </c>
      <c r="H4" s="3" t="s">
        <v>142</v>
      </c>
      <c r="I4" s="3" t="s">
        <v>143</v>
      </c>
      <c r="J4" s="3" t="s">
        <v>72</v>
      </c>
      <c r="K4" s="3" t="s">
        <v>144</v>
      </c>
      <c r="L4" s="3" t="s">
        <v>145</v>
      </c>
      <c r="M4" s="3" t="s">
        <v>146</v>
      </c>
      <c r="N4" s="3" t="s">
        <v>63</v>
      </c>
      <c r="O4" s="3" t="s">
        <v>147</v>
      </c>
    </row>
    <row r="5" spans="1:15" ht="15" customHeight="1">
      <c r="A5" s="7">
        <f>'Client Needs Tracker'!A5</f>
        <v>102558</v>
      </c>
      <c r="B5" s="7" t="str">
        <f>IF('Client Needs Tracker'!B5="","",UPPER(LEFT(TRIM('Client Needs Tracker'!B5),1))&amp;"."&amp;UPPER(MID('Client Needs Tracker'!B5,FIND("@",SUBSTITUTE('Client Needs Tracker'!B5," ","@",LEN('Client Needs Tracker'!B5)-LEN(SUBSTITUTE('Client Needs Tracker'!B5," ",""))))+1,1))&amp;".")</f>
        <v>J.J.</v>
      </c>
      <c r="C5" s="7" t="str">
        <f>IF('Client Needs Tracker'!S5="","",'Client Needs Tracker'!S5)</f>
        <v>M - 1A</v>
      </c>
      <c r="D5" s="7" t="str">
        <f>IF('Client Needs Tracker'!G5="","",'Client Needs Tracker'!G5)</f>
        <v>PubDef</v>
      </c>
      <c r="E5" s="7" t="str">
        <f>IF('Client Needs Tracker'!F5="","",'Client Needs Tracker'!F5)</f>
        <v>TBD</v>
      </c>
      <c r="F5" s="11" t="s">
        <v>148</v>
      </c>
      <c r="G5" s="7" t="s">
        <v>149</v>
      </c>
      <c r="H5" s="12">
        <v>0.36458333333333331</v>
      </c>
      <c r="I5" s="13">
        <v>46240</v>
      </c>
      <c r="J5" s="14" t="s">
        <v>150</v>
      </c>
      <c r="K5" s="7" t="s">
        <v>151</v>
      </c>
      <c r="L5" s="14" t="s">
        <v>152</v>
      </c>
      <c r="M5" s="14" t="str">
        <f>IF(IF('Inventory - P01'!H16="","",'Inventory - P01'!H16&amp;" | ")&amp;IF('Inventory - P01'!H17="","",'Inventory - P01'!H17&amp;" | ")&amp;IF('Inventory - P01'!H18="","",'Inventory - P01'!H18&amp;" | ")&amp;IF('Inventory - P01'!H19="","",'Inventory - P01'!H19&amp;" | ")&amp;IF('Inventory - P01'!H20="","",'Inventory - P01'!H20&amp;" | ")&amp;IF('Inventory - P01'!H21="","",'Inventory - P01'!H21&amp;" | ")&amp;IF('Inventory - P01'!H22="","",'Inventory - P01'!H22&amp;" | ")&amp;IF('Inventory - P01'!H23="","",'Inventory - P01'!H23&amp;" | ")&amp;IF('Inventory - P01'!H24="","",'Inventory - P01'!H24&amp;" | ")&amp;IF('Inventory - P01'!H25="","",'Inventory - P01'!H25&amp;" | ")&amp;IF('Inventory - P01'!H26="","",'Inventory - P01'!H26&amp;" | ")&amp;IF('Inventory - P01'!H27="","",'Inventory - P01'!H27&amp;" | ")="","",LEFT(IF('Inventory - P01'!H16="","",'Inventory - P01'!H16&amp;" | ")&amp;IF('Inventory - P01'!H17="","",'Inventory - P01'!H17&amp;" | ")&amp;IF('Inventory - P01'!H18="","",'Inventory - P01'!H18&amp;" | ")&amp;IF('Inventory - P01'!H19="","",'Inventory - P01'!H19&amp;" | ")&amp;IF('Inventory - P01'!H20="","",'Inventory - P01'!H20&amp;" | ")&amp;IF('Inventory - P01'!H21="","",'Inventory - P01'!H21&amp;" | ")&amp;IF('Inventory - P01'!H22="","",'Inventory - P01'!H22&amp;" | ")&amp;IF('Inventory - P01'!H23="","",'Inventory - P01'!H23&amp;" | ")&amp;IF('Inventory - P01'!H24="","",'Inventory - P01'!H24&amp;" | ")&amp;IF('Inventory - P01'!H25="","",'Inventory - P01'!H25&amp;" | ")&amp;IF('Inventory - P01'!H26="","",'Inventory - P01'!H26&amp;" | ")&amp;IF('Inventory - P01'!H27="","",'Inventory - P01'!H27&amp;" | "),LEN(IF('Inventory - P01'!H16="","",'Inventory - P01'!H16&amp;" | ")&amp;IF('Inventory - P01'!H17="","",'Inventory - P01'!H17&amp;" | ")&amp;IF('Inventory - P01'!H18="","",'Inventory - P01'!H18&amp;" | ")&amp;IF('Inventory - P01'!H19="","",'Inventory - P01'!H19&amp;" | ")&amp;IF('Inventory - P01'!H20="","",'Inventory - P01'!H20&amp;" | ")&amp;IF('Inventory - P01'!H21="","",'Inventory - P01'!H21&amp;" | ")&amp;IF('Inventory - P01'!H22="","",'Inventory - P01'!H22&amp;" | ")&amp;IF('Inventory - P01'!H23="","",'Inventory - P01'!H23&amp;" | ")&amp;IF('Inventory - P01'!H24="","",'Inventory - P01'!H24&amp;" | ")&amp;IF('Inventory - P01'!H25="","",'Inventory - P01'!H25&amp;" | ")&amp;IF('Inventory - P01'!H26="","",'Inventory - P01'!H26&amp;" | ")&amp;IF('Inventory - P01'!H27="","",'Inventory - P01'!H27&amp;" | "))-3))</f>
        <v>8:00 AM / 12:00 PM / 4:00 PM / 8:00 PM</v>
      </c>
      <c r="N5" s="7" t="str">
        <f>IF('Client Needs Tracker'!E5="","",'Client Needs Tracker'!E5)</f>
        <v>TBD</v>
      </c>
      <c r="O5" s="19">
        <f>IF('Client Needs Tracker'!C5="","",'Client Needs Tracker'!C5)</f>
        <v>46228</v>
      </c>
    </row>
    <row r="6" spans="1:15" ht="15" customHeight="1">
      <c r="A6" s="7">
        <f>'Client Needs Tracker'!A6</f>
        <v>3520025</v>
      </c>
      <c r="B6" s="7" t="str">
        <f>IF('Client Needs Tracker'!B6="","",UPPER(LEFT(TRIM('Client Needs Tracker'!B6),1))&amp;"."&amp;UPPER(MID('Client Needs Tracker'!B6,FIND("@",SUBSTITUTE('Client Needs Tracker'!B6," ","@",LEN('Client Needs Tracker'!B6)-LEN(SUBSTITUTE('Client Needs Tracker'!B6," ",""))))+1,1))&amp;".")</f>
        <v>Y.J.</v>
      </c>
      <c r="C6" s="7" t="str">
        <f>IF('Client Needs Tracker'!S6="","",'Client Needs Tracker'!S6)</f>
        <v>M - 1B</v>
      </c>
      <c r="D6" s="7" t="str">
        <f>IF('Client Needs Tracker'!G6="","",'Client Needs Tracker'!G6)</f>
        <v>Bayview</v>
      </c>
      <c r="E6" s="7" t="str">
        <f>IF('Client Needs Tracker'!F6="","",'Client Needs Tracker'!F6)</f>
        <v/>
      </c>
      <c r="F6" s="11" t="s">
        <v>153</v>
      </c>
      <c r="G6" s="7" t="s">
        <v>154</v>
      </c>
      <c r="H6" s="12">
        <v>0.38541666666666669</v>
      </c>
      <c r="I6" s="19">
        <v>46244</v>
      </c>
      <c r="J6" s="14"/>
      <c r="K6" s="7" t="s">
        <v>155</v>
      </c>
      <c r="L6" s="14" t="s">
        <v>156</v>
      </c>
      <c r="M6" s="14" t="str">
        <f>IF(IF('Inventory - P02'!H16="","",'Inventory - P02'!H16&amp;" | ")&amp;IF('Inventory - P02'!H17="","",'Inventory - P02'!H17&amp;" | ")&amp;IF('Inventory - P02'!H18="","",'Inventory - P02'!H18&amp;" | ")&amp;IF('Inventory - P02'!H19="","",'Inventory - P02'!H19&amp;" | ")&amp;IF('Inventory - P02'!H20="","",'Inventory - P02'!H20&amp;" | ")&amp;IF('Inventory - P02'!H21="","",'Inventory - P02'!H21&amp;" | ")&amp;IF('Inventory - P02'!H22="","",'Inventory - P02'!H22&amp;" | ")&amp;IF('Inventory - P02'!H23="","",'Inventory - P02'!H23&amp;" | ")&amp;IF('Inventory - P02'!H24="","",'Inventory - P02'!H24&amp;" | ")&amp;IF('Inventory - P02'!H25="","",'Inventory - P02'!H25&amp;" | ")&amp;IF('Inventory - P02'!H26="","",'Inventory - P02'!H26&amp;" | ")&amp;IF('Inventory - P02'!H27="","",'Inventory - P02'!H27&amp;" | ")="","",LEFT(IF('Inventory - P02'!H16="","",'Inventory - P02'!H16&amp;" | ")&amp;IF('Inventory - P02'!H17="","",'Inventory - P02'!H17&amp;" | ")&amp;IF('Inventory - P02'!H18="","",'Inventory - P02'!H18&amp;" | ")&amp;IF('Inventory - P02'!H19="","",'Inventory - P02'!H19&amp;" | ")&amp;IF('Inventory - P02'!H20="","",'Inventory - P02'!H20&amp;" | ")&amp;IF('Inventory - P02'!H21="","",'Inventory - P02'!H21&amp;" | ")&amp;IF('Inventory - P02'!H22="","",'Inventory - P02'!H22&amp;" | ")&amp;IF('Inventory - P02'!H23="","",'Inventory - P02'!H23&amp;" | ")&amp;IF('Inventory - P02'!H24="","",'Inventory - P02'!H24&amp;" | ")&amp;IF('Inventory - P02'!H25="","",'Inventory - P02'!H25&amp;" | ")&amp;IF('Inventory - P02'!H26="","",'Inventory - P02'!H26&amp;" | ")&amp;IF('Inventory - P02'!H27="","",'Inventory - P02'!H27&amp;" | "),LEN(IF('Inventory - P02'!H16="","",'Inventory - P02'!H16&amp;" | ")&amp;IF('Inventory - P02'!H17="","",'Inventory - P02'!H17&amp;" | ")&amp;IF('Inventory - P02'!H18="","",'Inventory - P02'!H18&amp;" | ")&amp;IF('Inventory - P02'!H19="","",'Inventory - P02'!H19&amp;" | ")&amp;IF('Inventory - P02'!H20="","",'Inventory - P02'!H20&amp;" | ")&amp;IF('Inventory - P02'!H21="","",'Inventory - P02'!H21&amp;" | ")&amp;IF('Inventory - P02'!H22="","",'Inventory - P02'!H22&amp;" | ")&amp;IF('Inventory - P02'!H23="","",'Inventory - P02'!H23&amp;" | ")&amp;IF('Inventory - P02'!H24="","",'Inventory - P02'!H24&amp;" | ")&amp;IF('Inventory - P02'!H25="","",'Inventory - P02'!H25&amp;" | ")&amp;IF('Inventory - P02'!H26="","",'Inventory - P02'!H26&amp;" | ")&amp;IF('Inventory - P02'!H27="","",'Inventory - P02'!H27&amp;" | "))-3))</f>
        <v>8:00 AM / 8:00 PM</v>
      </c>
      <c r="N6" s="7" t="str">
        <f>IF('Client Needs Tracker'!E6="","",'Client Needs Tracker'!E6)</f>
        <v>LOC2</v>
      </c>
      <c r="O6" s="19">
        <f>IF('Client Needs Tracker'!C6="","",'Client Needs Tracker'!C6)</f>
        <v>46240</v>
      </c>
    </row>
    <row r="7" spans="1:15" ht="15" customHeight="1">
      <c r="A7" s="7">
        <f>'Client Needs Tracker'!A7</f>
        <v>0</v>
      </c>
      <c r="B7" s="7" t="str">
        <f>IF('Client Needs Tracker'!B7="","",UPPER(LEFT(TRIM('Client Needs Tracker'!B7),1))&amp;"."&amp;UPPER(MID('Client Needs Tracker'!B7,FIND("@",SUBSTITUTE('Client Needs Tracker'!B7," ","@",LEN('Client Needs Tracker'!B7)-LEN(SUBSTITUTE('Client Needs Tracker'!B7," ",""))))+1,1))&amp;".")</f>
        <v/>
      </c>
      <c r="C7" s="7" t="str">
        <f>IF('Client Needs Tracker'!S7="","",'Client Needs Tracker'!S7)</f>
        <v>M - 2A</v>
      </c>
      <c r="D7" s="7" t="str">
        <f>IF('Client Needs Tracker'!G7="","",'Client Needs Tracker'!G7)</f>
        <v/>
      </c>
      <c r="E7" s="7" t="str">
        <f>IF('Client Needs Tracker'!F7="","",'Client Needs Tracker'!F7)</f>
        <v/>
      </c>
      <c r="F7" s="11"/>
      <c r="G7" s="7"/>
      <c r="H7" s="12"/>
      <c r="I7" s="13"/>
      <c r="J7" s="14"/>
      <c r="K7" s="7"/>
      <c r="L7" s="14"/>
      <c r="M7" s="14" t="str">
        <f>IF(IF('Inventory - P03'!H16="","",'Inventory - P03'!H16&amp;" | ")&amp;IF('Inventory - P03'!H17="","",'Inventory - P03'!H17&amp;" | ")&amp;IF('Inventory - P03'!H18="","",'Inventory - P03'!H18&amp;" | ")&amp;IF('Inventory - P03'!H19="","",'Inventory - P03'!H19&amp;" | ")&amp;IF('Inventory - P03'!H20="","",'Inventory - P03'!H20&amp;" | ")&amp;IF('Inventory - P03'!H21="","",'Inventory - P03'!H21&amp;" | ")&amp;IF('Inventory - P03'!H22="","",'Inventory - P03'!H22&amp;" | ")&amp;IF('Inventory - P03'!H23="","",'Inventory - P03'!H23&amp;" | ")&amp;IF('Inventory - P03'!H24="","",'Inventory - P03'!H24&amp;" | ")&amp;IF('Inventory - P03'!H25="","",'Inventory - P03'!H25&amp;" | ")&amp;IF('Inventory - P03'!H26="","",'Inventory - P03'!H26&amp;" | ")&amp;IF('Inventory - P03'!H27="","",'Inventory - P03'!H27&amp;" | ")="","",LEFT(IF('Inventory - P03'!H16="","",'Inventory - P03'!H16&amp;" | ")&amp;IF('Inventory - P03'!H17="","",'Inventory - P03'!H17&amp;" | ")&amp;IF('Inventory - P03'!H18="","",'Inventory - P03'!H18&amp;" | ")&amp;IF('Inventory - P03'!H19="","",'Inventory - P03'!H19&amp;" | ")&amp;IF('Inventory - P03'!H20="","",'Inventory - P03'!H20&amp;" | ")&amp;IF('Inventory - P03'!H21="","",'Inventory - P03'!H21&amp;" | ")&amp;IF('Inventory - P03'!H22="","",'Inventory - P03'!H22&amp;" | ")&amp;IF('Inventory - P03'!H23="","",'Inventory - P03'!H23&amp;" | ")&amp;IF('Inventory - P03'!H24="","",'Inventory - P03'!H24&amp;" | ")&amp;IF('Inventory - P03'!H25="","",'Inventory - P03'!H25&amp;" | ")&amp;IF('Inventory - P03'!H26="","",'Inventory - P03'!H26&amp;" | ")&amp;IF('Inventory - P03'!H27="","",'Inventory - P03'!H27&amp;" | "),LEN(IF('Inventory - P03'!H16="","",'Inventory - P03'!H16&amp;" | ")&amp;IF('Inventory - P03'!H17="","",'Inventory - P03'!H17&amp;" | ")&amp;IF('Inventory - P03'!H18="","",'Inventory - P03'!H18&amp;" | ")&amp;IF('Inventory - P03'!H19="","",'Inventory - P03'!H19&amp;" | ")&amp;IF('Inventory - P03'!H20="","",'Inventory - P03'!H20&amp;" | ")&amp;IF('Inventory - P03'!H21="","",'Inventory - P03'!H21&amp;" | ")&amp;IF('Inventory - P03'!H22="","",'Inventory - P03'!H22&amp;" | ")&amp;IF('Inventory - P03'!H23="","",'Inventory - P03'!H23&amp;" | ")&amp;IF('Inventory - P03'!H24="","",'Inventory - P03'!H24&amp;" | ")&amp;IF('Inventory - P03'!H25="","",'Inventory - P03'!H25&amp;" | ")&amp;IF('Inventory - P03'!H26="","",'Inventory - P03'!H26&amp;" | ")&amp;IF('Inventory - P03'!H27="","",'Inventory - P03'!H27&amp;" | "))-3))</f>
        <v/>
      </c>
      <c r="N7" s="7" t="str">
        <f>IF('Client Needs Tracker'!E7="","",'Client Needs Tracker'!E7)</f>
        <v/>
      </c>
      <c r="O7" s="19" t="str">
        <f>IF('Client Needs Tracker'!C7="","",'Client Needs Tracker'!C7)</f>
        <v/>
      </c>
    </row>
    <row r="8" spans="1:15" ht="15" customHeight="1">
      <c r="A8" s="7">
        <f>'Client Needs Tracker'!A8</f>
        <v>0</v>
      </c>
      <c r="B8" s="7" t="str">
        <f>IF('Client Needs Tracker'!B8="","",UPPER(LEFT(TRIM('Client Needs Tracker'!B8),1))&amp;"."&amp;UPPER(MID('Client Needs Tracker'!B8,FIND("@",SUBSTITUTE('Client Needs Tracker'!B8," ","@",LEN('Client Needs Tracker'!B8)-LEN(SUBSTITUTE('Client Needs Tracker'!B8," ",""))))+1,1))&amp;".")</f>
        <v/>
      </c>
      <c r="C8" s="7" t="str">
        <f>IF('Client Needs Tracker'!S8="","",'Client Needs Tracker'!S8)</f>
        <v>M - 2B</v>
      </c>
      <c r="D8" s="7" t="str">
        <f>IF('Client Needs Tracker'!G8="","",'Client Needs Tracker'!G8)</f>
        <v/>
      </c>
      <c r="E8" s="7" t="str">
        <f>IF('Client Needs Tracker'!F8="","",'Client Needs Tracker'!F8)</f>
        <v/>
      </c>
      <c r="F8" s="11" t="s">
        <v>153</v>
      </c>
      <c r="G8" s="19"/>
      <c r="H8" s="12"/>
      <c r="I8" s="7"/>
      <c r="J8" s="14"/>
      <c r="K8" s="7" t="s">
        <v>151</v>
      </c>
      <c r="L8" s="14"/>
      <c r="M8" s="14" t="str">
        <f>IF(IF('Inventory - P04'!H16="","",'Inventory - P04'!H16&amp;" | ")&amp;IF('Inventory - P04'!H17="","",'Inventory - P04'!H17&amp;" | ")&amp;IF('Inventory - P04'!H18="","",'Inventory - P04'!H18&amp;" | ")&amp;IF('Inventory - P04'!H19="","",'Inventory - P04'!H19&amp;" | ")&amp;IF('Inventory - P04'!H20="","",'Inventory - P04'!H20&amp;" | ")&amp;IF('Inventory - P04'!H21="","",'Inventory - P04'!H21&amp;" | ")&amp;IF('Inventory - P04'!H22="","",'Inventory - P04'!H22&amp;" | ")&amp;IF('Inventory - P04'!H23="","",'Inventory - P04'!H23&amp;" | ")&amp;IF('Inventory - P04'!H24="","",'Inventory - P04'!H24&amp;" | ")&amp;IF('Inventory - P04'!H25="","",'Inventory - P04'!H25&amp;" | ")&amp;IF('Inventory - P04'!H26="","",'Inventory - P04'!H26&amp;" | ")&amp;IF('Inventory - P04'!H27="","",'Inventory - P04'!H27&amp;" | ")="","",LEFT(IF('Inventory - P04'!H16="","",'Inventory - P04'!H16&amp;" | ")&amp;IF('Inventory - P04'!H17="","",'Inventory - P04'!H17&amp;" | ")&amp;IF('Inventory - P04'!H18="","",'Inventory - P04'!H18&amp;" | ")&amp;IF('Inventory - P04'!H19="","",'Inventory - P04'!H19&amp;" | ")&amp;IF('Inventory - P04'!H20="","",'Inventory - P04'!H20&amp;" | ")&amp;IF('Inventory - P04'!H21="","",'Inventory - P04'!H21&amp;" | ")&amp;IF('Inventory - P04'!H22="","",'Inventory - P04'!H22&amp;" | ")&amp;IF('Inventory - P04'!H23="","",'Inventory - P04'!H23&amp;" | ")&amp;IF('Inventory - P04'!H24="","",'Inventory - P04'!H24&amp;" | ")&amp;IF('Inventory - P04'!H25="","",'Inventory - P04'!H25&amp;" | ")&amp;IF('Inventory - P04'!H26="","",'Inventory - P04'!H26&amp;" | ")&amp;IF('Inventory - P04'!H27="","",'Inventory - P04'!H27&amp;" | "),LEN(IF('Inventory - P04'!H16="","",'Inventory - P04'!H16&amp;" | ")&amp;IF('Inventory - P04'!H17="","",'Inventory - P04'!H17&amp;" | ")&amp;IF('Inventory - P04'!H18="","",'Inventory - P04'!H18&amp;" | ")&amp;IF('Inventory - P04'!H19="","",'Inventory - P04'!H19&amp;" | ")&amp;IF('Inventory - P04'!H20="","",'Inventory - P04'!H20&amp;" | ")&amp;IF('Inventory - P04'!H21="","",'Inventory - P04'!H21&amp;" | ")&amp;IF('Inventory - P04'!H22="","",'Inventory - P04'!H22&amp;" | ")&amp;IF('Inventory - P04'!H23="","",'Inventory - P04'!H23&amp;" | ")&amp;IF('Inventory - P04'!H24="","",'Inventory - P04'!H24&amp;" | ")&amp;IF('Inventory - P04'!H25="","",'Inventory - P04'!H25&amp;" | ")&amp;IF('Inventory - P04'!H26="","",'Inventory - P04'!H26&amp;" | ")&amp;IF('Inventory - P04'!H27="","",'Inventory - P04'!H27&amp;" | "))-3))</f>
        <v/>
      </c>
      <c r="N8" s="7" t="str">
        <f>IF('Client Needs Tracker'!E8="","",'Client Needs Tracker'!E8)</f>
        <v/>
      </c>
      <c r="O8" s="19" t="str">
        <f>IF('Client Needs Tracker'!C8="","",'Client Needs Tracker'!C8)</f>
        <v/>
      </c>
    </row>
    <row r="9" spans="1:15" ht="15" customHeight="1">
      <c r="A9" s="7">
        <f>'Client Needs Tracker'!A9</f>
        <v>0</v>
      </c>
      <c r="B9" s="7" t="str">
        <f>IF('Client Needs Tracker'!B9="","",UPPER(LEFT(TRIM('Client Needs Tracker'!B9),1))&amp;"."&amp;UPPER(MID('Client Needs Tracker'!B9,FIND("@",SUBSTITUTE('Client Needs Tracker'!B9," ","@",LEN('Client Needs Tracker'!B9)-LEN(SUBSTITUTE('Client Needs Tracker'!B9," ",""))))+1,1))&amp;".")</f>
        <v/>
      </c>
      <c r="C9" s="7" t="str">
        <f>IF('Client Needs Tracker'!S9="","",'Client Needs Tracker'!S9)</f>
        <v>M - 3A</v>
      </c>
      <c r="D9" s="7" t="str">
        <f>IF('Client Needs Tracker'!G9="","",'Client Needs Tracker'!G9)</f>
        <v/>
      </c>
      <c r="E9" s="7" t="str">
        <f>IF('Client Needs Tracker'!F9="","",'Client Needs Tracker'!F9)</f>
        <v/>
      </c>
      <c r="F9" s="11" t="s">
        <v>153</v>
      </c>
      <c r="G9" s="19"/>
      <c r="H9" s="12"/>
      <c r="I9" s="7"/>
      <c r="J9" s="14"/>
      <c r="K9" s="7" t="s">
        <v>151</v>
      </c>
      <c r="L9" s="14"/>
      <c r="M9" s="14" t="str">
        <f>IF(IF('Inventory - P05'!H16="","",'Inventory - P05'!H16&amp;" | ")&amp;IF('Inventory - P05'!H17="","",'Inventory - P05'!H17&amp;" | ")&amp;IF('Inventory - P05'!H18="","",'Inventory - P05'!H18&amp;" | ")&amp;IF('Inventory - P05'!H19="","",'Inventory - P05'!H19&amp;" | ")&amp;IF('Inventory - P05'!H20="","",'Inventory - P05'!H20&amp;" | ")&amp;IF('Inventory - P05'!H21="","",'Inventory - P05'!H21&amp;" | ")&amp;IF('Inventory - P05'!H22="","",'Inventory - P05'!H22&amp;" | ")&amp;IF('Inventory - P05'!H23="","",'Inventory - P05'!H23&amp;" | ")&amp;IF('Inventory - P05'!H24="","",'Inventory - P05'!H24&amp;" | ")&amp;IF('Inventory - P05'!H25="","",'Inventory - P05'!H25&amp;" | ")&amp;IF('Inventory - P05'!H26="","",'Inventory - P05'!H26&amp;" | ")&amp;IF('Inventory - P05'!H27="","",'Inventory - P05'!H27&amp;" | ")="","",LEFT(IF('Inventory - P05'!H16="","",'Inventory - P05'!H16&amp;" | ")&amp;IF('Inventory - P05'!H17="","",'Inventory - P05'!H17&amp;" | ")&amp;IF('Inventory - P05'!H18="","",'Inventory - P05'!H18&amp;" | ")&amp;IF('Inventory - P05'!H19="","",'Inventory - P05'!H19&amp;" | ")&amp;IF('Inventory - P05'!H20="","",'Inventory - P05'!H20&amp;" | ")&amp;IF('Inventory - P05'!H21="","",'Inventory - P05'!H21&amp;" | ")&amp;IF('Inventory - P05'!H22="","",'Inventory - P05'!H22&amp;" | ")&amp;IF('Inventory - P05'!H23="","",'Inventory - P05'!H23&amp;" | ")&amp;IF('Inventory - P05'!H24="","",'Inventory - P05'!H24&amp;" | ")&amp;IF('Inventory - P05'!H25="","",'Inventory - P05'!H25&amp;" | ")&amp;IF('Inventory - P05'!H26="","",'Inventory - P05'!H26&amp;" | ")&amp;IF('Inventory - P05'!H27="","",'Inventory - P05'!H27&amp;" | "),LEN(IF('Inventory - P05'!H16="","",'Inventory - P05'!H16&amp;" | ")&amp;IF('Inventory - P05'!H17="","",'Inventory - P05'!H17&amp;" | ")&amp;IF('Inventory - P05'!H18="","",'Inventory - P05'!H18&amp;" | ")&amp;IF('Inventory - P05'!H19="","",'Inventory - P05'!H19&amp;" | ")&amp;IF('Inventory - P05'!H20="","",'Inventory - P05'!H20&amp;" | ")&amp;IF('Inventory - P05'!H21="","",'Inventory - P05'!H21&amp;" | ")&amp;IF('Inventory - P05'!H22="","",'Inventory - P05'!H22&amp;" | ")&amp;IF('Inventory - P05'!H23="","",'Inventory - P05'!H23&amp;" | ")&amp;IF('Inventory - P05'!H24="","",'Inventory - P05'!H24&amp;" | ")&amp;IF('Inventory - P05'!H25="","",'Inventory - P05'!H25&amp;" | ")&amp;IF('Inventory - P05'!H26="","",'Inventory - P05'!H26&amp;" | ")&amp;IF('Inventory - P05'!H27="","",'Inventory - P05'!H27&amp;" | "))-3))</f>
        <v/>
      </c>
      <c r="N9" s="7" t="str">
        <f>IF('Client Needs Tracker'!E9="","",'Client Needs Tracker'!E9)</f>
        <v/>
      </c>
      <c r="O9" s="19" t="str">
        <f>IF('Client Needs Tracker'!C9="","",'Client Needs Tracker'!C9)</f>
        <v/>
      </c>
    </row>
    <row r="10" spans="1:15" ht="15" customHeight="1">
      <c r="A10" s="7">
        <f>'Client Needs Tracker'!A10</f>
        <v>0</v>
      </c>
      <c r="B10" s="7" t="str">
        <f>IF('Client Needs Tracker'!B10="","",UPPER(LEFT(TRIM('Client Needs Tracker'!B10),1))&amp;"."&amp;UPPER(MID('Client Needs Tracker'!B10,FIND("@",SUBSTITUTE('Client Needs Tracker'!B10," ","@",LEN('Client Needs Tracker'!B10)-LEN(SUBSTITUTE('Client Needs Tracker'!B10," ",""))))+1,1))&amp;".")</f>
        <v/>
      </c>
      <c r="C10" s="7" t="str">
        <f>IF('Client Needs Tracker'!S10="","",'Client Needs Tracker'!S10)</f>
        <v>M - 3B</v>
      </c>
      <c r="D10" s="7" t="str">
        <f>IF('Client Needs Tracker'!G10="","",'Client Needs Tracker'!G10)</f>
        <v/>
      </c>
      <c r="E10" s="7" t="str">
        <f>IF('Client Needs Tracker'!F10="","",'Client Needs Tracker'!F10)</f>
        <v/>
      </c>
      <c r="F10" s="11" t="s">
        <v>153</v>
      </c>
      <c r="G10" s="19"/>
      <c r="H10" s="12"/>
      <c r="I10" s="7"/>
      <c r="J10" s="14"/>
      <c r="K10" s="7" t="s">
        <v>151</v>
      </c>
      <c r="L10" s="14"/>
      <c r="M10" s="14" t="str">
        <f>IF(IF('Inventory - P06'!H16="","",'Inventory - P06'!H16&amp;" | ")&amp;IF('Inventory - P06'!H17="","",'Inventory - P06'!H17&amp;" | ")&amp;IF('Inventory - P06'!H18="","",'Inventory - P06'!H18&amp;" | ")&amp;IF('Inventory - P06'!H19="","",'Inventory - P06'!H19&amp;" | ")&amp;IF('Inventory - P06'!H20="","",'Inventory - P06'!H20&amp;" | ")&amp;IF('Inventory - P06'!H21="","",'Inventory - P06'!H21&amp;" | ")&amp;IF('Inventory - P06'!H22="","",'Inventory - P06'!H22&amp;" | ")&amp;IF('Inventory - P06'!H23="","",'Inventory - P06'!H23&amp;" | ")&amp;IF('Inventory - P06'!H24="","",'Inventory - P06'!H24&amp;" | ")&amp;IF('Inventory - P06'!H25="","",'Inventory - P06'!H25&amp;" | ")&amp;IF('Inventory - P06'!H26="","",'Inventory - P06'!H26&amp;" | ")&amp;IF('Inventory - P06'!H27="","",'Inventory - P06'!H27&amp;" | ")="","",LEFT(IF('Inventory - P06'!H16="","",'Inventory - P06'!H16&amp;" | ")&amp;IF('Inventory - P06'!H17="","",'Inventory - P06'!H17&amp;" | ")&amp;IF('Inventory - P06'!H18="","",'Inventory - P06'!H18&amp;" | ")&amp;IF('Inventory - P06'!H19="","",'Inventory - P06'!H19&amp;" | ")&amp;IF('Inventory - P06'!H20="","",'Inventory - P06'!H20&amp;" | ")&amp;IF('Inventory - P06'!H21="","",'Inventory - P06'!H21&amp;" | ")&amp;IF('Inventory - P06'!H22="","",'Inventory - P06'!H22&amp;" | ")&amp;IF('Inventory - P06'!H23="","",'Inventory - P06'!H23&amp;" | ")&amp;IF('Inventory - P06'!H24="","",'Inventory - P06'!H24&amp;" | ")&amp;IF('Inventory - P06'!H25="","",'Inventory - P06'!H25&amp;" | ")&amp;IF('Inventory - P06'!H26="","",'Inventory - P06'!H26&amp;" | ")&amp;IF('Inventory - P06'!H27="","",'Inventory - P06'!H27&amp;" | "),LEN(IF('Inventory - P06'!H16="","",'Inventory - P06'!H16&amp;" | ")&amp;IF('Inventory - P06'!H17="","",'Inventory - P06'!H17&amp;" | ")&amp;IF('Inventory - P06'!H18="","",'Inventory - P06'!H18&amp;" | ")&amp;IF('Inventory - P06'!H19="","",'Inventory - P06'!H19&amp;" | ")&amp;IF('Inventory - P06'!H20="","",'Inventory - P06'!H20&amp;" | ")&amp;IF('Inventory - P06'!H21="","",'Inventory - P06'!H21&amp;" | ")&amp;IF('Inventory - P06'!H22="","",'Inventory - P06'!H22&amp;" | ")&amp;IF('Inventory - P06'!H23="","",'Inventory - P06'!H23&amp;" | ")&amp;IF('Inventory - P06'!H24="","",'Inventory - P06'!H24&amp;" | ")&amp;IF('Inventory - P06'!H25="","",'Inventory - P06'!H25&amp;" | ")&amp;IF('Inventory - P06'!H26="","",'Inventory - P06'!H26&amp;" | ")&amp;IF('Inventory - P06'!H27="","",'Inventory - P06'!H27&amp;" | "))-3))</f>
        <v/>
      </c>
      <c r="N10" s="7" t="str">
        <f>IF('Client Needs Tracker'!E10="","",'Client Needs Tracker'!E10)</f>
        <v/>
      </c>
      <c r="O10" s="19" t="str">
        <f>IF('Client Needs Tracker'!C10="","",'Client Needs Tracker'!C10)</f>
        <v/>
      </c>
    </row>
    <row r="11" spans="1:15" ht="15" customHeight="1">
      <c r="A11" s="7">
        <f>'Client Needs Tracker'!A11</f>
        <v>0</v>
      </c>
      <c r="B11" s="7" t="str">
        <f>IF('Client Needs Tracker'!B11="","",UPPER(LEFT(TRIM('Client Needs Tracker'!B11),1))&amp;"."&amp;UPPER(MID('Client Needs Tracker'!B11,FIND("@",SUBSTITUTE('Client Needs Tracker'!B11," ","@",LEN('Client Needs Tracker'!B11)-LEN(SUBSTITUTE('Client Needs Tracker'!B11," ",""))))+1,1))&amp;".")</f>
        <v/>
      </c>
      <c r="C11" s="7" t="str">
        <f>IF('Client Needs Tracker'!S11="","",'Client Needs Tracker'!S11)</f>
        <v>M - 4A</v>
      </c>
      <c r="D11" s="7" t="str">
        <f>IF('Client Needs Tracker'!G11="","",'Client Needs Tracker'!G11)</f>
        <v/>
      </c>
      <c r="E11" s="7" t="str">
        <f>IF('Client Needs Tracker'!F11="","",'Client Needs Tracker'!F11)</f>
        <v/>
      </c>
      <c r="F11" s="11" t="s">
        <v>153</v>
      </c>
      <c r="G11" s="19"/>
      <c r="H11" s="12"/>
      <c r="I11" s="7"/>
      <c r="J11" s="14"/>
      <c r="K11" s="7" t="s">
        <v>151</v>
      </c>
      <c r="L11" s="14"/>
      <c r="M11" s="14" t="str">
        <f>IF(IF('Inventory - P07'!H16="","",'Inventory - P07'!H16&amp;" | ")&amp;IF('Inventory - P07'!H17="","",'Inventory - P07'!H17&amp;" | ")&amp;IF('Inventory - P07'!H18="","",'Inventory - P07'!H18&amp;" | ")&amp;IF('Inventory - P07'!H19="","",'Inventory - P07'!H19&amp;" | ")&amp;IF('Inventory - P07'!H20="","",'Inventory - P07'!H20&amp;" | ")&amp;IF('Inventory - P07'!H21="","",'Inventory - P07'!H21&amp;" | ")&amp;IF('Inventory - P07'!H22="","",'Inventory - P07'!H22&amp;" | ")&amp;IF('Inventory - P07'!H23="","",'Inventory - P07'!H23&amp;" | ")&amp;IF('Inventory - P07'!H24="","",'Inventory - P07'!H24&amp;" | ")&amp;IF('Inventory - P07'!H25="","",'Inventory - P07'!H25&amp;" | ")&amp;IF('Inventory - P07'!H26="","",'Inventory - P07'!H26&amp;" | ")&amp;IF('Inventory - P07'!H27="","",'Inventory - P07'!H27&amp;" | ")="","",LEFT(IF('Inventory - P07'!H16="","",'Inventory - P07'!H16&amp;" | ")&amp;IF('Inventory - P07'!H17="","",'Inventory - P07'!H17&amp;" | ")&amp;IF('Inventory - P07'!H18="","",'Inventory - P07'!H18&amp;" | ")&amp;IF('Inventory - P07'!H19="","",'Inventory - P07'!H19&amp;" | ")&amp;IF('Inventory - P07'!H20="","",'Inventory - P07'!H20&amp;" | ")&amp;IF('Inventory - P07'!H21="","",'Inventory - P07'!H21&amp;" | ")&amp;IF('Inventory - P07'!H22="","",'Inventory - P07'!H22&amp;" | ")&amp;IF('Inventory - P07'!H23="","",'Inventory - P07'!H23&amp;" | ")&amp;IF('Inventory - P07'!H24="","",'Inventory - P07'!H24&amp;" | ")&amp;IF('Inventory - P07'!H25="","",'Inventory - P07'!H25&amp;" | ")&amp;IF('Inventory - P07'!H26="","",'Inventory - P07'!H26&amp;" | ")&amp;IF('Inventory - P07'!H27="","",'Inventory - P07'!H27&amp;" | "),LEN(IF('Inventory - P07'!H16="","",'Inventory - P07'!H16&amp;" | ")&amp;IF('Inventory - P07'!H17="","",'Inventory - P07'!H17&amp;" | ")&amp;IF('Inventory - P07'!H18="","",'Inventory - P07'!H18&amp;" | ")&amp;IF('Inventory - P07'!H19="","",'Inventory - P07'!H19&amp;" | ")&amp;IF('Inventory - P07'!H20="","",'Inventory - P07'!H20&amp;" | ")&amp;IF('Inventory - P07'!H21="","",'Inventory - P07'!H21&amp;" | ")&amp;IF('Inventory - P07'!H22="","",'Inventory - P07'!H22&amp;" | ")&amp;IF('Inventory - P07'!H23="","",'Inventory - P07'!H23&amp;" | ")&amp;IF('Inventory - P07'!H24="","",'Inventory - P07'!H24&amp;" | ")&amp;IF('Inventory - P07'!H25="","",'Inventory - P07'!H25&amp;" | ")&amp;IF('Inventory - P07'!H26="","",'Inventory - P07'!H26&amp;" | ")&amp;IF('Inventory - P07'!H27="","",'Inventory - P07'!H27&amp;" | "))-3))</f>
        <v/>
      </c>
      <c r="N11" s="7" t="str">
        <f>IF('Client Needs Tracker'!E11="","",'Client Needs Tracker'!E11)</f>
        <v/>
      </c>
      <c r="O11" s="19" t="str">
        <f>IF('Client Needs Tracker'!C11="","",'Client Needs Tracker'!C11)</f>
        <v/>
      </c>
    </row>
    <row r="12" spans="1:15" ht="15" customHeight="1">
      <c r="A12" s="7">
        <f>'Client Needs Tracker'!A12</f>
        <v>0</v>
      </c>
      <c r="B12" s="7" t="str">
        <f>IF('Client Needs Tracker'!B12="","",UPPER(LEFT(TRIM('Client Needs Tracker'!B12),1))&amp;"."&amp;UPPER(MID('Client Needs Tracker'!B12,FIND("@",SUBSTITUTE('Client Needs Tracker'!B12," ","@",LEN('Client Needs Tracker'!B12)-LEN(SUBSTITUTE('Client Needs Tracker'!B12," ",""))))+1,1))&amp;".")</f>
        <v/>
      </c>
      <c r="C12" s="7" t="str">
        <f>IF('Client Needs Tracker'!S12="","",'Client Needs Tracker'!S12)</f>
        <v>M - 4B</v>
      </c>
      <c r="D12" s="7" t="str">
        <f>IF('Client Needs Tracker'!G12="","",'Client Needs Tracker'!G12)</f>
        <v/>
      </c>
      <c r="E12" s="7" t="str">
        <f>IF('Client Needs Tracker'!F12="","",'Client Needs Tracker'!F12)</f>
        <v/>
      </c>
      <c r="F12" s="11" t="s">
        <v>153</v>
      </c>
      <c r="G12" s="19"/>
      <c r="H12" s="12"/>
      <c r="I12" s="7"/>
      <c r="J12" s="14"/>
      <c r="K12" s="7" t="s">
        <v>151</v>
      </c>
      <c r="L12" s="14"/>
      <c r="M12" s="14" t="str">
        <f>IF(IF('Inventory - P08'!H16="","",'Inventory - P08'!H16&amp;" | ")&amp;IF('Inventory - P08'!H17="","",'Inventory - P08'!H17&amp;" | ")&amp;IF('Inventory - P08'!H18="","",'Inventory - P08'!H18&amp;" | ")&amp;IF('Inventory - P08'!H19="","",'Inventory - P08'!H19&amp;" | ")&amp;IF('Inventory - P08'!H20="","",'Inventory - P08'!H20&amp;" | ")&amp;IF('Inventory - P08'!H21="","",'Inventory - P08'!H21&amp;" | ")&amp;IF('Inventory - P08'!H22="","",'Inventory - P08'!H22&amp;" | ")&amp;IF('Inventory - P08'!H23="","",'Inventory - P08'!H23&amp;" | ")&amp;IF('Inventory - P08'!H24="","",'Inventory - P08'!H24&amp;" | ")&amp;IF('Inventory - P08'!H25="","",'Inventory - P08'!H25&amp;" | ")&amp;IF('Inventory - P08'!H26="","",'Inventory - P08'!H26&amp;" | ")&amp;IF('Inventory - P08'!H27="","",'Inventory - P08'!H27&amp;" | ")="","",LEFT(IF('Inventory - P08'!H16="","",'Inventory - P08'!H16&amp;" | ")&amp;IF('Inventory - P08'!H17="","",'Inventory - P08'!H17&amp;" | ")&amp;IF('Inventory - P08'!H18="","",'Inventory - P08'!H18&amp;" | ")&amp;IF('Inventory - P08'!H19="","",'Inventory - P08'!H19&amp;" | ")&amp;IF('Inventory - P08'!H20="","",'Inventory - P08'!H20&amp;" | ")&amp;IF('Inventory - P08'!H21="","",'Inventory - P08'!H21&amp;" | ")&amp;IF('Inventory - P08'!H22="","",'Inventory - P08'!H22&amp;" | ")&amp;IF('Inventory - P08'!H23="","",'Inventory - P08'!H23&amp;" | ")&amp;IF('Inventory - P08'!H24="","",'Inventory - P08'!H24&amp;" | ")&amp;IF('Inventory - P08'!H25="","",'Inventory - P08'!H25&amp;" | ")&amp;IF('Inventory - P08'!H26="","",'Inventory - P08'!H26&amp;" | ")&amp;IF('Inventory - P08'!H27="","",'Inventory - P08'!H27&amp;" | "),LEN(IF('Inventory - P08'!H16="","",'Inventory - P08'!H16&amp;" | ")&amp;IF('Inventory - P08'!H17="","",'Inventory - P08'!H17&amp;" | ")&amp;IF('Inventory - P08'!H18="","",'Inventory - P08'!H18&amp;" | ")&amp;IF('Inventory - P08'!H19="","",'Inventory - P08'!H19&amp;" | ")&amp;IF('Inventory - P08'!H20="","",'Inventory - P08'!H20&amp;" | ")&amp;IF('Inventory - P08'!H21="","",'Inventory - P08'!H21&amp;" | ")&amp;IF('Inventory - P08'!H22="","",'Inventory - P08'!H22&amp;" | ")&amp;IF('Inventory - P08'!H23="","",'Inventory - P08'!H23&amp;" | ")&amp;IF('Inventory - P08'!H24="","",'Inventory - P08'!H24&amp;" | ")&amp;IF('Inventory - P08'!H25="","",'Inventory - P08'!H25&amp;" | ")&amp;IF('Inventory - P08'!H26="","",'Inventory - P08'!H26&amp;" | ")&amp;IF('Inventory - P08'!H27="","",'Inventory - P08'!H27&amp;" | "))-3))</f>
        <v/>
      </c>
      <c r="N12" s="7" t="str">
        <f>IF('Client Needs Tracker'!E12="","",'Client Needs Tracker'!E12)</f>
        <v/>
      </c>
      <c r="O12" s="19" t="str">
        <f>IF('Client Needs Tracker'!C12="","",'Client Needs Tracker'!C12)</f>
        <v/>
      </c>
    </row>
    <row r="13" spans="1:15" ht="15" customHeight="1">
      <c r="A13" s="7">
        <f>'Client Needs Tracker'!A13</f>
        <v>102558</v>
      </c>
      <c r="B13" s="7" t="str">
        <f>IF('Client Needs Tracker'!B13="","",UPPER(LEFT(TRIM('Client Needs Tracker'!B13),1))&amp;"."&amp;UPPER(MID('Client Needs Tracker'!B13,FIND("@",SUBSTITUTE('Client Needs Tracker'!B13," ","@",LEN('Client Needs Tracker'!B13)-LEN(SUBSTITUTE('Client Needs Tracker'!B13," ",""))))+1,1))&amp;".")</f>
        <v>B.H.</v>
      </c>
      <c r="C13" s="7" t="str">
        <f>IF('Client Needs Tracker'!S13="","",'Client Needs Tracker'!S13)</f>
        <v>F - 1A</v>
      </c>
      <c r="D13" s="7" t="str">
        <f>IF('Client Needs Tracker'!G13="","",'Client Needs Tracker'!G13)</f>
        <v>Bayview</v>
      </c>
      <c r="E13" s="7"/>
      <c r="F13" s="11"/>
      <c r="G13" s="7"/>
      <c r="H13" s="12"/>
      <c r="I13" s="13"/>
      <c r="J13" s="14"/>
      <c r="K13" s="7"/>
      <c r="L13" s="14"/>
      <c r="M13" s="14" t="str">
        <f>IF(IF('Inventory - P09'!H16="","",'Inventory - P09'!H16&amp;" | ")&amp;IF('Inventory - P09'!H17="","",'Inventory - P09'!H17&amp;" | ")&amp;IF('Inventory - P09'!H18="","",'Inventory - P09'!H18&amp;" | ")&amp;IF('Inventory - P09'!H19="","",'Inventory - P09'!H19&amp;" | ")&amp;IF('Inventory - P09'!H20="","",'Inventory - P09'!H20&amp;" | ")&amp;IF('Inventory - P09'!H21="","",'Inventory - P09'!H21&amp;" | ")&amp;IF('Inventory - P09'!H22="","",'Inventory - P09'!H22&amp;" | ")&amp;IF('Inventory - P09'!H23="","",'Inventory - P09'!H23&amp;" | ")&amp;IF('Inventory - P09'!H24="","",'Inventory - P09'!H24&amp;" | ")&amp;IF('Inventory - P09'!H25="","",'Inventory - P09'!H25&amp;" | ")&amp;IF('Inventory - P09'!H26="","",'Inventory - P09'!H26&amp;" | ")&amp;IF('Inventory - P09'!H27="","",'Inventory - P09'!H27&amp;" | ")="","",LEFT(IF('Inventory - P09'!H16="","",'Inventory - P09'!H16&amp;" | ")&amp;IF('Inventory - P09'!H17="","",'Inventory - P09'!H17&amp;" | ")&amp;IF('Inventory - P09'!H18="","",'Inventory - P09'!H18&amp;" | ")&amp;IF('Inventory - P09'!H19="","",'Inventory - P09'!H19&amp;" | ")&amp;IF('Inventory - P09'!H20="","",'Inventory - P09'!H20&amp;" | ")&amp;IF('Inventory - P09'!H21="","",'Inventory - P09'!H21&amp;" | ")&amp;IF('Inventory - P09'!H22="","",'Inventory - P09'!H22&amp;" | ")&amp;IF('Inventory - P09'!H23="","",'Inventory - P09'!H23&amp;" | ")&amp;IF('Inventory - P09'!H24="","",'Inventory - P09'!H24&amp;" | ")&amp;IF('Inventory - P09'!H25="","",'Inventory - P09'!H25&amp;" | ")&amp;IF('Inventory - P09'!H26="","",'Inventory - P09'!H26&amp;" | ")&amp;IF('Inventory - P09'!H27="","",'Inventory - P09'!H27&amp;" | "),LEN(IF('Inventory - P09'!H16="","",'Inventory - P09'!H16&amp;" | ")&amp;IF('Inventory - P09'!H17="","",'Inventory - P09'!H17&amp;" | ")&amp;IF('Inventory - P09'!H18="","",'Inventory - P09'!H18&amp;" | ")&amp;IF('Inventory - P09'!H19="","",'Inventory - P09'!H19&amp;" | ")&amp;IF('Inventory - P09'!H20="","",'Inventory - P09'!H20&amp;" | ")&amp;IF('Inventory - P09'!H21="","",'Inventory - P09'!H21&amp;" | ")&amp;IF('Inventory - P09'!H22="","",'Inventory - P09'!H22&amp;" | ")&amp;IF('Inventory - P09'!H23="","",'Inventory - P09'!H23&amp;" | ")&amp;IF('Inventory - P09'!H24="","",'Inventory - P09'!H24&amp;" | ")&amp;IF('Inventory - P09'!H25="","",'Inventory - P09'!H25&amp;" | ")&amp;IF('Inventory - P09'!H26="","",'Inventory - P09'!H26&amp;" | ")&amp;IF('Inventory - P09'!H27="","",'Inventory - P09'!H27&amp;" | "))-3))</f>
        <v/>
      </c>
      <c r="N13" s="7" t="str">
        <f>IF('Client Needs Tracker'!E13="","",'Client Needs Tracker'!E13)</f>
        <v>LOC3</v>
      </c>
      <c r="O13" s="19">
        <f>IF('Client Needs Tracker'!C13="","",'Client Needs Tracker'!C13)</f>
        <v>46223</v>
      </c>
    </row>
    <row r="14" spans="1:15" ht="15" customHeight="1">
      <c r="A14" s="7">
        <f>'Client Needs Tracker'!A14</f>
        <v>10223</v>
      </c>
      <c r="B14" s="7" t="str">
        <f>IF('Client Needs Tracker'!B14="","",UPPER(LEFT(TRIM('Client Needs Tracker'!B14),1))&amp;"."&amp;UPPER(MID('Client Needs Tracker'!B14,FIND("@",SUBSTITUTE('Client Needs Tracker'!B14," ","@",LEN('Client Needs Tracker'!B14)-LEN(SUBSTITUTE('Client Needs Tracker'!B14," ",""))))+1,1))&amp;".")</f>
        <v>L.L.</v>
      </c>
      <c r="C14" s="7" t="str">
        <f>IF('Client Needs Tracker'!S14="","",'Client Needs Tracker'!S14)</f>
        <v>F - 1B</v>
      </c>
      <c r="D14" s="7" t="str">
        <f>IF('Client Needs Tracker'!G14="","",'Client Needs Tracker'!G14)</f>
        <v/>
      </c>
      <c r="E14" s="7" t="str">
        <f>IF('Client Needs Tracker'!F14="","",'Client Needs Tracker'!F14)</f>
        <v/>
      </c>
      <c r="F14" s="11" t="s">
        <v>153</v>
      </c>
      <c r="G14" s="19"/>
      <c r="H14" s="12"/>
      <c r="I14" s="7"/>
      <c r="J14" s="14"/>
      <c r="K14" s="7" t="s">
        <v>151</v>
      </c>
      <c r="L14" s="14"/>
      <c r="M14" s="14" t="str">
        <f>IF(IF('Inventory - P10'!H16="","",'Inventory - P10'!H16&amp;" | ")&amp;IF('Inventory - P10'!H17="","",'Inventory - P10'!H17&amp;" | ")&amp;IF('Inventory - P10'!H18="","",'Inventory - P10'!H18&amp;" | ")&amp;IF('Inventory - P10'!H19="","",'Inventory - P10'!H19&amp;" | ")&amp;IF('Inventory - P10'!H20="","",'Inventory - P10'!H20&amp;" | ")&amp;IF('Inventory - P10'!H21="","",'Inventory - P10'!H21&amp;" | ")&amp;IF('Inventory - P10'!H22="","",'Inventory - P10'!H22&amp;" | ")&amp;IF('Inventory - P10'!H23="","",'Inventory - P10'!H23&amp;" | ")&amp;IF('Inventory - P10'!H24="","",'Inventory - P10'!H24&amp;" | ")&amp;IF('Inventory - P10'!H25="","",'Inventory - P10'!H25&amp;" | ")&amp;IF('Inventory - P10'!H26="","",'Inventory - P10'!H26&amp;" | ")&amp;IF('Inventory - P10'!H27="","",'Inventory - P10'!H27&amp;" | ")="","",LEFT(IF('Inventory - P10'!H16="","",'Inventory - P10'!H16&amp;" | ")&amp;IF('Inventory - P10'!H17="","",'Inventory - P10'!H17&amp;" | ")&amp;IF('Inventory - P10'!H18="","",'Inventory - P10'!H18&amp;" | ")&amp;IF('Inventory - P10'!H19="","",'Inventory - P10'!H19&amp;" | ")&amp;IF('Inventory - P10'!H20="","",'Inventory - P10'!H20&amp;" | ")&amp;IF('Inventory - P10'!H21="","",'Inventory - P10'!H21&amp;" | ")&amp;IF('Inventory - P10'!H22="","",'Inventory - P10'!H22&amp;" | ")&amp;IF('Inventory - P10'!H23="","",'Inventory - P10'!H23&amp;" | ")&amp;IF('Inventory - P10'!H24="","",'Inventory - P10'!H24&amp;" | ")&amp;IF('Inventory - P10'!H25="","",'Inventory - P10'!H25&amp;" | ")&amp;IF('Inventory - P10'!H26="","",'Inventory - P10'!H26&amp;" | ")&amp;IF('Inventory - P10'!H27="","",'Inventory - P10'!H27&amp;" | "),LEN(IF('Inventory - P10'!H16="","",'Inventory - P10'!H16&amp;" | ")&amp;IF('Inventory - P10'!H17="","",'Inventory - P10'!H17&amp;" | ")&amp;IF('Inventory - P10'!H18="","",'Inventory - P10'!H18&amp;" | ")&amp;IF('Inventory - P10'!H19="","",'Inventory - P10'!H19&amp;" | ")&amp;IF('Inventory - P10'!H20="","",'Inventory - P10'!H20&amp;" | ")&amp;IF('Inventory - P10'!H21="","",'Inventory - P10'!H21&amp;" | ")&amp;IF('Inventory - P10'!H22="","",'Inventory - P10'!H22&amp;" | ")&amp;IF('Inventory - P10'!H23="","",'Inventory - P10'!H23&amp;" | ")&amp;IF('Inventory - P10'!H24="","",'Inventory - P10'!H24&amp;" | ")&amp;IF('Inventory - P10'!H25="","",'Inventory - P10'!H25&amp;" | ")&amp;IF('Inventory - P10'!H26="","",'Inventory - P10'!H26&amp;" | ")&amp;IF('Inventory - P10'!H27="","",'Inventory - P10'!H27&amp;" | "))-3))</f>
        <v/>
      </c>
      <c r="N14" s="7" t="str">
        <f>IF('Client Needs Tracker'!E14="","",'Client Needs Tracker'!E14)</f>
        <v/>
      </c>
      <c r="O14" s="19">
        <f>IF('Client Needs Tracker'!C14="","",'Client Needs Tracker'!C14)</f>
        <v>46231</v>
      </c>
    </row>
    <row r="15" spans="1:15" ht="15" customHeight="1">
      <c r="A15" s="7">
        <f>'Client Needs Tracker'!A15</f>
        <v>10101010</v>
      </c>
      <c r="B15" s="7" t="str">
        <f>IF('Client Needs Tracker'!B15="","",UPPER(LEFT(TRIM('Client Needs Tracker'!B15),1))&amp;"."&amp;UPPER(MID('Client Needs Tracker'!B15,FIND("@",SUBSTITUTE('Client Needs Tracker'!B15," ","@",LEN('Client Needs Tracker'!B15)-LEN(SUBSTITUTE('Client Needs Tracker'!B15," ",""))))+1,1))&amp;".")</f>
        <v>B.B.</v>
      </c>
      <c r="C15" s="7" t="str">
        <f>IF('Client Needs Tracker'!S15="","",'Client Needs Tracker'!S15)</f>
        <v>F - 2A</v>
      </c>
      <c r="D15" s="7" t="str">
        <f>IF('Client Needs Tracker'!G15="","",'Client Needs Tracker'!G15)</f>
        <v/>
      </c>
      <c r="E15" s="7" t="str">
        <f>IF('Client Needs Tracker'!F15="","",'Client Needs Tracker'!F15)</f>
        <v/>
      </c>
      <c r="F15" s="11" t="s">
        <v>153</v>
      </c>
      <c r="G15" s="19"/>
      <c r="H15" s="12"/>
      <c r="I15" s="7"/>
      <c r="J15" s="14"/>
      <c r="K15" s="7" t="s">
        <v>151</v>
      </c>
      <c r="L15" s="14"/>
      <c r="M15" s="14" t="str">
        <f>IF(IF('Inventory - P11'!H16="","",'Inventory - P11'!H16&amp;" | ")&amp;IF('Inventory - P11'!H17="","",'Inventory - P11'!H17&amp;" | ")&amp;IF('Inventory - P11'!H18="","",'Inventory - P11'!H18&amp;" | ")&amp;IF('Inventory - P11'!H19="","",'Inventory - P11'!H19&amp;" | ")&amp;IF('Inventory - P11'!H20="","",'Inventory - P11'!H20&amp;" | ")&amp;IF('Inventory - P11'!H21="","",'Inventory - P11'!H21&amp;" | ")&amp;IF('Inventory - P11'!H22="","",'Inventory - P11'!H22&amp;" | ")&amp;IF('Inventory - P11'!H23="","",'Inventory - P11'!H23&amp;" | ")&amp;IF('Inventory - P11'!H24="","",'Inventory - P11'!H24&amp;" | ")&amp;IF('Inventory - P11'!H25="","",'Inventory - P11'!H25&amp;" | ")&amp;IF('Inventory - P11'!H26="","",'Inventory - P11'!H26&amp;" | ")&amp;IF('Inventory - P11'!H27="","",'Inventory - P11'!H27&amp;" | ")="","",LEFT(IF('Inventory - P11'!H16="","",'Inventory - P11'!H16&amp;" | ")&amp;IF('Inventory - P11'!H17="","",'Inventory - P11'!H17&amp;" | ")&amp;IF('Inventory - P11'!H18="","",'Inventory - P11'!H18&amp;" | ")&amp;IF('Inventory - P11'!H19="","",'Inventory - P11'!H19&amp;" | ")&amp;IF('Inventory - P11'!H20="","",'Inventory - P11'!H20&amp;" | ")&amp;IF('Inventory - P11'!H21="","",'Inventory - P11'!H21&amp;" | ")&amp;IF('Inventory - P11'!H22="","",'Inventory - P11'!H22&amp;" | ")&amp;IF('Inventory - P11'!H23="","",'Inventory - P11'!H23&amp;" | ")&amp;IF('Inventory - P11'!H24="","",'Inventory - P11'!H24&amp;" | ")&amp;IF('Inventory - P11'!H25="","",'Inventory - P11'!H25&amp;" | ")&amp;IF('Inventory - P11'!H26="","",'Inventory - P11'!H26&amp;" | ")&amp;IF('Inventory - P11'!H27="","",'Inventory - P11'!H27&amp;" | "),LEN(IF('Inventory - P11'!H16="","",'Inventory - P11'!H16&amp;" | ")&amp;IF('Inventory - P11'!H17="","",'Inventory - P11'!H17&amp;" | ")&amp;IF('Inventory - P11'!H18="","",'Inventory - P11'!H18&amp;" | ")&amp;IF('Inventory - P11'!H19="","",'Inventory - P11'!H19&amp;" | ")&amp;IF('Inventory - P11'!H20="","",'Inventory - P11'!H20&amp;" | ")&amp;IF('Inventory - P11'!H21="","",'Inventory - P11'!H21&amp;" | ")&amp;IF('Inventory - P11'!H22="","",'Inventory - P11'!H22&amp;" | ")&amp;IF('Inventory - P11'!H23="","",'Inventory - P11'!H23&amp;" | ")&amp;IF('Inventory - P11'!H24="","",'Inventory - P11'!H24&amp;" | ")&amp;IF('Inventory - P11'!H25="","",'Inventory - P11'!H25&amp;" | ")&amp;IF('Inventory - P11'!H26="","",'Inventory - P11'!H26&amp;" | ")&amp;IF('Inventory - P11'!H27="","",'Inventory - P11'!H27&amp;" | "))-3))</f>
        <v/>
      </c>
      <c r="N15" s="7" t="str">
        <f>IF('Client Needs Tracker'!E15="","",'Client Needs Tracker'!E15)</f>
        <v/>
      </c>
      <c r="O15" s="19">
        <f>IF('Client Needs Tracker'!C15="","",'Client Needs Tracker'!C15)</f>
        <v>46237</v>
      </c>
    </row>
    <row r="16" spans="1:15" ht="15" customHeight="1">
      <c r="A16" s="7">
        <f>'Client Needs Tracker'!A16</f>
        <v>25585</v>
      </c>
      <c r="B16" s="7" t="str">
        <f>IF('Client Needs Tracker'!B16="","",UPPER(LEFT(TRIM('Client Needs Tracker'!B16),1))&amp;"."&amp;UPPER(MID('Client Needs Tracker'!B16,FIND("@",SUBSTITUTE('Client Needs Tracker'!B16," ","@",LEN('Client Needs Tracker'!B16)-LEN(SUBSTITUTE('Client Needs Tracker'!B16," ",""))))+1,1))&amp;".")</f>
        <v>L.K.</v>
      </c>
      <c r="C16" s="7" t="str">
        <f>IF('Client Needs Tracker'!S16="","",'Client Needs Tracker'!S16)</f>
        <v>F - 2B</v>
      </c>
      <c r="D16" s="7" t="str">
        <f>IF('Client Needs Tracker'!G16="","",'Client Needs Tracker'!G16)</f>
        <v/>
      </c>
      <c r="E16" s="7" t="str">
        <f>IF('Client Needs Tracker'!F16="","",'Client Needs Tracker'!F16)</f>
        <v/>
      </c>
      <c r="F16" s="11" t="s">
        <v>153</v>
      </c>
      <c r="G16" s="19"/>
      <c r="H16" s="12"/>
      <c r="I16" s="7"/>
      <c r="J16" s="14"/>
      <c r="K16" s="7" t="s">
        <v>151</v>
      </c>
      <c r="L16" s="14"/>
      <c r="M16" s="14" t="str">
        <f>IF(IF('Inventory - P12'!H16="","",'Inventory - P12'!H16&amp;" | ")&amp;IF('Inventory - P12'!H17="","",'Inventory - P12'!H17&amp;" | ")&amp;IF('Inventory - P12'!H18="","",'Inventory - P12'!H18&amp;" | ")&amp;IF('Inventory - P12'!H19="","",'Inventory - P12'!H19&amp;" | ")&amp;IF('Inventory - P12'!H20="","",'Inventory - P12'!H20&amp;" | ")&amp;IF('Inventory - P12'!H21="","",'Inventory - P12'!H21&amp;" | ")&amp;IF('Inventory - P12'!H22="","",'Inventory - P12'!H22&amp;" | ")&amp;IF('Inventory - P12'!H23="","",'Inventory - P12'!H23&amp;" | ")&amp;IF('Inventory - P12'!H24="","",'Inventory - P12'!H24&amp;" | ")&amp;IF('Inventory - P12'!H25="","",'Inventory - P12'!H25&amp;" | ")&amp;IF('Inventory - P12'!H26="","",'Inventory - P12'!H26&amp;" | ")&amp;IF('Inventory - P12'!H27="","",'Inventory - P12'!H27&amp;" | ")="","",LEFT(IF('Inventory - P12'!H16="","",'Inventory - P12'!H16&amp;" | ")&amp;IF('Inventory - P12'!H17="","",'Inventory - P12'!H17&amp;" | ")&amp;IF('Inventory - P12'!H18="","",'Inventory - P12'!H18&amp;" | ")&amp;IF('Inventory - P12'!H19="","",'Inventory - P12'!H19&amp;" | ")&amp;IF('Inventory - P12'!H20="","",'Inventory - P12'!H20&amp;" | ")&amp;IF('Inventory - P12'!H21="","",'Inventory - P12'!H21&amp;" | ")&amp;IF('Inventory - P12'!H22="","",'Inventory - P12'!H22&amp;" | ")&amp;IF('Inventory - P12'!H23="","",'Inventory - P12'!H23&amp;" | ")&amp;IF('Inventory - P12'!H24="","",'Inventory - P12'!H24&amp;" | ")&amp;IF('Inventory - P12'!H25="","",'Inventory - P12'!H25&amp;" | ")&amp;IF('Inventory - P12'!H26="","",'Inventory - P12'!H26&amp;" | ")&amp;IF('Inventory - P12'!H27="","",'Inventory - P12'!H27&amp;" | "),LEN(IF('Inventory - P12'!H16="","",'Inventory - P12'!H16&amp;" | ")&amp;IF('Inventory - P12'!H17="","",'Inventory - P12'!H17&amp;" | ")&amp;IF('Inventory - P12'!H18="","",'Inventory - P12'!H18&amp;" | ")&amp;IF('Inventory - P12'!H19="","",'Inventory - P12'!H19&amp;" | ")&amp;IF('Inventory - P12'!H20="","",'Inventory - P12'!H20&amp;" | ")&amp;IF('Inventory - P12'!H21="","",'Inventory - P12'!H21&amp;" | ")&amp;IF('Inventory - P12'!H22="","",'Inventory - P12'!H22&amp;" | ")&amp;IF('Inventory - P12'!H23="","",'Inventory - P12'!H23&amp;" | ")&amp;IF('Inventory - P12'!H24="","",'Inventory - P12'!H24&amp;" | ")&amp;IF('Inventory - P12'!H25="","",'Inventory - P12'!H25&amp;" | ")&amp;IF('Inventory - P12'!H26="","",'Inventory - P12'!H26&amp;" | ")&amp;IF('Inventory - P12'!H27="","",'Inventory - P12'!H27&amp;" | "))-3))</f>
        <v/>
      </c>
      <c r="N16" s="7" t="str">
        <f>IF('Client Needs Tracker'!E16="","",'Client Needs Tracker'!E16)</f>
        <v/>
      </c>
      <c r="O16" s="19">
        <f>IF('Client Needs Tracker'!C16="","",'Client Needs Tracker'!C16)</f>
        <v>46239</v>
      </c>
    </row>
    <row r="17" spans="1:15" ht="15" customHeight="1">
      <c r="A17" s="7">
        <f>'Client Needs Tracker'!A17</f>
        <v>588588</v>
      </c>
      <c r="B17" s="7" t="str">
        <f>IF('Client Needs Tracker'!B17="","",UPPER(LEFT(TRIM('Client Needs Tracker'!B17),1))&amp;"."&amp;UPPER(MID('Client Needs Tracker'!B17,FIND("@",SUBSTITUTE('Client Needs Tracker'!B17," ","@",LEN('Client Needs Tracker'!B17)-LEN(SUBSTITUTE('Client Needs Tracker'!B17," ",""))))+1,1))&amp;".")</f>
        <v>J.S.</v>
      </c>
      <c r="C17" s="7" t="str">
        <f>IF('Client Needs Tracker'!S17="","",'Client Needs Tracker'!S17)</f>
        <v>F - 3A</v>
      </c>
      <c r="D17" s="7" t="str">
        <f>IF('Client Needs Tracker'!G17="","",'Client Needs Tracker'!G17)</f>
        <v/>
      </c>
      <c r="E17" s="7" t="str">
        <f>IF('Client Needs Tracker'!F17="","",'Client Needs Tracker'!F17)</f>
        <v/>
      </c>
      <c r="F17" s="11" t="s">
        <v>153</v>
      </c>
      <c r="G17" s="19"/>
      <c r="H17" s="12"/>
      <c r="I17" s="7"/>
      <c r="J17" s="14"/>
      <c r="K17" s="7" t="s">
        <v>151</v>
      </c>
      <c r="L17" s="14"/>
      <c r="M17" s="14" t="str">
        <f>IF(IF('Inventory - P13'!H16="","",'Inventory - P13'!H16&amp;" | ")&amp;IF('Inventory - P13'!H17="","",'Inventory - P13'!H17&amp;" | ")&amp;IF('Inventory - P13'!H18="","",'Inventory - P13'!H18&amp;" | ")&amp;IF('Inventory - P13'!H19="","",'Inventory - P13'!H19&amp;" | ")&amp;IF('Inventory - P13'!H20="","",'Inventory - P13'!H20&amp;" | ")&amp;IF('Inventory - P13'!H21="","",'Inventory - P13'!H21&amp;" | ")&amp;IF('Inventory - P13'!H22="","",'Inventory - P13'!H22&amp;" | ")&amp;IF('Inventory - P13'!H23="","",'Inventory - P13'!H23&amp;" | ")&amp;IF('Inventory - P13'!H24="","",'Inventory - P13'!H24&amp;" | ")&amp;IF('Inventory - P13'!H25="","",'Inventory - P13'!H25&amp;" | ")&amp;IF('Inventory - P13'!H26="","",'Inventory - P13'!H26&amp;" | ")&amp;IF('Inventory - P13'!H27="","",'Inventory - P13'!H27&amp;" | ")="","",LEFT(IF('Inventory - P13'!H16="","",'Inventory - P13'!H16&amp;" | ")&amp;IF('Inventory - P13'!H17="","",'Inventory - P13'!H17&amp;" | ")&amp;IF('Inventory - P13'!H18="","",'Inventory - P13'!H18&amp;" | ")&amp;IF('Inventory - P13'!H19="","",'Inventory - P13'!H19&amp;" | ")&amp;IF('Inventory - P13'!H20="","",'Inventory - P13'!H20&amp;" | ")&amp;IF('Inventory - P13'!H21="","",'Inventory - P13'!H21&amp;" | ")&amp;IF('Inventory - P13'!H22="","",'Inventory - P13'!H22&amp;" | ")&amp;IF('Inventory - P13'!H23="","",'Inventory - P13'!H23&amp;" | ")&amp;IF('Inventory - P13'!H24="","",'Inventory - P13'!H24&amp;" | ")&amp;IF('Inventory - P13'!H25="","",'Inventory - P13'!H25&amp;" | ")&amp;IF('Inventory - P13'!H26="","",'Inventory - P13'!H26&amp;" | ")&amp;IF('Inventory - P13'!H27="","",'Inventory - P13'!H27&amp;" | "),LEN(IF('Inventory - P13'!H16="","",'Inventory - P13'!H16&amp;" | ")&amp;IF('Inventory - P13'!H17="","",'Inventory - P13'!H17&amp;" | ")&amp;IF('Inventory - P13'!H18="","",'Inventory - P13'!H18&amp;" | ")&amp;IF('Inventory - P13'!H19="","",'Inventory - P13'!H19&amp;" | ")&amp;IF('Inventory - P13'!H20="","",'Inventory - P13'!H20&amp;" | ")&amp;IF('Inventory - P13'!H21="","",'Inventory - P13'!H21&amp;" | ")&amp;IF('Inventory - P13'!H22="","",'Inventory - P13'!H22&amp;" | ")&amp;IF('Inventory - P13'!H23="","",'Inventory - P13'!H23&amp;" | ")&amp;IF('Inventory - P13'!H24="","",'Inventory - P13'!H24&amp;" | ")&amp;IF('Inventory - P13'!H25="","",'Inventory - P13'!H25&amp;" | ")&amp;IF('Inventory - P13'!H26="","",'Inventory - P13'!H26&amp;" | ")&amp;IF('Inventory - P13'!H27="","",'Inventory - P13'!H27&amp;" | "))-3))</f>
        <v/>
      </c>
      <c r="N17" s="7" t="str">
        <f>IF('Client Needs Tracker'!E17="","",'Client Needs Tracker'!E17)</f>
        <v/>
      </c>
      <c r="O17" s="19">
        <f>IF('Client Needs Tracker'!C17="","",'Client Needs Tracker'!C17)</f>
        <v>46238</v>
      </c>
    </row>
    <row r="18" spans="1:15" ht="15" customHeight="1">
      <c r="A18" s="7">
        <f>'Client Needs Tracker'!A18</f>
        <v>3855</v>
      </c>
      <c r="B18" s="7" t="str">
        <f>IF('Client Needs Tracker'!B18="","",UPPER(LEFT(TRIM('Client Needs Tracker'!B18),1))&amp;"."&amp;UPPER(MID('Client Needs Tracker'!B18,FIND("@",SUBSTITUTE('Client Needs Tracker'!B18," ","@",LEN('Client Needs Tracker'!B18)-LEN(SUBSTITUTE('Client Needs Tracker'!B18," ",""))))+1,1))&amp;".")</f>
        <v>M.L.</v>
      </c>
      <c r="C18" s="7" t="str">
        <f>IF('Client Needs Tracker'!S18="","",'Client Needs Tracker'!S18)</f>
        <v>F - 3B</v>
      </c>
      <c r="D18" s="7" t="str">
        <f>IF('Client Needs Tracker'!G18="","",'Client Needs Tracker'!G18)</f>
        <v>PubDef</v>
      </c>
      <c r="E18" s="7" t="str">
        <f>IF('Client Needs Tracker'!F18="","",'Client Needs Tracker'!F18)</f>
        <v>J. Wilkers</v>
      </c>
      <c r="F18" s="11" t="s">
        <v>153</v>
      </c>
      <c r="G18" s="19">
        <v>46238</v>
      </c>
      <c r="H18" s="12">
        <v>0.37152777777777779</v>
      </c>
      <c r="I18" s="13">
        <v>46236</v>
      </c>
      <c r="J18" s="14" t="s">
        <v>157</v>
      </c>
      <c r="K18" s="7" t="s">
        <v>155</v>
      </c>
      <c r="L18" s="14" t="s">
        <v>158</v>
      </c>
      <c r="M18" s="14" t="str">
        <f>IF(IF('Inventory - P14'!H16="","",'Inventory - P14'!H16&amp;" | ")&amp;IF('Inventory - P14'!H17="","",'Inventory - P14'!H17&amp;" | ")&amp;IF('Inventory - P14'!H18="","",'Inventory - P14'!H18&amp;" | ")&amp;IF('Inventory - P14'!H19="","",'Inventory - P14'!H19&amp;" | ")&amp;IF('Inventory - P14'!H20="","",'Inventory - P14'!H20&amp;" | ")&amp;IF('Inventory - P14'!H21="","",'Inventory - P14'!H21&amp;" | ")&amp;IF('Inventory - P14'!H22="","",'Inventory - P14'!H22&amp;" | ")&amp;IF('Inventory - P14'!H23="","",'Inventory - P14'!H23&amp;" | ")&amp;IF('Inventory - P14'!H24="","",'Inventory - P14'!H24&amp;" | ")&amp;IF('Inventory - P14'!H25="","",'Inventory - P14'!H25&amp;" | ")&amp;IF('Inventory - P14'!H26="","",'Inventory - P14'!H26&amp;" | ")&amp;IF('Inventory - P14'!H27="","",'Inventory - P14'!H27&amp;" | ")="","",LEFT(IF('Inventory - P14'!H16="","",'Inventory - P14'!H16&amp;" | ")&amp;IF('Inventory - P14'!H17="","",'Inventory - P14'!H17&amp;" | ")&amp;IF('Inventory - P14'!H18="","",'Inventory - P14'!H18&amp;" | ")&amp;IF('Inventory - P14'!H19="","",'Inventory - P14'!H19&amp;" | ")&amp;IF('Inventory - P14'!H20="","",'Inventory - P14'!H20&amp;" | ")&amp;IF('Inventory - P14'!H21="","",'Inventory - P14'!H21&amp;" | ")&amp;IF('Inventory - P14'!H22="","",'Inventory - P14'!H22&amp;" | ")&amp;IF('Inventory - P14'!H23="","",'Inventory - P14'!H23&amp;" | ")&amp;IF('Inventory - P14'!H24="","",'Inventory - P14'!H24&amp;" | ")&amp;IF('Inventory - P14'!H25="","",'Inventory - P14'!H25&amp;" | ")&amp;IF('Inventory - P14'!H26="","",'Inventory - P14'!H26&amp;" | ")&amp;IF('Inventory - P14'!H27="","",'Inventory - P14'!H27&amp;" | "),LEN(IF('Inventory - P14'!H16="","",'Inventory - P14'!H16&amp;" | ")&amp;IF('Inventory - P14'!H17="","",'Inventory - P14'!H17&amp;" | ")&amp;IF('Inventory - P14'!H18="","",'Inventory - P14'!H18&amp;" | ")&amp;IF('Inventory - P14'!H19="","",'Inventory - P14'!H19&amp;" | ")&amp;IF('Inventory - P14'!H20="","",'Inventory - P14'!H20&amp;" | ")&amp;IF('Inventory - P14'!H21="","",'Inventory - P14'!H21&amp;" | ")&amp;IF('Inventory - P14'!H22="","",'Inventory - P14'!H22&amp;" | ")&amp;IF('Inventory - P14'!H23="","",'Inventory - P14'!H23&amp;" | ")&amp;IF('Inventory - P14'!H24="","",'Inventory - P14'!H24&amp;" | ")&amp;IF('Inventory - P14'!H25="","",'Inventory - P14'!H25&amp;" | ")&amp;IF('Inventory - P14'!H26="","",'Inventory - P14'!H26&amp;" | ")&amp;IF('Inventory - P14'!H27="","",'Inventory - P14'!H27&amp;" | "))-3))</f>
        <v>8:00 AM / 8:00 PM</v>
      </c>
      <c r="N18" s="7" t="str">
        <f>IF('Client Needs Tracker'!E18="","",'Client Needs Tracker'!E18)</f>
        <v>LOC5</v>
      </c>
      <c r="O18" s="19">
        <f>IF('Client Needs Tracker'!C18="","",'Client Needs Tracker'!C18)</f>
        <v>46205</v>
      </c>
    </row>
    <row r="19" spans="1:15" ht="15" customHeight="1">
      <c r="A19" s="7">
        <f>'Client Needs Tracker'!A19</f>
        <v>0</v>
      </c>
      <c r="B19" s="7" t="str">
        <f>IF('Client Needs Tracker'!B19="","",UPPER(LEFT(TRIM('Client Needs Tracker'!B19),1))&amp;"."&amp;UPPER(MID('Client Needs Tracker'!B19,FIND("@",SUBSTITUTE('Client Needs Tracker'!B19," ","@",LEN('Client Needs Tracker'!B19)-LEN(SUBSTITUTE('Client Needs Tracker'!B19," ",""))))+1,1))&amp;".")</f>
        <v/>
      </c>
      <c r="C19" s="7" t="str">
        <f>IF('Client Needs Tracker'!S19="","",'Client Needs Tracker'!S19)</f>
        <v>F - 4A</v>
      </c>
      <c r="D19" s="7" t="str">
        <f>IF('Client Needs Tracker'!G19="","",'Client Needs Tracker'!G19)</f>
        <v/>
      </c>
      <c r="E19" s="7" t="str">
        <f>IF('Client Needs Tracker'!F19="","",'Client Needs Tracker'!F19)</f>
        <v/>
      </c>
      <c r="F19" s="11" t="s">
        <v>153</v>
      </c>
      <c r="G19" s="19"/>
      <c r="H19" s="12"/>
      <c r="I19" s="7"/>
      <c r="J19" s="14"/>
      <c r="K19" s="7" t="s">
        <v>151</v>
      </c>
      <c r="L19" s="14"/>
      <c r="M19" s="14" t="str">
        <f>IF(IF('Inventory - P15'!H16="","",'Inventory - P15'!H16&amp;" | ")&amp;IF('Inventory - P15'!H17="","",'Inventory - P15'!H17&amp;" | ")&amp;IF('Inventory - P15'!H18="","",'Inventory - P15'!H18&amp;" | ")&amp;IF('Inventory - P15'!H19="","",'Inventory - P15'!H19&amp;" | ")&amp;IF('Inventory - P15'!H20="","",'Inventory - P15'!H20&amp;" | ")&amp;IF('Inventory - P15'!H21="","",'Inventory - P15'!H21&amp;" | ")&amp;IF('Inventory - P15'!H22="","",'Inventory - P15'!H22&amp;" | ")&amp;IF('Inventory - P15'!H23="","",'Inventory - P15'!H23&amp;" | ")&amp;IF('Inventory - P15'!H24="","",'Inventory - P15'!H24&amp;" | ")&amp;IF('Inventory - P15'!H25="","",'Inventory - P15'!H25&amp;" | ")&amp;IF('Inventory - P15'!H26="","",'Inventory - P15'!H26&amp;" | ")&amp;IF('Inventory - P15'!H27="","",'Inventory - P15'!H27&amp;" | ")="","",LEFT(IF('Inventory - P15'!H16="","",'Inventory - P15'!H16&amp;" | ")&amp;IF('Inventory - P15'!H17="","",'Inventory - P15'!H17&amp;" | ")&amp;IF('Inventory - P15'!H18="","",'Inventory - P15'!H18&amp;" | ")&amp;IF('Inventory - P15'!H19="","",'Inventory - P15'!H19&amp;" | ")&amp;IF('Inventory - P15'!H20="","",'Inventory - P15'!H20&amp;" | ")&amp;IF('Inventory - P15'!H21="","",'Inventory - P15'!H21&amp;" | ")&amp;IF('Inventory - P15'!H22="","",'Inventory - P15'!H22&amp;" | ")&amp;IF('Inventory - P15'!H23="","",'Inventory - P15'!H23&amp;" | ")&amp;IF('Inventory - P15'!H24="","",'Inventory - P15'!H24&amp;" | ")&amp;IF('Inventory - P15'!H25="","",'Inventory - P15'!H25&amp;" | ")&amp;IF('Inventory - P15'!H26="","",'Inventory - P15'!H26&amp;" | ")&amp;IF('Inventory - P15'!H27="","",'Inventory - P15'!H27&amp;" | "),LEN(IF('Inventory - P15'!H16="","",'Inventory - P15'!H16&amp;" | ")&amp;IF('Inventory - P15'!H17="","",'Inventory - P15'!H17&amp;" | ")&amp;IF('Inventory - P15'!H18="","",'Inventory - P15'!H18&amp;" | ")&amp;IF('Inventory - P15'!H19="","",'Inventory - P15'!H19&amp;" | ")&amp;IF('Inventory - P15'!H20="","",'Inventory - P15'!H20&amp;" | ")&amp;IF('Inventory - P15'!H21="","",'Inventory - P15'!H21&amp;" | ")&amp;IF('Inventory - P15'!H22="","",'Inventory - P15'!H22&amp;" | ")&amp;IF('Inventory - P15'!H23="","",'Inventory - P15'!H23&amp;" | ")&amp;IF('Inventory - P15'!H24="","",'Inventory - P15'!H24&amp;" | ")&amp;IF('Inventory - P15'!H25="","",'Inventory - P15'!H25&amp;" | ")&amp;IF('Inventory - P15'!H26="","",'Inventory - P15'!H26&amp;" | ")&amp;IF('Inventory - P15'!H27="","",'Inventory - P15'!H27&amp;" | "))-3))</f>
        <v/>
      </c>
      <c r="N19" s="7" t="str">
        <f>IF('Client Needs Tracker'!E19="","",'Client Needs Tracker'!E19)</f>
        <v/>
      </c>
      <c r="O19" s="19" t="str">
        <f>IF('Client Needs Tracker'!C19="","",'Client Needs Tracker'!C19)</f>
        <v/>
      </c>
    </row>
    <row r="20" spans="1:15" ht="15" customHeight="1">
      <c r="A20" s="7">
        <f>'Client Needs Tracker'!A20</f>
        <v>0</v>
      </c>
      <c r="B20" s="7" t="str">
        <f>IF('Client Needs Tracker'!B20="","",UPPER(LEFT(TRIM('Client Needs Tracker'!B20),1))&amp;"."&amp;UPPER(MID('Client Needs Tracker'!B20,FIND("@",SUBSTITUTE('Client Needs Tracker'!B20," ","@",LEN('Client Needs Tracker'!B20)-LEN(SUBSTITUTE('Client Needs Tracker'!B20," ",""))))+1,1))&amp;".")</f>
        <v/>
      </c>
      <c r="C20" s="7" t="str">
        <f>IF('Client Needs Tracker'!S20="","",'Client Needs Tracker'!S20)</f>
        <v>F - 4B</v>
      </c>
      <c r="D20" s="7" t="str">
        <f>IF('Client Needs Tracker'!G20="","",'Client Needs Tracker'!G20)</f>
        <v/>
      </c>
      <c r="E20" s="7" t="str">
        <f>IF('Client Needs Tracker'!F20="","",'Client Needs Tracker'!F20)</f>
        <v/>
      </c>
      <c r="F20" s="11" t="s">
        <v>153</v>
      </c>
      <c r="G20" s="19"/>
      <c r="H20" s="12"/>
      <c r="I20" s="7"/>
      <c r="J20" s="14"/>
      <c r="K20" s="7" t="s">
        <v>151</v>
      </c>
      <c r="L20" s="14"/>
      <c r="M20" s="14" t="str">
        <f>IF(IF('Inventory - P16'!H16="","",'Inventory - P16'!H16&amp;" | ")&amp;IF('Inventory - P16'!H17="","",'Inventory - P16'!H17&amp;" | ")&amp;IF('Inventory - P16'!H18="","",'Inventory - P16'!H18&amp;" | ")&amp;IF('Inventory - P16'!H19="","",'Inventory - P16'!H19&amp;" | ")&amp;IF('Inventory - P16'!H20="","",'Inventory - P16'!H20&amp;" | ")&amp;IF('Inventory - P16'!H21="","",'Inventory - P16'!H21&amp;" | ")&amp;IF('Inventory - P16'!H22="","",'Inventory - P16'!H22&amp;" | ")&amp;IF('Inventory - P16'!H23="","",'Inventory - P16'!H23&amp;" | ")&amp;IF('Inventory - P16'!H24="","",'Inventory - P16'!H24&amp;" | ")&amp;IF('Inventory - P16'!H25="","",'Inventory - P16'!H25&amp;" | ")&amp;IF('Inventory - P16'!H26="","",'Inventory - P16'!H26&amp;" | ")&amp;IF('Inventory - P16'!H27="","",'Inventory - P16'!H27&amp;" | ")="","",LEFT(IF('Inventory - P16'!H16="","",'Inventory - P16'!H16&amp;" | ")&amp;IF('Inventory - P16'!H17="","",'Inventory - P16'!H17&amp;" | ")&amp;IF('Inventory - P16'!H18="","",'Inventory - P16'!H18&amp;" | ")&amp;IF('Inventory - P16'!H19="","",'Inventory - P16'!H19&amp;" | ")&amp;IF('Inventory - P16'!H20="","",'Inventory - P16'!H20&amp;" | ")&amp;IF('Inventory - P16'!H21="","",'Inventory - P16'!H21&amp;" | ")&amp;IF('Inventory - P16'!H22="","",'Inventory - P16'!H22&amp;" | ")&amp;IF('Inventory - P16'!H23="","",'Inventory - P16'!H23&amp;" | ")&amp;IF('Inventory - P16'!H24="","",'Inventory - P16'!H24&amp;" | ")&amp;IF('Inventory - P16'!H25="","",'Inventory - P16'!H25&amp;" | ")&amp;IF('Inventory - P16'!H26="","",'Inventory - P16'!H26&amp;" | ")&amp;IF('Inventory - P16'!H27="","",'Inventory - P16'!H27&amp;" | "),LEN(IF('Inventory - P16'!H16="","",'Inventory - P16'!H16&amp;" | ")&amp;IF('Inventory - P16'!H17="","",'Inventory - P16'!H17&amp;" | ")&amp;IF('Inventory - P16'!H18="","",'Inventory - P16'!H18&amp;" | ")&amp;IF('Inventory - P16'!H19="","",'Inventory - P16'!H19&amp;" | ")&amp;IF('Inventory - P16'!H20="","",'Inventory - P16'!H20&amp;" | ")&amp;IF('Inventory - P16'!H21="","",'Inventory - P16'!H21&amp;" | ")&amp;IF('Inventory - P16'!H22="","",'Inventory - P16'!H22&amp;" | ")&amp;IF('Inventory - P16'!H23="","",'Inventory - P16'!H23&amp;" | ")&amp;IF('Inventory - P16'!H24="","",'Inventory - P16'!H24&amp;" | ")&amp;IF('Inventory - P16'!H25="","",'Inventory - P16'!H25&amp;" | ")&amp;IF('Inventory - P16'!H26="","",'Inventory - P16'!H26&amp;" | ")&amp;IF('Inventory - P16'!H27="","",'Inventory - P16'!H27&amp;" | "))-3))</f>
        <v/>
      </c>
      <c r="N20" s="7" t="str">
        <f>IF('Client Needs Tracker'!E20="","",'Client Needs Tracker'!E20)</f>
        <v/>
      </c>
      <c r="O20" s="19" t="str">
        <f>IF('Client Needs Tracker'!C20="","",'Client Needs Tracker'!C20)</f>
        <v/>
      </c>
    </row>
  </sheetData>
  <mergeCells count="2">
    <mergeCell ref="A1:I1"/>
    <mergeCell ref="A2:I2"/>
  </mergeCells>
  <dataValidations count="3">
    <dataValidation type="list" allowBlank="1" showErrorMessage="1" sqref="F5:F20" xr:uid="{6B643614-0ACF-444F-A675-6D39FFCE7F6C}">
      <formula1>"Requested/Pending,Scheduled"</formula1>
    </dataValidation>
    <dataValidation type="list" allowBlank="1" showErrorMessage="1" sqref="K5:K20" xr:uid="{9D1378D1-9623-4F13-AFA2-9165F98C1317}">
      <formula1>"Submitted/Pending,Picked Up,Other/See Med Clerk"</formula1>
    </dataValidation>
    <dataValidation type="custom" allowBlank="1" showDropDown="1" sqref="I5" xr:uid="{20458BDA-1900-4986-8B05-1D9BBA41E52E}">
      <formula1>OR(NOT(ISERROR(DATEVALUE(I5))), AND(ISNUMBER(I5), LEFT(CELL("format", I5))="D"))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2"/>
  <sheetViews>
    <sheetView workbookViewId="0"/>
  </sheetViews>
  <sheetFormatPr defaultColWidth="14.42578125" defaultRowHeight="15" customHeight="1"/>
  <cols>
    <col min="1" max="4" width="26" style="2" customWidth="1"/>
    <col min="5" max="26" width="8.7109375" customWidth="1"/>
  </cols>
  <sheetData>
    <row r="1" spans="1:4" ht="15" customHeight="1">
      <c r="A1" s="35" t="s">
        <v>159</v>
      </c>
    </row>
    <row r="2" spans="1:4"/>
    <row r="3" spans="1:4" ht="15" customHeight="1">
      <c r="A3" s="74" t="s">
        <v>160</v>
      </c>
      <c r="B3" s="74" t="s">
        <v>161</v>
      </c>
      <c r="C3" s="74" t="s">
        <v>162</v>
      </c>
      <c r="D3" s="74" t="s">
        <v>163</v>
      </c>
    </row>
    <row r="4" spans="1:4" ht="15" customHeight="1">
      <c r="A4" s="2" t="s">
        <v>164</v>
      </c>
      <c r="B4" s="2" t="s">
        <v>165</v>
      </c>
      <c r="C4" s="2" t="s">
        <v>166</v>
      </c>
      <c r="D4" s="2" t="s">
        <v>164</v>
      </c>
    </row>
    <row r="5" spans="1:4" ht="15" customHeight="1">
      <c r="A5" s="2" t="s">
        <v>167</v>
      </c>
      <c r="B5" s="2" t="s">
        <v>168</v>
      </c>
      <c r="C5" s="2" t="s">
        <v>169</v>
      </c>
      <c r="D5" s="2" t="s">
        <v>167</v>
      </c>
    </row>
    <row r="6" spans="1:4" ht="15" customHeight="1">
      <c r="A6" s="2" t="s">
        <v>170</v>
      </c>
      <c r="B6" s="2" t="s">
        <v>171</v>
      </c>
      <c r="C6" s="2" t="s">
        <v>172</v>
      </c>
      <c r="D6" s="2" t="s">
        <v>170</v>
      </c>
    </row>
    <row r="7" spans="1:4" ht="15" customHeight="1">
      <c r="A7" s="2" t="s">
        <v>173</v>
      </c>
      <c r="B7" s="2" t="s">
        <v>174</v>
      </c>
      <c r="C7" s="2" t="s">
        <v>175</v>
      </c>
      <c r="D7" s="2" t="s">
        <v>173</v>
      </c>
    </row>
    <row r="8" spans="1:4" ht="15" customHeight="1">
      <c r="A8" s="2" t="s">
        <v>176</v>
      </c>
      <c r="B8" s="2" t="s">
        <v>177</v>
      </c>
      <c r="C8" s="2" t="s">
        <v>178</v>
      </c>
      <c r="D8" s="2" t="s">
        <v>176</v>
      </c>
    </row>
    <row r="9" spans="1:4" ht="15" customHeight="1">
      <c r="A9" s="2" t="s">
        <v>179</v>
      </c>
      <c r="B9" s="2" t="s">
        <v>180</v>
      </c>
      <c r="C9" s="2" t="s">
        <v>181</v>
      </c>
      <c r="D9" s="2" t="s">
        <v>179</v>
      </c>
    </row>
    <row r="10" spans="1:4" ht="15" customHeight="1">
      <c r="A10" s="2" t="s">
        <v>182</v>
      </c>
      <c r="B10" s="2" t="s">
        <v>183</v>
      </c>
      <c r="D10" s="2" t="s">
        <v>182</v>
      </c>
    </row>
    <row r="11" spans="1:4" ht="15" customHeight="1">
      <c r="A11" s="2" t="s">
        <v>184</v>
      </c>
      <c r="B11" s="2" t="s">
        <v>185</v>
      </c>
      <c r="D11" s="2" t="s">
        <v>184</v>
      </c>
    </row>
    <row r="12" spans="1:4" ht="15" customHeight="1">
      <c r="A12" s="2" t="s">
        <v>186</v>
      </c>
      <c r="D12" s="2" t="s">
        <v>186</v>
      </c>
    </row>
    <row r="13" spans="1:4" ht="15" customHeight="1">
      <c r="D13" s="2" t="s">
        <v>165</v>
      </c>
    </row>
    <row r="14" spans="1:4" ht="15" customHeight="1">
      <c r="D14" s="2" t="s">
        <v>168</v>
      </c>
    </row>
    <row r="15" spans="1:4" ht="15" customHeight="1">
      <c r="D15" s="2" t="s">
        <v>171</v>
      </c>
    </row>
    <row r="16" spans="1:4" ht="15" customHeight="1">
      <c r="D16" s="2" t="s">
        <v>174</v>
      </c>
    </row>
    <row r="17" spans="4:4" ht="15" customHeight="1">
      <c r="D17" s="2" t="s">
        <v>177</v>
      </c>
    </row>
    <row r="18" spans="4:4" ht="15" customHeight="1">
      <c r="D18" s="2" t="s">
        <v>180</v>
      </c>
    </row>
    <row r="19" spans="4:4" ht="15" customHeight="1">
      <c r="D19" s="2" t="s">
        <v>183</v>
      </c>
    </row>
    <row r="20" spans="4:4" ht="15" customHeight="1">
      <c r="D20" s="2" t="s">
        <v>185</v>
      </c>
    </row>
    <row r="21" spans="4:4" ht="15" customHeight="1">
      <c r="D21" s="2" t="s">
        <v>166</v>
      </c>
    </row>
    <row r="22" spans="4:4" ht="15" customHeight="1">
      <c r="D22" s="2" t="s">
        <v>169</v>
      </c>
    </row>
    <row r="23" spans="4:4" ht="15" customHeight="1">
      <c r="D23" s="2" t="s">
        <v>172</v>
      </c>
    </row>
    <row r="24" spans="4:4" ht="15" customHeight="1">
      <c r="D24" s="2" t="s">
        <v>175</v>
      </c>
    </row>
    <row r="25" spans="4:4" ht="15" customHeight="1">
      <c r="D25" s="2" t="s">
        <v>178</v>
      </c>
    </row>
    <row r="26" spans="4:4" ht="15" customHeight="1">
      <c r="D26" s="2" t="s">
        <v>181</v>
      </c>
    </row>
    <row r="39" spans="6:11" ht="15" customHeight="1">
      <c r="F39" s="37" t="s">
        <v>187</v>
      </c>
    </row>
    <row r="40" spans="6:11" ht="15" customHeight="1">
      <c r="F40" s="2" t="s">
        <v>164</v>
      </c>
      <c r="G40" s="2">
        <v>25</v>
      </c>
      <c r="H40" s="2">
        <v>50</v>
      </c>
      <c r="I40" s="2">
        <v>100</v>
      </c>
    </row>
    <row r="41" spans="6:11" ht="15" customHeight="1">
      <c r="F41" s="2" t="s">
        <v>167</v>
      </c>
      <c r="G41" s="2">
        <v>10</v>
      </c>
      <c r="H41" s="2">
        <v>20</v>
      </c>
      <c r="I41" s="2">
        <v>40</v>
      </c>
      <c r="J41" s="2">
        <v>60</v>
      </c>
    </row>
    <row r="42" spans="6:11" ht="15" customHeight="1">
      <c r="F42" s="2" t="s">
        <v>170</v>
      </c>
      <c r="G42" s="2">
        <v>5</v>
      </c>
      <c r="H42" s="2">
        <v>10</v>
      </c>
      <c r="I42" s="2">
        <v>20</v>
      </c>
    </row>
    <row r="43" spans="6:11" ht="15" customHeight="1">
      <c r="F43" s="2" t="s">
        <v>173</v>
      </c>
      <c r="G43" s="2">
        <v>10</v>
      </c>
      <c r="H43" s="2">
        <v>20</v>
      </c>
      <c r="I43" s="2">
        <v>40</v>
      </c>
    </row>
    <row r="44" spans="6:11" ht="15" customHeight="1">
      <c r="F44" s="2" t="s">
        <v>176</v>
      </c>
      <c r="G44" s="2">
        <v>75</v>
      </c>
      <c r="H44" s="2">
        <v>100</v>
      </c>
      <c r="I44" s="2">
        <v>150</v>
      </c>
      <c r="J44" s="2">
        <v>200</v>
      </c>
      <c r="K44" s="2">
        <v>300</v>
      </c>
    </row>
    <row r="45" spans="6:11" ht="15" customHeight="1">
      <c r="F45" s="2" t="s">
        <v>179</v>
      </c>
      <c r="G45" s="2">
        <v>37.5</v>
      </c>
      <c r="H45" s="2">
        <v>75</v>
      </c>
      <c r="I45" s="2">
        <v>150</v>
      </c>
      <c r="J45" s="2">
        <v>225</v>
      </c>
    </row>
    <row r="46" spans="6:11" ht="15" customHeight="1">
      <c r="F46" s="2" t="s">
        <v>182</v>
      </c>
      <c r="G46" s="2">
        <v>20</v>
      </c>
      <c r="H46" s="2">
        <v>30</v>
      </c>
      <c r="I46" s="2">
        <v>60</v>
      </c>
    </row>
    <row r="47" spans="6:11" ht="15" customHeight="1">
      <c r="F47" s="2" t="s">
        <v>184</v>
      </c>
      <c r="G47" s="2">
        <v>7.5</v>
      </c>
      <c r="H47" s="2">
        <v>15</v>
      </c>
      <c r="I47" s="2">
        <v>30</v>
      </c>
      <c r="J47" s="2">
        <v>45</v>
      </c>
    </row>
    <row r="48" spans="6:11" ht="15" customHeight="1">
      <c r="F48" s="2" t="s">
        <v>186</v>
      </c>
      <c r="G48" s="2">
        <v>50</v>
      </c>
      <c r="H48" s="2">
        <v>100</v>
      </c>
      <c r="I48" s="2">
        <v>150</v>
      </c>
      <c r="J48" s="2">
        <v>300</v>
      </c>
    </row>
    <row r="49" spans="6:12" ht="15" customHeight="1">
      <c r="F49" s="2" t="s">
        <v>165</v>
      </c>
      <c r="G49" s="2">
        <v>150</v>
      </c>
      <c r="H49" s="2">
        <v>300</v>
      </c>
      <c r="I49" s="2">
        <v>450</v>
      </c>
      <c r="J49" s="2">
        <v>600</v>
      </c>
    </row>
    <row r="50" spans="6:12" ht="15" customHeight="1">
      <c r="F50" s="2" t="s">
        <v>168</v>
      </c>
      <c r="G50" s="2">
        <v>125</v>
      </c>
      <c r="H50" s="2">
        <v>250</v>
      </c>
      <c r="I50" s="2">
        <v>500</v>
      </c>
    </row>
    <row r="51" spans="6:12" ht="15" customHeight="1">
      <c r="F51" s="2" t="s">
        <v>171</v>
      </c>
      <c r="G51" s="2">
        <v>25</v>
      </c>
      <c r="H51" s="2">
        <v>50</v>
      </c>
      <c r="I51" s="2">
        <v>100</v>
      </c>
      <c r="J51" s="2">
        <v>150</v>
      </c>
      <c r="K51" s="2">
        <v>200</v>
      </c>
    </row>
    <row r="52" spans="6:12" ht="15" customHeight="1">
      <c r="F52" s="2" t="s">
        <v>174</v>
      </c>
      <c r="G52" s="2">
        <v>25</v>
      </c>
      <c r="H52" s="2">
        <v>50</v>
      </c>
      <c r="I52" s="2">
        <v>100</v>
      </c>
      <c r="J52" s="2">
        <v>200</v>
      </c>
      <c r="K52" s="2">
        <v>300</v>
      </c>
      <c r="L52" s="2">
        <v>400</v>
      </c>
    </row>
    <row r="53" spans="6:12" ht="15" customHeight="1">
      <c r="F53" s="2" t="s">
        <v>177</v>
      </c>
      <c r="G53" s="2">
        <v>2.5</v>
      </c>
      <c r="H53" s="2">
        <v>5</v>
      </c>
      <c r="I53" s="2">
        <v>7.5</v>
      </c>
      <c r="J53" s="2">
        <v>10</v>
      </c>
      <c r="K53" s="2">
        <v>15</v>
      </c>
      <c r="L53" s="2">
        <v>20</v>
      </c>
    </row>
    <row r="54" spans="6:12" ht="15" customHeight="1">
      <c r="F54" s="2" t="s">
        <v>180</v>
      </c>
      <c r="G54" s="2">
        <v>2</v>
      </c>
      <c r="H54" s="2">
        <v>5</v>
      </c>
      <c r="I54" s="2">
        <v>10</v>
      </c>
      <c r="J54" s="2">
        <v>15</v>
      </c>
      <c r="K54" s="2">
        <v>20</v>
      </c>
      <c r="L54" s="2">
        <v>30</v>
      </c>
    </row>
    <row r="55" spans="6:12" ht="15" customHeight="1">
      <c r="F55" s="2" t="s">
        <v>183</v>
      </c>
      <c r="G55" s="2">
        <v>0.25</v>
      </c>
      <c r="H55" s="2">
        <v>0.5</v>
      </c>
      <c r="I55" s="2">
        <v>1</v>
      </c>
      <c r="J55" s="2">
        <v>2</v>
      </c>
      <c r="K55" s="2">
        <v>3</v>
      </c>
      <c r="L55" s="2">
        <v>4</v>
      </c>
    </row>
    <row r="56" spans="6:12" ht="15" customHeight="1">
      <c r="F56" s="2" t="s">
        <v>185</v>
      </c>
      <c r="G56" s="2">
        <v>100</v>
      </c>
      <c r="H56" s="2">
        <v>200</v>
      </c>
      <c r="I56" s="2">
        <v>400</v>
      </c>
    </row>
    <row r="57" spans="6:12" ht="15" customHeight="1">
      <c r="F57" s="2" t="s">
        <v>166</v>
      </c>
      <c r="G57" s="2">
        <v>0.25</v>
      </c>
      <c r="H57" s="2">
        <v>0.5</v>
      </c>
      <c r="I57" s="2">
        <v>1</v>
      </c>
      <c r="J57" s="2">
        <v>2</v>
      </c>
    </row>
    <row r="58" spans="6:12" ht="15" customHeight="1">
      <c r="F58" s="2" t="s">
        <v>169</v>
      </c>
      <c r="G58" s="2">
        <v>0.5</v>
      </c>
      <c r="H58" s="2">
        <v>1</v>
      </c>
      <c r="I58" s="2">
        <v>2</v>
      </c>
    </row>
    <row r="59" spans="6:12" ht="15" customHeight="1">
      <c r="F59" s="2" t="s">
        <v>172</v>
      </c>
      <c r="G59" s="2">
        <v>0.5</v>
      </c>
      <c r="H59" s="2">
        <v>1</v>
      </c>
      <c r="I59" s="2">
        <v>2</v>
      </c>
    </row>
    <row r="60" spans="6:12" ht="15" customHeight="1">
      <c r="F60" s="2" t="s">
        <v>175</v>
      </c>
      <c r="G60" s="2">
        <v>5</v>
      </c>
      <c r="H60" s="2">
        <v>10</v>
      </c>
      <c r="I60" s="2">
        <v>15</v>
      </c>
      <c r="J60" s="2">
        <v>30</v>
      </c>
    </row>
    <row r="61" spans="6:12" ht="15" customHeight="1">
      <c r="F61" s="2" t="s">
        <v>178</v>
      </c>
      <c r="G61" s="2">
        <v>10</v>
      </c>
      <c r="H61" s="2">
        <v>25</v>
      </c>
      <c r="I61" s="2">
        <v>50</v>
      </c>
      <c r="J61" s="2">
        <v>100</v>
      </c>
    </row>
    <row r="62" spans="6:12" ht="15" customHeight="1">
      <c r="F62" s="2" t="s">
        <v>181</v>
      </c>
      <c r="G62" s="2">
        <v>2</v>
      </c>
      <c r="H62" s="2">
        <v>5</v>
      </c>
      <c r="I62" s="2">
        <v>10</v>
      </c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14.140625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Tracker'!B5="","",UPPER(LEFT(TRIM('Client Needs Tracker'!B5),1))&amp;UPPER(MID('Client Needs Tracker'!B5,FIND("@",SUBSTITUTE('Client Needs Tracker'!B5," ","@",LEN('Client Needs Tracker'!B5)-LEN(SUBSTITUTE('Client Needs Tracker'!B5," ",""))))+1,1))&amp;"-"&amp;SUBSTITUTE('Client Needs Tracker'!S5," ",""))</f>
        <v>JJ-M-1A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Tracker'!S5="","","INV-"&amp;SUBSTITUTE('Client Needs Tracker'!S5," ",""))</f>
        <v>INV-M-1A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Tracker'!B5="","(Add client on Client Needs Tracker, row 5)",'Client Needs Tracker'!B5)</f>
        <v>Joe Jackson</v>
      </c>
      <c r="B6" s="134"/>
      <c r="C6" s="134"/>
      <c r="D6" s="134"/>
      <c r="E6" s="134"/>
      <c r="F6" s="93">
        <f>'Client Needs Tracker'!A5</f>
        <v>102558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Tracker'!C5="","",'Client Needs Tracker'!C5)</f>
        <v>46228</v>
      </c>
      <c r="B8" s="134"/>
      <c r="C8" s="134"/>
      <c r="D8" s="134"/>
      <c r="E8" s="134"/>
      <c r="F8" s="95" t="str">
        <f>'Client Needs Tracker'!E5</f>
        <v>TBD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Tracker'!F5="","",'Client Needs Tracker'!F5)</f>
        <v>TBD</v>
      </c>
      <c r="B10" s="134"/>
      <c r="C10" s="134"/>
      <c r="D10" s="134"/>
      <c r="E10" s="134"/>
      <c r="F10" s="89" t="str">
        <f>IF('Client Status Board'!G5="","",'Client Status Board'!G5)</f>
        <v>Unknown</v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Board'!L5="","",'Client Status Board'!L5)</f>
        <v>Genoa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195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>
        <v>587441</v>
      </c>
      <c r="B16" s="14" t="s">
        <v>164</v>
      </c>
      <c r="C16" s="7"/>
      <c r="D16" s="7" t="s">
        <v>208</v>
      </c>
      <c r="E16" s="7">
        <v>4</v>
      </c>
      <c r="F16" s="48">
        <v>0.33333333333333331</v>
      </c>
      <c r="G16" s="7">
        <v>4</v>
      </c>
      <c r="H16" s="49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>8:00 AM / 12:00 PM / 4:00 PM / 8:00 PM</v>
      </c>
      <c r="I16" s="7" t="s">
        <v>78</v>
      </c>
      <c r="J16" s="7" t="s">
        <v>209</v>
      </c>
      <c r="K16" s="7">
        <v>30</v>
      </c>
      <c r="L16" s="50">
        <f>IF($K16="","",$K16-SUMPRODUCT(('MAR - P01'!$B$10:$B$61=1)*(('MAR - P01'!$I$10:$I$61&lt;&gt;"")+('MAR - P01'!$K$10:$K$61&lt;&gt;"")+('MAR - P01'!$M$10:$M$61&lt;&gt;"")+('MAR - P01'!$O$10:$O$61&lt;&gt;"")+('MAR - P01'!$Q$10:$Q$61&lt;&gt;"")+('MAR - P01'!$S$10:$S$61&lt;&gt;"")+('MAR - P01'!$U$10:$U$61&lt;&gt;""))))</f>
        <v>30</v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P01'!$B$10:$B$61=2)*(('MAR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P01'!$B$10:$B$61=3)*(('MAR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P01'!$B$10:$B$61=4)*(('MAR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P01'!$B$10:$B$61=5)*(('MAR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P01'!$B$10:$B$61=6)*(('MAR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P01'!$B$10:$B$61=7)*(('MAR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P01'!$B$10:$B$61=8)*(('MAR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P01'!$B$10:$B$61=9)*(('MAR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P01'!$B$10:$B$61=10)*(('MAR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P01'!$B$10:$B$61=11)*(('MAR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P01'!$B$10:$B$61=12)*(('MAR - P01'!$I$10:$I$61&lt;&gt;"")+('MAR - P01'!$K$10:$K$61&lt;&gt;"")+('MAR - P01'!$M$10:$M$61&lt;&gt;"")+('MAR - P01'!$O$10:$O$61&lt;&gt;"")+('MAR - P01'!$Q$10:$Q$61&lt;&gt;"")+('MAR - P01'!$S$10:$S$61&lt;&gt;"")+('MAR - P01'!$U$10:$U$61&lt;&gt;""))))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905" priority="1" operator="equal">
      <formula>"Physical"</formula>
    </cfRule>
  </conditionalFormatting>
  <conditionalFormatting sqref="J16:J27">
    <cfRule type="cellIs" dxfId="904" priority="2" operator="equal">
      <formula>"Psychological"</formula>
    </cfRule>
  </conditionalFormatting>
  <conditionalFormatting sqref="I16:I27">
    <cfRule type="cellIs" dxfId="903" priority="3" operator="equal">
      <formula>"Y"</formula>
    </cfRule>
  </conditionalFormatting>
  <conditionalFormatting sqref="I16:I27">
    <cfRule type="cellIs" dxfId="902" priority="4" operator="equal">
      <formula>"N"</formula>
    </cfRule>
  </conditionalFormatting>
  <dataValidations count="8">
    <dataValidation type="list" allowBlank="1" sqref="I16:I27" xr:uid="{00000000-0002-0000-0500-000001000000}">
      <formula1>"Y,N"</formula1>
    </dataValidation>
    <dataValidation type="list" allowBlank="1" sqref="J16:J27" xr:uid="{00000000-0002-0000-0500-000002000000}">
      <formula1>"Physical,Psychological"</formula1>
    </dataValidation>
    <dataValidation type="list" allowBlank="1" showErrorMessage="1" sqref="C17" xr:uid="{00000000-0002-0000-0500-000003000000}">
      <formula1>"10,20,40,60"</formula1>
    </dataValidation>
    <dataValidation type="list" allowBlank="1" showErrorMessage="1" sqref="C16" xr:uid="{00000000-0002-0000-0500-000004000000}">
      <formula1>"25,50,100"</formula1>
    </dataValidation>
    <dataValidation type="list" allowBlank="1" showErrorMessage="1" sqref="C18" xr:uid="{00000000-0002-0000-0500-000005000000}">
      <formula1>"5,10,20"</formula1>
    </dataValidation>
    <dataValidation type="list" allowBlank="1" sqref="C19:C27" xr:uid="{00000000-0002-0000-0500-000006000000}">
      <formula1>INDIRECT("MG_"&amp;SUBSTITUTE(SUBSTITUTE(SUBSTITUTE(SUBSTITUTE(LEFT($B19,IFERROR(FIND(" (",$B19)-1,LEN($B19)))," ","_"),"/","_"),".","_"),"-","_"))</formula1>
    </dataValidation>
    <dataValidation type="list" allowBlank="1" sqref="D16:D27" xr:uid="{00000000-0002-0000-0500-000007000000}">
      <formula1>"PO,IM,IV,SubQ,Topical,Inhaled,Sublingual,Rectal,Other"</formula1>
    </dataValidation>
    <dataValidation type="list" allowBlank="1" sqref="G16:G27" xr:uid="{00000000-0002-0000-0500-000008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6.7109375" customWidth="1"/>
    <col min="6" max="6" width="8" customWidth="1"/>
    <col min="7" max="7" width="6" customWidth="1"/>
    <col min="8" max="8" width="12" customWidth="1"/>
    <col min="9" max="9" width="6" customWidth="1"/>
    <col min="10" max="10" width="12.140625" customWidth="1"/>
    <col min="11" max="11" width="10.85546875" customWidth="1"/>
    <col min="12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 t="str">
        <f>"Case Manager: "&amp;IF('Inventory - P01'!A10="","-",'Inventory - P01'!A10)</f>
        <v>Case Manager: TBD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Tracker'!B5="","",UPPER(LEFT(TRIM('Client Needs Tracker'!B5),1))&amp;UPPER(MID('Client Needs Tracker'!B5,FIND("@",SUBSTITUTE('Client Needs Tracker'!B5," ","@",LEN('Client Needs Tracker'!B5)-LEN(SUBSTITUTE('Client Needs Tracker'!B5," ",""))))+1,1))&amp;"-"&amp;SUBSTITUTE('Client Needs Tracker'!S5," ",""))</f>
        <v>JJ-M-1A</v>
      </c>
    </row>
    <row r="3" spans="1:33" ht="15" customHeight="1">
      <c r="A3" s="103" t="str">
        <f>IF('Inventory - P01'!A6="","(Enter name in Inventory - P01)",'Inventory - P01'!A6)</f>
        <v>Joe Jackson</v>
      </c>
      <c r="B3" s="145"/>
      <c r="C3" s="145"/>
      <c r="D3" s="145"/>
      <c r="E3" s="145"/>
      <c r="F3" s="104" t="str">
        <f>IF('Inventory - P01'!F6="","(Enter ID in Inventory - P01)","Member ID: "&amp;'Inventory - P01'!F6)</f>
        <v>Member ID: 102558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Tracker'!S5="","","INV-"&amp;SUBSTITUTE('Client Needs Tracker'!S5," ",""))</f>
        <v>INV-M-1A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/>
      <c r="B5" s="106"/>
      <c r="C5" s="2"/>
      <c r="D5" s="102"/>
      <c r="E5" s="106"/>
      <c r="F5" s="2"/>
      <c r="G5" s="102" t="str">
        <f>"Doctor: "&amp;IF('Inventory - P01'!F10="","-",'Inventory - P01'!F10)</f>
        <v>Doctor: Unknown</v>
      </c>
      <c r="H5" s="106"/>
      <c r="I5" s="2"/>
      <c r="J5" s="102" t="str">
        <f>"Pharmacy: "&amp;IF('Inventory - P01'!A12="","-",'Inventory - P01'!A12)</f>
        <v>Pharmacy: Genoa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/>
      <c r="B6" s="2"/>
      <c r="C6" s="2"/>
      <c r="D6" s="51" t="s">
        <v>216</v>
      </c>
      <c r="E6" s="147" t="str">
        <f>IF('Inventory - P01'!A14="","",'Inventory - P01'!A14)</f>
        <v/>
      </c>
      <c r="F6" s="134"/>
      <c r="G6" s="102" t="str">
        <f>"LOC: "&amp;IF('Inventory - P01'!F8="","-",'Inventory - P01'!F8)</f>
        <v>LOC: TBD</v>
      </c>
      <c r="H6" s="106"/>
      <c r="I6" s="2"/>
      <c r="J6" s="2" t="str">
        <f>"Doctor: "&amp;IF('Inventory - P01'!F10="","-",'Inventory - P01'!F10)</f>
        <v>Doctor: Unknown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P01'!A14="","",'Inventory - P01'!A14+0)</f>
        <v/>
      </c>
      <c r="J8" s="134"/>
      <c r="K8" s="101" t="str">
        <f>IF('Inventory - P01'!A14="","",'Inventory - P01'!A14+1)</f>
        <v/>
      </c>
      <c r="L8" s="134"/>
      <c r="M8" s="101" t="str">
        <f>IF('Inventory - P01'!A14="","",'Inventory - P01'!A14+2)</f>
        <v/>
      </c>
      <c r="N8" s="134"/>
      <c r="O8" s="101" t="str">
        <f>IF('Inventory - P01'!A14="","",'Inventory - P01'!A14+3)</f>
        <v/>
      </c>
      <c r="P8" s="134"/>
      <c r="Q8" s="101" t="str">
        <f>IF('Inventory - P01'!A14="","",'Inventory - P01'!A14+4)</f>
        <v/>
      </c>
      <c r="R8" s="134"/>
      <c r="S8" s="101" t="str">
        <f>IF('Inventory - P01'!A14="","",'Inventory - P01'!A14+5)</f>
        <v/>
      </c>
      <c r="T8" s="134"/>
      <c r="U8" s="101" t="str">
        <f>IF('Inventory - P01'!A14="","",'Inventory - P01'!A14+6)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>8:00 AM</v>
      </c>
      <c r="B11" s="7">
        <f t="shared" ref="B11:B22" si="1">IF(X11="","",(INT((X11-1)/4)+1))</f>
        <v>1</v>
      </c>
      <c r="C11" s="14" t="str">
        <f t="array" ref="C11">IF(X11="","",INDEX('Inventory - P01'!$B$16:$B$27,(INT((X11-1)/4)+1))&amp;IF(INDEX('Inventory - P01'!$C$16:$C$27,(INT((X11-1)/4)+1))="",""," ("&amp;INDEX('Inventory - P01'!$C$16:$C$27,(INT((X11-1)/4)+1))&amp;" mg)"))</f>
        <v>Sertraline (Zoloft)</v>
      </c>
      <c r="D11" s="7">
        <f t="array" ref="D11">IF(X11="","",INDEX('Inventory - P01'!$K$16:$K$27,(INT((X11-1)/4)+1))-SUMPRODUCT(($B$10:$B$61=B11)*(($I$10:$I$61&lt;&gt;"")+($K$10:$K$61&lt;&gt;"")+($M$10:$M$61&lt;&gt;"")+($O$10:$O$61&lt;&gt;"")+($Q$10:$Q$61&lt;&gt;"")+($S$10:$S$61&lt;&gt;"")+($U$10:$U$61&lt;&gt;""))))</f>
        <v>30</v>
      </c>
      <c r="E11" s="7" t="str">
        <f t="array" ref="E11">IF(X11="","",INDEX('Inventory - P01'!$D$16:$D$27,(INT((X11-1)/4)+1)))</f>
        <v>PO</v>
      </c>
      <c r="F11" s="7">
        <f t="array" ref="F11">IF(X11="","",INDEX('Inventory - P01'!$E$16:$E$27,(INT((X11-1)/4)+1)))</f>
        <v>4</v>
      </c>
      <c r="G11" s="7" t="str">
        <f t="array" ref="G11">IF(X11="","",INDEX('Inventory - P01'!$I$16:$I$27,(INT((X11-1)/4)+1)))</f>
        <v>Y</v>
      </c>
      <c r="H11" s="7" t="str">
        <f t="array" ref="H11">IF(X11="","",INDEX('Inventory - P01'!$J$16:$J$27,(INT((X11-1)/4)+1)))</f>
        <v>Physical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0.33333333333333331</v>
      </c>
      <c r="X11" s="2">
        <f t="shared" ref="X11:X22" si="2">IF(W11&lt;9,MATCH(W11,$Z$67:$Z$114,0),"")</f>
        <v>1</v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P01'!$B$16:$B$27,(INT((X12-1)/4)+1))&amp;IF(INDEX('Inventory - P01'!$C$16:$C$27,(INT((X12-1)/4)+1))="",""," ("&amp;INDEX('Inventory - P01'!$C$16:$C$27,(INT((X12-1)/4)+1))&amp;" mg)"))</f>
        <v/>
      </c>
      <c r="D12" s="7" t="str">
        <f t="array" ref="D12">IF(X12="","",INDEX('Inventory - P01'!$K$16:$K$27,(INT((X12-1)/4)+1))-SUMPRODUCT(($B$10:$B$61=B12)*(($I$10:$I$61&lt;&gt;"")+($K$10:$K$61&lt;&gt;"")+($M$10:$M$61&lt;&gt;"")+($O$10:$O$61&lt;&gt;"")+($Q$10:$Q$61&lt;&gt;"")+($S$10:$S$61&lt;&gt;"")+($U$10:$U$61&lt;&gt;""))))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P01'!$D$16:$D$27,(INT((X12-1)/4)+1)))</f>
        <v/>
      </c>
      <c r="F12" s="7" t="str">
        <f t="array" ref="F12">IF(X12="","",INDEX('Inventory - P01'!$E$16:$E$27,(INT((X12-1)/4)+1)))</f>
        <v/>
      </c>
      <c r="G12" s="7" t="str">
        <f t="array" ref="G12">IF(X12="","",INDEX('Inventory - P01'!$I$16:$I$27,(INT((X12-1)/4)+1)))</f>
        <v/>
      </c>
      <c r="H12" s="7" t="str">
        <f t="array" ref="H12">IF(X12="","",INDEX('Inventory - P01'!$J$16:$J$27,(INT((X12-1)/4)+1)))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P01'!$B$16:$B$27,(INT((X13-1)/4)+1))&amp;IF(INDEX('Inventory - P01'!$C$16:$C$27,(INT((X13-1)/4)+1))="",""," ("&amp;INDEX('Inventory - P01'!$C$16:$C$27,(INT((X13-1)/4)+1))&amp;" mg)"))</f>
        <v/>
      </c>
      <c r="D13" s="7" t="str">
        <f t="array" ref="D13">IF(X13="","",INDEX('Inventory - P01'!$K$16:$K$27,(INT((X13-1)/4)+1))-SUMPRODUCT(($B$10:$B$61=B13)*(($I$10:$I$61&lt;&gt;"")+($K$10:$K$61&lt;&gt;"")+($M$10:$M$61&lt;&gt;"")+($O$10:$O$61&lt;&gt;"")+($Q$10:$Q$61&lt;&gt;"")+($S$10:$S$61&lt;&gt;"")+($U$10:$U$61&lt;&gt;""))))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P01'!$D$16:$D$27,(INT((X13-1)/4)+1)))</f>
        <v/>
      </c>
      <c r="F13" s="7" t="str">
        <f t="array" ref="F13">IF(X13="","",INDEX('Inventory - P01'!$E$16:$E$27,(INT((X13-1)/4)+1)))</f>
        <v/>
      </c>
      <c r="G13" s="7" t="str">
        <f t="array" ref="G13">IF(X13="","",INDEX('Inventory - P01'!$I$16:$I$27,(INT((X13-1)/4)+1)))</f>
        <v/>
      </c>
      <c r="H13" s="7" t="str">
        <f t="array" ref="H13">IF(X13="","",INDEX('Inventory - P01'!$J$16:$J$27,(INT((X13-1)/4)+1)))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P01'!$B$16:$B$27,(INT((X14-1)/4)+1))&amp;IF(INDEX('Inventory - P01'!$C$16:$C$27,(INT((X14-1)/4)+1))="",""," ("&amp;INDEX('Inventory - P01'!$C$16:$C$27,(INT((X14-1)/4)+1))&amp;" mg)"))</f>
        <v/>
      </c>
      <c r="D14" s="7" t="str">
        <f t="array" ref="D14">IF(X14="","",INDEX('Inventory - P01'!$K$16:$K$27,(INT((X14-1)/4)+1))-SUMPRODUCT(($B$10:$B$61=B14)*(($I$10:$I$61&lt;&gt;"")+($K$10:$K$61&lt;&gt;"")+($M$10:$M$61&lt;&gt;"")+($O$10:$O$61&lt;&gt;"")+($Q$10:$Q$61&lt;&gt;"")+($S$10:$S$61&lt;&gt;"")+($U$10:$U$61&lt;&gt;""))))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P01'!$D$16:$D$27,(INT((X14-1)/4)+1)))</f>
        <v/>
      </c>
      <c r="F14" s="7" t="str">
        <f t="array" ref="F14">IF(X14="","",INDEX('Inventory - P01'!$E$16:$E$27,(INT((X14-1)/4)+1)))</f>
        <v/>
      </c>
      <c r="G14" s="7" t="str">
        <f t="array" ref="G14">IF(X14="","",INDEX('Inventory - P01'!$I$16:$I$27,(INT((X14-1)/4)+1)))</f>
        <v/>
      </c>
      <c r="H14" s="7" t="str">
        <f t="array" ref="H14">IF(X14="","",INDEX('Inventory - P01'!$J$16:$J$27,(INT((X14-1)/4)+1)))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P01'!$B$16:$B$27,(INT((X15-1)/4)+1))&amp;IF(INDEX('Inventory - P01'!$C$16:$C$27,(INT((X15-1)/4)+1))="",""," ("&amp;INDEX('Inventory - P01'!$C$16:$C$27,(INT((X15-1)/4)+1))&amp;" mg)"))</f>
        <v/>
      </c>
      <c r="D15" s="7" t="str">
        <f t="array" ref="D15">IF(X15="","",INDEX('Inventory - P01'!$K$16:$K$27,(INT((X15-1)/4)+1))-SUMPRODUCT(($B$10:$B$61=B15)*(($I$10:$I$61&lt;&gt;"")+($K$10:$K$61&lt;&gt;"")+($M$10:$M$61&lt;&gt;"")+($O$10:$O$61&lt;&gt;"")+($Q$10:$Q$61&lt;&gt;"")+($S$10:$S$61&lt;&gt;"")+($U$10:$U$61&lt;&gt;""))))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P01'!$D$16:$D$27,(INT((X15-1)/4)+1)))</f>
        <v/>
      </c>
      <c r="F15" s="7" t="str">
        <f t="array" ref="F15">IF(X15="","",INDEX('Inventory - P01'!$E$16:$E$27,(INT((X15-1)/4)+1)))</f>
        <v/>
      </c>
      <c r="G15" s="7" t="str">
        <f t="array" ref="G15">IF(X15="","",INDEX('Inventory - P01'!$I$16:$I$27,(INT((X15-1)/4)+1)))</f>
        <v/>
      </c>
      <c r="H15" s="7" t="str">
        <f t="array" ref="H15">IF(X15="","",INDEX('Inventory - P01'!$J$16:$J$27,(INT((X15-1)/4)+1)))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P01'!$B$16:$B$27,(INT((X16-1)/4)+1))&amp;IF(INDEX('Inventory - P01'!$C$16:$C$27,(INT((X16-1)/4)+1))="",""," ("&amp;INDEX('Inventory - P01'!$C$16:$C$27,(INT((X16-1)/4)+1))&amp;" mg)"))</f>
        <v/>
      </c>
      <c r="D16" s="7" t="str">
        <f t="array" ref="D16">IF(X16="","",INDEX('Inventory - P01'!$K$16:$K$27,(INT((X16-1)/4)+1))-SUMPRODUCT(($B$10:$B$61=B16)*(($I$10:$I$61&lt;&gt;"")+($K$10:$K$61&lt;&gt;"")+($M$10:$M$61&lt;&gt;"")+($O$10:$O$61&lt;&gt;"")+($Q$10:$Q$61&lt;&gt;"")+($S$10:$S$61&lt;&gt;"")+($U$10:$U$61&lt;&gt;""))))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P01'!$D$16:$D$27,(INT((X16-1)/4)+1)))</f>
        <v/>
      </c>
      <c r="F16" s="7" t="str">
        <f t="array" ref="F16">IF(X16="","",INDEX('Inventory - P01'!$E$16:$E$27,(INT((X16-1)/4)+1)))</f>
        <v/>
      </c>
      <c r="G16" s="7" t="str">
        <f t="array" ref="G16">IF(X16="","",INDEX('Inventory - P01'!$I$16:$I$27,(INT((X16-1)/4)+1)))</f>
        <v/>
      </c>
      <c r="H16" s="7" t="str">
        <f t="array" ref="H16">IF(X16="","",INDEX('Inventory - P01'!$J$16:$J$27,(INT((X16-1)/4)+1)))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P01'!$B$16:$B$27,(INT((X17-1)/4)+1))&amp;IF(INDEX('Inventory - P01'!$C$16:$C$27,(INT((X17-1)/4)+1))="",""," ("&amp;INDEX('Inventory - P01'!$C$16:$C$27,(INT((X17-1)/4)+1))&amp;" mg)"))</f>
        <v/>
      </c>
      <c r="D17" s="7" t="str">
        <f t="array" ref="D17">IF(X17="","",INDEX('Inventory - P01'!$K$16:$K$27,(INT((X17-1)/4)+1))-SUMPRODUCT(($B$10:$B$61=B17)*(($I$10:$I$61&lt;&gt;"")+($K$10:$K$61&lt;&gt;"")+($M$10:$M$61&lt;&gt;"")+($O$10:$O$61&lt;&gt;"")+($Q$10:$Q$61&lt;&gt;"")+($S$10:$S$61&lt;&gt;"")+($U$10:$U$61&lt;&gt;""))))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P01'!$D$16:$D$27,(INT((X17-1)/4)+1)))</f>
        <v/>
      </c>
      <c r="F17" s="7" t="str">
        <f t="array" ref="F17">IF(X17="","",INDEX('Inventory - P01'!$E$16:$E$27,(INT((X17-1)/4)+1)))</f>
        <v/>
      </c>
      <c r="G17" s="7" t="str">
        <f t="array" ref="G17">IF(X17="","",INDEX('Inventory - P01'!$I$16:$I$27,(INT((X17-1)/4)+1)))</f>
        <v/>
      </c>
      <c r="H17" s="7" t="str">
        <f t="array" ref="H17">IF(X17="","",INDEX('Inventory - P01'!$J$16:$J$27,(INT((X17-1)/4)+1)))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P01'!$B$16:$B$27,(INT((X18-1)/4)+1))&amp;IF(INDEX('Inventory - P01'!$C$16:$C$27,(INT((X18-1)/4)+1))="",""," ("&amp;INDEX('Inventory - P01'!$C$16:$C$27,(INT((X18-1)/4)+1))&amp;" mg)"))</f>
        <v/>
      </c>
      <c r="D18" s="7" t="str">
        <f t="array" ref="D18">IF(X18="","",INDEX('Inventory - P01'!$K$16:$K$27,(INT((X18-1)/4)+1))-SUMPRODUCT(($B$10:$B$61=B18)*(($I$10:$I$61&lt;&gt;"")+($K$10:$K$61&lt;&gt;"")+($M$10:$M$61&lt;&gt;"")+($O$10:$O$61&lt;&gt;"")+($Q$10:$Q$61&lt;&gt;"")+($S$10:$S$61&lt;&gt;"")+($U$10:$U$61&lt;&gt;""))))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P01'!$D$16:$D$27,(INT((X18-1)/4)+1)))</f>
        <v/>
      </c>
      <c r="F18" s="7" t="str">
        <f t="array" ref="F18">IF(X18="","",INDEX('Inventory - P01'!$E$16:$E$27,(INT((X18-1)/4)+1)))</f>
        <v/>
      </c>
      <c r="G18" s="7" t="str">
        <f t="array" ref="G18">IF(X18="","",INDEX('Inventory - P01'!$I$16:$I$27,(INT((X18-1)/4)+1)))</f>
        <v/>
      </c>
      <c r="H18" s="7" t="str">
        <f t="array" ref="H18">IF(X18="","",INDEX('Inventory - P01'!$J$16:$J$27,(INT((X18-1)/4)+1)))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P01'!$B$16:$B$27,(INT((X19-1)/4)+1))&amp;IF(INDEX('Inventory - P01'!$C$16:$C$27,(INT((X19-1)/4)+1))="",""," ("&amp;INDEX('Inventory - P01'!$C$16:$C$27,(INT((X19-1)/4)+1))&amp;" mg)"))</f>
        <v/>
      </c>
      <c r="D19" s="7" t="str">
        <f t="array" ref="D19">IF(X19="","",INDEX('Inventory - P01'!$K$16:$K$27,(INT((X19-1)/4)+1))-SUMPRODUCT(($B$10:$B$61=B19)*(($I$10:$I$61&lt;&gt;"")+($K$10:$K$61&lt;&gt;"")+($M$10:$M$61&lt;&gt;"")+($O$10:$O$61&lt;&gt;"")+($Q$10:$Q$61&lt;&gt;"")+($S$10:$S$61&lt;&gt;"")+($U$10:$U$61&lt;&gt;""))))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P01'!$D$16:$D$27,(INT((X19-1)/4)+1)))</f>
        <v/>
      </c>
      <c r="F19" s="7" t="str">
        <f t="array" ref="F19">IF(X19="","",INDEX('Inventory - P01'!$E$16:$E$27,(INT((X19-1)/4)+1)))</f>
        <v/>
      </c>
      <c r="G19" s="7" t="str">
        <f t="array" ref="G19">IF(X19="","",INDEX('Inventory - P01'!$I$16:$I$27,(INT((X19-1)/4)+1)))</f>
        <v/>
      </c>
      <c r="H19" s="7" t="str">
        <f t="array" ref="H19">IF(X19="","",INDEX('Inventory - P01'!$J$16:$J$27,(INT((X19-1)/4)+1)))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P01'!$B$16:$B$27,(INT((X20-1)/4)+1))&amp;IF(INDEX('Inventory - P01'!$C$16:$C$27,(INT((X20-1)/4)+1))="",""," ("&amp;INDEX('Inventory - P01'!$C$16:$C$27,(INT((X20-1)/4)+1))&amp;" mg)"))</f>
        <v/>
      </c>
      <c r="D20" s="7" t="str">
        <f t="array" ref="D20">IF(X20="","",INDEX('Inventory - P01'!$K$16:$K$27,(INT((X20-1)/4)+1))-SUMPRODUCT(($B$10:$B$61=B20)*(($I$10:$I$61&lt;&gt;"")+($K$10:$K$61&lt;&gt;"")+($M$10:$M$61&lt;&gt;"")+($O$10:$O$61&lt;&gt;"")+($Q$10:$Q$61&lt;&gt;"")+($S$10:$S$61&lt;&gt;"")+($U$10:$U$61&lt;&gt;""))))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P01'!$D$16:$D$27,(INT((X20-1)/4)+1)))</f>
        <v/>
      </c>
      <c r="F20" s="7" t="str">
        <f t="array" ref="F20">IF(X20="","",INDEX('Inventory - P01'!$E$16:$E$27,(INT((X20-1)/4)+1)))</f>
        <v/>
      </c>
      <c r="G20" s="7" t="str">
        <f t="array" ref="G20">IF(X20="","",INDEX('Inventory - P01'!$I$16:$I$27,(INT((X20-1)/4)+1)))</f>
        <v/>
      </c>
      <c r="H20" s="7" t="str">
        <f t="array" ref="H20">IF(X20="","",INDEX('Inventory - P01'!$J$16:$J$27,(INT((X20-1)/4)+1)))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P01'!$B$16:$B$27,(INT((X21-1)/4)+1))&amp;IF(INDEX('Inventory - P01'!$C$16:$C$27,(INT((X21-1)/4)+1))="",""," ("&amp;INDEX('Inventory - P01'!$C$16:$C$27,(INT((X21-1)/4)+1))&amp;" mg)"))</f>
        <v/>
      </c>
      <c r="D21" s="7" t="str">
        <f t="array" ref="D21">IF(X21="","",INDEX('Inventory - P01'!$K$16:$K$27,(INT((X21-1)/4)+1))-SUMPRODUCT(($B$10:$B$61=B21)*(($I$10:$I$61&lt;&gt;"")+($K$10:$K$61&lt;&gt;"")+($M$10:$M$61&lt;&gt;"")+($O$10:$O$61&lt;&gt;"")+($Q$10:$Q$61&lt;&gt;"")+($S$10:$S$61&lt;&gt;"")+($U$10:$U$61&lt;&gt;""))))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P01'!$D$16:$D$27,(INT((X21-1)/4)+1)))</f>
        <v/>
      </c>
      <c r="F21" s="7" t="str">
        <f t="array" ref="F21">IF(X21="","",INDEX('Inventory - P01'!$E$16:$E$27,(INT((X21-1)/4)+1)))</f>
        <v/>
      </c>
      <c r="G21" s="7" t="str">
        <f t="array" ref="G21">IF(X21="","",INDEX('Inventory - P01'!$I$16:$I$27,(INT((X21-1)/4)+1)))</f>
        <v/>
      </c>
      <c r="H21" s="7" t="str">
        <f t="array" ref="H21">IF(X21="","",INDEX('Inventory - P01'!$J$16:$J$27,(INT((X21-1)/4)+1)))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P01'!$B$16:$B$27,(INT((X22-1)/4)+1))&amp;IF(INDEX('Inventory - P01'!$C$16:$C$27,(INT((X22-1)/4)+1))="",""," ("&amp;INDEX('Inventory - P01'!$C$16:$C$27,(INT((X22-1)/4)+1))&amp;" mg)"))</f>
        <v/>
      </c>
      <c r="D22" s="7" t="str">
        <f t="array" ref="D22">IF(X22="","",INDEX('Inventory - P01'!$K$16:$K$27,(INT((X22-1)/4)+1))-SUMPRODUCT(($B$10:$B$61=B22)*(($I$10:$I$61&lt;&gt;"")+($K$10:$K$61&lt;&gt;"")+($M$10:$M$61&lt;&gt;"")+($O$10:$O$61&lt;&gt;"")+($Q$10:$Q$61&lt;&gt;"")+($S$10:$S$61&lt;&gt;"")+($U$10:$U$61&lt;&gt;""))))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P01'!$D$16:$D$27,(INT((X22-1)/4)+1)))</f>
        <v/>
      </c>
      <c r="F22" s="7" t="str">
        <f t="array" ref="F22">IF(X22="","",INDEX('Inventory - P01'!$E$16:$E$27,(INT((X22-1)/4)+1)))</f>
        <v/>
      </c>
      <c r="G22" s="7" t="str">
        <f t="array" ref="G22">IF(X22="","",INDEX('Inventory - P01'!$I$16:$I$27,(INT((X22-1)/4)+1)))</f>
        <v/>
      </c>
      <c r="H22" s="7" t="str">
        <f t="array" ref="H22">IF(X22="","",INDEX('Inventory - P01'!$J$16:$J$27,(INT((X22-1)/4)+1)))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>12:00 PM</v>
      </c>
      <c r="B24" s="7">
        <f t="shared" ref="B24:B35" si="4">IF(X24="","",(INT((X24-1)/4)+1))</f>
        <v>1</v>
      </c>
      <c r="C24" s="14" t="str">
        <f t="array" ref="C24">IF(X24="","",INDEX('Inventory - P01'!$B$16:$B$27,(INT((X24-1)/4)+1))&amp;IF(INDEX('Inventory - P01'!$C$16:$C$27,(INT((X24-1)/4)+1))="",""," ("&amp;INDEX('Inventory - P01'!$C$16:$C$27,(INT((X24-1)/4)+1))&amp;" mg)"))</f>
        <v>Sertraline (Zoloft)</v>
      </c>
      <c r="D24" s="7">
        <f t="array" ref="D24">IF(X24="","",INDEX('Inventory - P01'!$K$16:$K$27,(INT((X24-1)/4)+1))-SUMPRODUCT(($B$10:$B$61=B24)*(($I$10:$I$61&lt;&gt;"")+($K$10:$K$61&lt;&gt;"")+($M$10:$M$61&lt;&gt;"")+($O$10:$O$61&lt;&gt;"")+($Q$10:$Q$61&lt;&gt;"")+($S$10:$S$61&lt;&gt;"")+($U$10:$U$61&lt;&gt;""))))</f>
        <v>30</v>
      </c>
      <c r="E24" s="7" t="str">
        <f t="array" ref="E24">IF(X24="","",INDEX('Inventory - P01'!$D$16:$D$27,(INT((X24-1)/4)+1)))</f>
        <v>PO</v>
      </c>
      <c r="F24" s="7">
        <f t="array" ref="F24">IF(X24="","",INDEX('Inventory - P01'!$E$16:$E$27,(INT((X24-1)/4)+1)))</f>
        <v>4</v>
      </c>
      <c r="G24" s="7" t="str">
        <f t="array" ref="G24">IF(X24="","",INDEX('Inventory - P01'!$I$16:$I$27,(INT((X24-1)/4)+1)))</f>
        <v>Y</v>
      </c>
      <c r="H24" s="7" t="str">
        <f t="array" ref="H24">IF(X24="","",INDEX('Inventory - P01'!$J$16:$J$27,(INT((X24-1)/4)+1)))</f>
        <v>Physical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0.50000000099999997</v>
      </c>
      <c r="X24" s="2">
        <f t="shared" ref="X24:X35" si="5">IF(W24&lt;9,MATCH(W24,$AA$67:$AA$114,0),"")</f>
        <v>2</v>
      </c>
    </row>
    <row r="25" spans="1:24" ht="15" customHeight="1">
      <c r="A25" s="7" t="str">
        <f t="shared" si="3"/>
        <v>4:00 PM</v>
      </c>
      <c r="B25" s="7">
        <f t="shared" si="4"/>
        <v>1</v>
      </c>
      <c r="C25" s="14" t="str">
        <f t="array" ref="C25">IF(X25="","",INDEX('Inventory - P01'!$B$16:$B$27,(INT((X25-1)/4)+1))&amp;IF(INDEX('Inventory - P01'!$C$16:$C$27,(INT((X25-1)/4)+1))="",""," ("&amp;INDEX('Inventory - P01'!$C$16:$C$27,(INT((X25-1)/4)+1))&amp;" mg)"))</f>
        <v>Sertraline (Zoloft)</v>
      </c>
      <c r="D25" s="7">
        <f t="array" ref="D25">IF(X25="","",INDEX('Inventory - P01'!$K$16:$K$27,(INT((X25-1)/4)+1))-SUMPRODUCT(($B$10:$B$61=B25)*(($I$10:$I$61&lt;&gt;"")+($K$10:$K$61&lt;&gt;"")+($M$10:$M$61&lt;&gt;"")+($O$10:$O$61&lt;&gt;"")+($Q$10:$Q$61&lt;&gt;"")+($S$10:$S$61&lt;&gt;"")+($U$10:$U$61&lt;&gt;""))))</f>
        <v>30</v>
      </c>
      <c r="E25" s="7" t="str">
        <f t="array" ref="E25">IF(X25="","",INDEX('Inventory - P01'!$D$16:$D$27,(INT((X25-1)/4)+1)))</f>
        <v>PO</v>
      </c>
      <c r="F25" s="7">
        <f t="array" ref="F25">IF(X25="","",INDEX('Inventory - P01'!$E$16:$E$27,(INT((X25-1)/4)+1)))</f>
        <v>4</v>
      </c>
      <c r="G25" s="7" t="str">
        <f t="array" ref="G25">IF(X25="","",INDEX('Inventory - P01'!$I$16:$I$27,(INT((X25-1)/4)+1)))</f>
        <v>Y</v>
      </c>
      <c r="H25" s="7" t="str">
        <f t="array" ref="H25">IF(X25="","",INDEX('Inventory - P01'!$J$16:$J$27,(INT((X25-1)/4)+1)))</f>
        <v>Physical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0.66666666866666668</v>
      </c>
      <c r="X25" s="2">
        <f t="shared" si="5"/>
        <v>3</v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P01'!$B$16:$B$27,(INT((X26-1)/4)+1))&amp;IF(INDEX('Inventory - P01'!$C$16:$C$27,(INT((X26-1)/4)+1))="",""," ("&amp;INDEX('Inventory - P01'!$C$16:$C$27,(INT((X26-1)/4)+1))&amp;" mg)"))</f>
        <v/>
      </c>
      <c r="D26" s="7" t="str">
        <f t="array" ref="D26">IF(X26="","",INDEX('Inventory - P01'!$K$16:$K$27,(INT((X26-1)/4)+1))-SUMPRODUCT(($B$10:$B$61=B26)*(($I$10:$I$61&lt;&gt;"")+($K$10:$K$61&lt;&gt;"")+($M$10:$M$61&lt;&gt;"")+($O$10:$O$61&lt;&gt;"")+($Q$10:$Q$61&lt;&gt;"")+($S$10:$S$61&lt;&gt;"")+($U$10:$U$61&lt;&gt;""))))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P01'!$D$16:$D$27,(INT((X26-1)/4)+1)))</f>
        <v/>
      </c>
      <c r="F26" s="7" t="str">
        <f t="array" ref="F26">IF(X26="","",INDEX('Inventory - P01'!$E$16:$E$27,(INT((X26-1)/4)+1)))</f>
        <v/>
      </c>
      <c r="G26" s="7" t="str">
        <f t="array" ref="G26">IF(X26="","",INDEX('Inventory - P01'!$I$16:$I$27,(INT((X26-1)/4)+1)))</f>
        <v/>
      </c>
      <c r="H26" s="7" t="str">
        <f t="array" ref="H26">IF(X26="","",INDEX('Inventory - P01'!$J$16:$J$27,(INT((X26-1)/4)+1)))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P01'!$B$16:$B$27,(INT((X27-1)/4)+1))&amp;IF(INDEX('Inventory - P01'!$C$16:$C$27,(INT((X27-1)/4)+1))="",""," ("&amp;INDEX('Inventory - P01'!$C$16:$C$27,(INT((X27-1)/4)+1))&amp;" mg)"))</f>
        <v/>
      </c>
      <c r="D27" s="7" t="str">
        <f t="array" ref="D27">IF(X27="","",INDEX('Inventory - P01'!$K$16:$K$27,(INT((X27-1)/4)+1))-SUMPRODUCT(($B$10:$B$61=B27)*(($I$10:$I$61&lt;&gt;"")+($K$10:$K$61&lt;&gt;"")+($M$10:$M$61&lt;&gt;"")+($O$10:$O$61&lt;&gt;"")+($Q$10:$Q$61&lt;&gt;"")+($S$10:$S$61&lt;&gt;"")+($U$10:$U$61&lt;&gt;""))))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P01'!$D$16:$D$27,(INT((X27-1)/4)+1)))</f>
        <v/>
      </c>
      <c r="F27" s="7" t="str">
        <f t="array" ref="F27">IF(X27="","",INDEX('Inventory - P01'!$E$16:$E$27,(INT((X27-1)/4)+1)))</f>
        <v/>
      </c>
      <c r="G27" s="7" t="str">
        <f t="array" ref="G27">IF(X27="","",INDEX('Inventory - P01'!$I$16:$I$27,(INT((X27-1)/4)+1)))</f>
        <v/>
      </c>
      <c r="H27" s="7" t="str">
        <f t="array" ref="H27">IF(X27="","",INDEX('Inventory - P01'!$J$16:$J$27,(INT((X27-1)/4)+1)))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P01'!$B$16:$B$27,(INT((X28-1)/4)+1))&amp;IF(INDEX('Inventory - P01'!$C$16:$C$27,(INT((X28-1)/4)+1))="",""," ("&amp;INDEX('Inventory - P01'!$C$16:$C$27,(INT((X28-1)/4)+1))&amp;" mg)"))</f>
        <v/>
      </c>
      <c r="D28" s="7" t="str">
        <f t="array" ref="D28">IF(X28="","",INDEX('Inventory - P01'!$K$16:$K$27,(INT((X28-1)/4)+1))-SUMPRODUCT(($B$10:$B$61=B28)*(($I$10:$I$61&lt;&gt;"")+($K$10:$K$61&lt;&gt;"")+($M$10:$M$61&lt;&gt;"")+($O$10:$O$61&lt;&gt;"")+($Q$10:$Q$61&lt;&gt;"")+($S$10:$S$61&lt;&gt;"")+($U$10:$U$61&lt;&gt;""))))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P01'!$D$16:$D$27,(INT((X28-1)/4)+1)))</f>
        <v/>
      </c>
      <c r="F28" s="7" t="str">
        <f t="array" ref="F28">IF(X28="","",INDEX('Inventory - P01'!$E$16:$E$27,(INT((X28-1)/4)+1)))</f>
        <v/>
      </c>
      <c r="G28" s="7" t="str">
        <f t="array" ref="G28">IF(X28="","",INDEX('Inventory - P01'!$I$16:$I$27,(INT((X28-1)/4)+1)))</f>
        <v/>
      </c>
      <c r="H28" s="7" t="str">
        <f t="array" ref="H28">IF(X28="","",INDEX('Inventory - P01'!$J$16:$J$27,(INT((X28-1)/4)+1)))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P01'!$B$16:$B$27,(INT((X29-1)/4)+1))&amp;IF(INDEX('Inventory - P01'!$C$16:$C$27,(INT((X29-1)/4)+1))="",""," ("&amp;INDEX('Inventory - P01'!$C$16:$C$27,(INT((X29-1)/4)+1))&amp;" mg)"))</f>
        <v/>
      </c>
      <c r="D29" s="7" t="str">
        <f t="array" ref="D29">IF(X29="","",INDEX('Inventory - P01'!$K$16:$K$27,(INT((X29-1)/4)+1))-SUMPRODUCT(($B$10:$B$61=B29)*(($I$10:$I$61&lt;&gt;"")+($K$10:$K$61&lt;&gt;"")+($M$10:$M$61&lt;&gt;"")+($O$10:$O$61&lt;&gt;"")+($Q$10:$Q$61&lt;&gt;"")+($S$10:$S$61&lt;&gt;"")+($U$10:$U$61&lt;&gt;""))))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P01'!$D$16:$D$27,(INT((X29-1)/4)+1)))</f>
        <v/>
      </c>
      <c r="F29" s="7" t="str">
        <f t="array" ref="F29">IF(X29="","",INDEX('Inventory - P01'!$E$16:$E$27,(INT((X29-1)/4)+1)))</f>
        <v/>
      </c>
      <c r="G29" s="7" t="str">
        <f t="array" ref="G29">IF(X29="","",INDEX('Inventory - P01'!$I$16:$I$27,(INT((X29-1)/4)+1)))</f>
        <v/>
      </c>
      <c r="H29" s="7" t="str">
        <f t="array" ref="H29">IF(X29="","",INDEX('Inventory - P01'!$J$16:$J$27,(INT((X29-1)/4)+1)))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P01'!$B$16:$B$27,(INT((X30-1)/4)+1))&amp;IF(INDEX('Inventory - P01'!$C$16:$C$27,(INT((X30-1)/4)+1))="",""," ("&amp;INDEX('Inventory - P01'!$C$16:$C$27,(INT((X30-1)/4)+1))&amp;" mg)"))</f>
        <v/>
      </c>
      <c r="D30" s="7" t="str">
        <f t="array" ref="D30">IF(X30="","",INDEX('Inventory - P01'!$K$16:$K$27,(INT((X30-1)/4)+1))-SUMPRODUCT(($B$10:$B$61=B30)*(($I$10:$I$61&lt;&gt;"")+($K$10:$K$61&lt;&gt;"")+($M$10:$M$61&lt;&gt;"")+($O$10:$O$61&lt;&gt;"")+($Q$10:$Q$61&lt;&gt;"")+($S$10:$S$61&lt;&gt;"")+($U$10:$U$61&lt;&gt;""))))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P01'!$D$16:$D$27,(INT((X30-1)/4)+1)))</f>
        <v/>
      </c>
      <c r="F30" s="7" t="str">
        <f t="array" ref="F30">IF(X30="","",INDEX('Inventory - P01'!$E$16:$E$27,(INT((X30-1)/4)+1)))</f>
        <v/>
      </c>
      <c r="G30" s="7" t="str">
        <f t="array" ref="G30">IF(X30="","",INDEX('Inventory - P01'!$I$16:$I$27,(INT((X30-1)/4)+1)))</f>
        <v/>
      </c>
      <c r="H30" s="7" t="str">
        <f t="array" ref="H30">IF(X30="","",INDEX('Inventory - P01'!$J$16:$J$27,(INT((X30-1)/4)+1)))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P01'!$B$16:$B$27,(INT((X31-1)/4)+1))&amp;IF(INDEX('Inventory - P01'!$C$16:$C$27,(INT((X31-1)/4)+1))="",""," ("&amp;INDEX('Inventory - P01'!$C$16:$C$27,(INT((X31-1)/4)+1))&amp;" mg)"))</f>
        <v/>
      </c>
      <c r="D31" s="7" t="str">
        <f t="array" ref="D31">IF(X31="","",INDEX('Inventory - P01'!$K$16:$K$27,(INT((X31-1)/4)+1))-SUMPRODUCT(($B$10:$B$61=B31)*(($I$10:$I$61&lt;&gt;"")+($K$10:$K$61&lt;&gt;"")+($M$10:$M$61&lt;&gt;"")+($O$10:$O$61&lt;&gt;"")+($Q$10:$Q$61&lt;&gt;"")+($S$10:$S$61&lt;&gt;"")+($U$10:$U$61&lt;&gt;""))))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P01'!$D$16:$D$27,(INT((X31-1)/4)+1)))</f>
        <v/>
      </c>
      <c r="F31" s="7" t="str">
        <f t="array" ref="F31">IF(X31="","",INDEX('Inventory - P01'!$E$16:$E$27,(INT((X31-1)/4)+1)))</f>
        <v/>
      </c>
      <c r="G31" s="7" t="str">
        <f t="array" ref="G31">IF(X31="","",INDEX('Inventory - P01'!$I$16:$I$27,(INT((X31-1)/4)+1)))</f>
        <v/>
      </c>
      <c r="H31" s="7" t="str">
        <f t="array" ref="H31">IF(X31="","",INDEX('Inventory - P01'!$J$16:$J$27,(INT((X31-1)/4)+1)))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P01'!$B$16:$B$27,(INT((X32-1)/4)+1))&amp;IF(INDEX('Inventory - P01'!$C$16:$C$27,(INT((X32-1)/4)+1))="",""," ("&amp;INDEX('Inventory - P01'!$C$16:$C$27,(INT((X32-1)/4)+1))&amp;" mg)"))</f>
        <v/>
      </c>
      <c r="D32" s="7" t="str">
        <f t="array" ref="D32">IF(X32="","",INDEX('Inventory - P01'!$K$16:$K$27,(INT((X32-1)/4)+1))-SUMPRODUCT(($B$10:$B$61=B32)*(($I$10:$I$61&lt;&gt;"")+($K$10:$K$61&lt;&gt;"")+($M$10:$M$61&lt;&gt;"")+($O$10:$O$61&lt;&gt;"")+($Q$10:$Q$61&lt;&gt;"")+($S$10:$S$61&lt;&gt;"")+($U$10:$U$61&lt;&gt;""))))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P01'!$D$16:$D$27,(INT((X32-1)/4)+1)))</f>
        <v/>
      </c>
      <c r="F32" s="7" t="str">
        <f t="array" ref="F32">IF(X32="","",INDEX('Inventory - P01'!$E$16:$E$27,(INT((X32-1)/4)+1)))</f>
        <v/>
      </c>
      <c r="G32" s="7" t="str">
        <f t="array" ref="G32">IF(X32="","",INDEX('Inventory - P01'!$I$16:$I$27,(INT((X32-1)/4)+1)))</f>
        <v/>
      </c>
      <c r="H32" s="7" t="str">
        <f t="array" ref="H32">IF(X32="","",INDEX('Inventory - P01'!$J$16:$J$27,(INT((X32-1)/4)+1)))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P01'!$B$16:$B$27,(INT((X33-1)/4)+1))&amp;IF(INDEX('Inventory - P01'!$C$16:$C$27,(INT((X33-1)/4)+1))="",""," ("&amp;INDEX('Inventory - P01'!$C$16:$C$27,(INT((X33-1)/4)+1))&amp;" mg)"))</f>
        <v/>
      </c>
      <c r="D33" s="7" t="str">
        <f t="array" ref="D33">IF(X33="","",INDEX('Inventory - P01'!$K$16:$K$27,(INT((X33-1)/4)+1))-SUMPRODUCT(($B$10:$B$61=B33)*(($I$10:$I$61&lt;&gt;"")+($K$10:$K$61&lt;&gt;"")+($M$10:$M$61&lt;&gt;"")+($O$10:$O$61&lt;&gt;"")+($Q$10:$Q$61&lt;&gt;"")+($S$10:$S$61&lt;&gt;"")+($U$10:$U$61&lt;&gt;""))))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P01'!$D$16:$D$27,(INT((X33-1)/4)+1)))</f>
        <v/>
      </c>
      <c r="F33" s="7" t="str">
        <f t="array" ref="F33">IF(X33="","",INDEX('Inventory - P01'!$E$16:$E$27,(INT((X33-1)/4)+1)))</f>
        <v/>
      </c>
      <c r="G33" s="7" t="str">
        <f t="array" ref="G33">IF(X33="","",INDEX('Inventory - P01'!$I$16:$I$27,(INT((X33-1)/4)+1)))</f>
        <v/>
      </c>
      <c r="H33" s="7" t="str">
        <f t="array" ref="H33">IF(X33="","",INDEX('Inventory - P01'!$J$16:$J$27,(INT((X33-1)/4)+1)))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P01'!$B$16:$B$27,(INT((X34-1)/4)+1))&amp;IF(INDEX('Inventory - P01'!$C$16:$C$27,(INT((X34-1)/4)+1))="",""," ("&amp;INDEX('Inventory - P01'!$C$16:$C$27,(INT((X34-1)/4)+1))&amp;" mg)"))</f>
        <v/>
      </c>
      <c r="D34" s="7" t="str">
        <f t="array" ref="D34">IF(X34="","",INDEX('Inventory - P01'!$K$16:$K$27,(INT((X34-1)/4)+1))-SUMPRODUCT(($B$10:$B$61=B34)*(($I$10:$I$61&lt;&gt;"")+($K$10:$K$61&lt;&gt;"")+($M$10:$M$61&lt;&gt;"")+($O$10:$O$61&lt;&gt;"")+($Q$10:$Q$61&lt;&gt;"")+($S$10:$S$61&lt;&gt;"")+($U$10:$U$61&lt;&gt;""))))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P01'!$D$16:$D$27,(INT((X34-1)/4)+1)))</f>
        <v/>
      </c>
      <c r="F34" s="7" t="str">
        <f t="array" ref="F34">IF(X34="","",INDEX('Inventory - P01'!$E$16:$E$27,(INT((X34-1)/4)+1)))</f>
        <v/>
      </c>
      <c r="G34" s="7" t="str">
        <f t="array" ref="G34">IF(X34="","",INDEX('Inventory - P01'!$I$16:$I$27,(INT((X34-1)/4)+1)))</f>
        <v/>
      </c>
      <c r="H34" s="7" t="str">
        <f t="array" ref="H34">IF(X34="","",INDEX('Inventory - P01'!$J$16:$J$27,(INT((X34-1)/4)+1)))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P01'!$B$16:$B$27,(INT((X35-1)/4)+1))&amp;IF(INDEX('Inventory - P01'!$C$16:$C$27,(INT((X35-1)/4)+1))="",""," ("&amp;INDEX('Inventory - P01'!$C$16:$C$27,(INT((X35-1)/4)+1))&amp;" mg)"))</f>
        <v/>
      </c>
      <c r="D35" s="7" t="str">
        <f t="array" ref="D35">IF(X35="","",INDEX('Inventory - P01'!$K$16:$K$27,(INT((X35-1)/4)+1))-SUMPRODUCT(($B$10:$B$61=B35)*(($I$10:$I$61&lt;&gt;"")+($K$10:$K$61&lt;&gt;"")+($M$10:$M$61&lt;&gt;"")+($O$10:$O$61&lt;&gt;"")+($Q$10:$Q$61&lt;&gt;"")+($S$10:$S$61&lt;&gt;"")+($U$10:$U$61&lt;&gt;""))))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P01'!$D$16:$D$27,(INT((X35-1)/4)+1)))</f>
        <v/>
      </c>
      <c r="F35" s="7" t="str">
        <f t="array" ref="F35">IF(X35="","",INDEX('Inventory - P01'!$E$16:$E$27,(INT((X35-1)/4)+1)))</f>
        <v/>
      </c>
      <c r="G35" s="7" t="str">
        <f t="array" ref="G35">IF(X35="","",INDEX('Inventory - P01'!$I$16:$I$27,(INT((X35-1)/4)+1)))</f>
        <v/>
      </c>
      <c r="H35" s="7" t="str">
        <f t="array" ref="H35">IF(X35="","",INDEX('Inventory - P01'!$J$16:$J$27,(INT((X35-1)/4)+1)))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P01'!$B$16:$B$27,(INT((X37-1)/4)+1))&amp;IF(INDEX('Inventory - P01'!$C$16:$C$27,(INT((X37-1)/4)+1))="",""," ("&amp;INDEX('Inventory - P01'!$C$16:$C$27,(INT((X37-1)/4)+1))&amp;" mg)"))</f>
        <v/>
      </c>
      <c r="D37" s="7" t="str">
        <f t="array" ref="D37">IF(X37="","",INDEX('Inventory - P01'!$K$16:$K$27,(INT((X37-1)/4)+1))-SUMPRODUCT(($B$10:$B$61=B37)*(($I$10:$I$61&lt;&gt;"")+($K$10:$K$61&lt;&gt;"")+($M$10:$M$61&lt;&gt;"")+($O$10:$O$61&lt;&gt;"")+($Q$10:$Q$61&lt;&gt;"")+($S$10:$S$61&lt;&gt;"")+($U$10:$U$61&lt;&gt;""))))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P01'!$D$16:$D$27,(INT((X37-1)/4)+1)))</f>
        <v/>
      </c>
      <c r="F37" s="7" t="str">
        <f t="array" ref="F37">IF(X37="","",INDEX('Inventory - P01'!$E$16:$E$27,(INT((X37-1)/4)+1)))</f>
        <v/>
      </c>
      <c r="G37" s="7" t="str">
        <f t="array" ref="G37">IF(X37="","",INDEX('Inventory - P01'!$I$16:$I$27,(INT((X37-1)/4)+1)))</f>
        <v/>
      </c>
      <c r="H37" s="7" t="str">
        <f t="array" ref="H37">IF(X37="","",INDEX('Inventory - P01'!$J$16:$J$27,(INT((X37-1)/4)+1)))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P01'!$B$16:$B$27,(INT((X38-1)/4)+1))&amp;IF(INDEX('Inventory - P01'!$C$16:$C$27,(INT((X38-1)/4)+1))="",""," ("&amp;INDEX('Inventory - P01'!$C$16:$C$27,(INT((X38-1)/4)+1))&amp;" mg)"))</f>
        <v/>
      </c>
      <c r="D38" s="7" t="str">
        <f t="array" ref="D38">IF(X38="","",INDEX('Inventory - P01'!$K$16:$K$27,(INT((X38-1)/4)+1))-SUMPRODUCT(($B$10:$B$61=B38)*(($I$10:$I$61&lt;&gt;"")+($K$10:$K$61&lt;&gt;"")+($M$10:$M$61&lt;&gt;"")+($O$10:$O$61&lt;&gt;"")+($Q$10:$Q$61&lt;&gt;"")+($S$10:$S$61&lt;&gt;"")+($U$10:$U$61&lt;&gt;""))))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P01'!$D$16:$D$27,(INT((X38-1)/4)+1)))</f>
        <v/>
      </c>
      <c r="F38" s="7" t="str">
        <f t="array" ref="F38">IF(X38="","",INDEX('Inventory - P01'!$E$16:$E$27,(INT((X38-1)/4)+1)))</f>
        <v/>
      </c>
      <c r="G38" s="7" t="str">
        <f t="array" ref="G38">IF(X38="","",INDEX('Inventory - P01'!$I$16:$I$27,(INT((X38-1)/4)+1)))</f>
        <v/>
      </c>
      <c r="H38" s="7" t="str">
        <f t="array" ref="H38">IF(X38="","",INDEX('Inventory - P01'!$J$16:$J$27,(INT((X38-1)/4)+1)))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P01'!$B$16:$B$27,(INT((X39-1)/4)+1))&amp;IF(INDEX('Inventory - P01'!$C$16:$C$27,(INT((X39-1)/4)+1))="",""," ("&amp;INDEX('Inventory - P01'!$C$16:$C$27,(INT((X39-1)/4)+1))&amp;" mg)"))</f>
        <v/>
      </c>
      <c r="D39" s="7" t="str">
        <f t="array" ref="D39">IF(X39="","",INDEX('Inventory - P01'!$K$16:$K$27,(INT((X39-1)/4)+1))-SUMPRODUCT(($B$10:$B$61=B39)*(($I$10:$I$61&lt;&gt;"")+($K$10:$K$61&lt;&gt;"")+($M$10:$M$61&lt;&gt;"")+($O$10:$O$61&lt;&gt;"")+($Q$10:$Q$61&lt;&gt;"")+($S$10:$S$61&lt;&gt;"")+($U$10:$U$61&lt;&gt;""))))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P01'!$D$16:$D$27,(INT((X39-1)/4)+1)))</f>
        <v/>
      </c>
      <c r="F39" s="7" t="str">
        <f t="array" ref="F39">IF(X39="","",INDEX('Inventory - P01'!$E$16:$E$27,(INT((X39-1)/4)+1)))</f>
        <v/>
      </c>
      <c r="G39" s="7" t="str">
        <f t="array" ref="G39">IF(X39="","",INDEX('Inventory - P01'!$I$16:$I$27,(INT((X39-1)/4)+1)))</f>
        <v/>
      </c>
      <c r="H39" s="7" t="str">
        <f t="array" ref="H39">IF(X39="","",INDEX('Inventory - P01'!$J$16:$J$27,(INT((X39-1)/4)+1)))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P01'!$B$16:$B$27,(INT((X40-1)/4)+1))&amp;IF(INDEX('Inventory - P01'!$C$16:$C$27,(INT((X40-1)/4)+1))="",""," ("&amp;INDEX('Inventory - P01'!$C$16:$C$27,(INT((X40-1)/4)+1))&amp;" mg)"))</f>
        <v/>
      </c>
      <c r="D40" s="7" t="str">
        <f t="array" ref="D40">IF(X40="","",INDEX('Inventory - P01'!$K$16:$K$27,(INT((X40-1)/4)+1))-SUMPRODUCT(($B$10:$B$61=B40)*(($I$10:$I$61&lt;&gt;"")+($K$10:$K$61&lt;&gt;"")+($M$10:$M$61&lt;&gt;"")+($O$10:$O$61&lt;&gt;"")+($Q$10:$Q$61&lt;&gt;"")+($S$10:$S$61&lt;&gt;"")+($U$10:$U$61&lt;&gt;""))))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P01'!$D$16:$D$27,(INT((X40-1)/4)+1)))</f>
        <v/>
      </c>
      <c r="F40" s="7" t="str">
        <f t="array" ref="F40">IF(X40="","",INDEX('Inventory - P01'!$E$16:$E$27,(INT((X40-1)/4)+1)))</f>
        <v/>
      </c>
      <c r="G40" s="7" t="str">
        <f t="array" ref="G40">IF(X40="","",INDEX('Inventory - P01'!$I$16:$I$27,(INT((X40-1)/4)+1)))</f>
        <v/>
      </c>
      <c r="H40" s="7" t="str">
        <f t="array" ref="H40">IF(X40="","",INDEX('Inventory - P01'!$J$16:$J$27,(INT((X40-1)/4)+1)))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P01'!$B$16:$B$27,(INT((X41-1)/4)+1))&amp;IF(INDEX('Inventory - P01'!$C$16:$C$27,(INT((X41-1)/4)+1))="",""," ("&amp;INDEX('Inventory - P01'!$C$16:$C$27,(INT((X41-1)/4)+1))&amp;" mg)"))</f>
        <v/>
      </c>
      <c r="D41" s="7" t="str">
        <f t="array" ref="D41">IF(X41="","",INDEX('Inventory - P01'!$K$16:$K$27,(INT((X41-1)/4)+1))-SUMPRODUCT(($B$10:$B$61=B41)*(($I$10:$I$61&lt;&gt;"")+($K$10:$K$61&lt;&gt;"")+($M$10:$M$61&lt;&gt;"")+($O$10:$O$61&lt;&gt;"")+($Q$10:$Q$61&lt;&gt;"")+($S$10:$S$61&lt;&gt;"")+($U$10:$U$61&lt;&gt;""))))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P01'!$D$16:$D$27,(INT((X41-1)/4)+1)))</f>
        <v/>
      </c>
      <c r="F41" s="7" t="str">
        <f t="array" ref="F41">IF(X41="","",INDEX('Inventory - P01'!$E$16:$E$27,(INT((X41-1)/4)+1)))</f>
        <v/>
      </c>
      <c r="G41" s="7" t="str">
        <f t="array" ref="G41">IF(X41="","",INDEX('Inventory - P01'!$I$16:$I$27,(INT((X41-1)/4)+1)))</f>
        <v/>
      </c>
      <c r="H41" s="7" t="str">
        <f t="array" ref="H41">IF(X41="","",INDEX('Inventory - P01'!$J$16:$J$27,(INT((X41-1)/4)+1)))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P01'!$B$16:$B$27,(INT((X42-1)/4)+1))&amp;IF(INDEX('Inventory - P01'!$C$16:$C$27,(INT((X42-1)/4)+1))="",""," ("&amp;INDEX('Inventory - P01'!$C$16:$C$27,(INT((X42-1)/4)+1))&amp;" mg)"))</f>
        <v/>
      </c>
      <c r="D42" s="7" t="str">
        <f t="array" ref="D42">IF(X42="","",INDEX('Inventory - P01'!$K$16:$K$27,(INT((X42-1)/4)+1))-SUMPRODUCT(($B$10:$B$61=B42)*(($I$10:$I$61&lt;&gt;"")+($K$10:$K$61&lt;&gt;"")+($M$10:$M$61&lt;&gt;"")+($O$10:$O$61&lt;&gt;"")+($Q$10:$Q$61&lt;&gt;"")+($S$10:$S$61&lt;&gt;"")+($U$10:$U$61&lt;&gt;""))))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P01'!$D$16:$D$27,(INT((X42-1)/4)+1)))</f>
        <v/>
      </c>
      <c r="F42" s="7" t="str">
        <f t="array" ref="F42">IF(X42="","",INDEX('Inventory - P01'!$E$16:$E$27,(INT((X42-1)/4)+1)))</f>
        <v/>
      </c>
      <c r="G42" s="7" t="str">
        <f t="array" ref="G42">IF(X42="","",INDEX('Inventory - P01'!$I$16:$I$27,(INT((X42-1)/4)+1)))</f>
        <v/>
      </c>
      <c r="H42" s="7" t="str">
        <f t="array" ref="H42">IF(X42="","",INDEX('Inventory - P01'!$J$16:$J$27,(INT((X42-1)/4)+1)))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P01'!$B$16:$B$27,(INT((X43-1)/4)+1))&amp;IF(INDEX('Inventory - P01'!$C$16:$C$27,(INT((X43-1)/4)+1))="",""," ("&amp;INDEX('Inventory - P01'!$C$16:$C$27,(INT((X43-1)/4)+1))&amp;" mg)"))</f>
        <v/>
      </c>
      <c r="D43" s="7" t="str">
        <f t="array" ref="D43">IF(X43="","",INDEX('Inventory - P01'!$K$16:$K$27,(INT((X43-1)/4)+1))-SUMPRODUCT(($B$10:$B$61=B43)*(($I$10:$I$61&lt;&gt;"")+($K$10:$K$61&lt;&gt;"")+($M$10:$M$61&lt;&gt;"")+($O$10:$O$61&lt;&gt;"")+($Q$10:$Q$61&lt;&gt;"")+($S$10:$S$61&lt;&gt;"")+($U$10:$U$61&lt;&gt;""))))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P01'!$D$16:$D$27,(INT((X43-1)/4)+1)))</f>
        <v/>
      </c>
      <c r="F43" s="7" t="str">
        <f t="array" ref="F43">IF(X43="","",INDEX('Inventory - P01'!$E$16:$E$27,(INT((X43-1)/4)+1)))</f>
        <v/>
      </c>
      <c r="G43" s="7" t="str">
        <f t="array" ref="G43">IF(X43="","",INDEX('Inventory - P01'!$I$16:$I$27,(INT((X43-1)/4)+1)))</f>
        <v/>
      </c>
      <c r="H43" s="7" t="str">
        <f t="array" ref="H43">IF(X43="","",INDEX('Inventory - P01'!$J$16:$J$27,(INT((X43-1)/4)+1)))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P01'!$B$16:$B$27,(INT((X44-1)/4)+1))&amp;IF(INDEX('Inventory - P01'!$C$16:$C$27,(INT((X44-1)/4)+1))="",""," ("&amp;INDEX('Inventory - P01'!$C$16:$C$27,(INT((X44-1)/4)+1))&amp;" mg)"))</f>
        <v/>
      </c>
      <c r="D44" s="7" t="str">
        <f t="array" ref="D44">IF(X44="","",INDEX('Inventory - P01'!$K$16:$K$27,(INT((X44-1)/4)+1))-SUMPRODUCT(($B$10:$B$61=B44)*(($I$10:$I$61&lt;&gt;"")+($K$10:$K$61&lt;&gt;"")+($M$10:$M$61&lt;&gt;"")+($O$10:$O$61&lt;&gt;"")+($Q$10:$Q$61&lt;&gt;"")+($S$10:$S$61&lt;&gt;"")+($U$10:$U$61&lt;&gt;""))))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P01'!$D$16:$D$27,(INT((X44-1)/4)+1)))</f>
        <v/>
      </c>
      <c r="F44" s="7" t="str">
        <f t="array" ref="F44">IF(X44="","",INDEX('Inventory - P01'!$E$16:$E$27,(INT((X44-1)/4)+1)))</f>
        <v/>
      </c>
      <c r="G44" s="7" t="str">
        <f t="array" ref="G44">IF(X44="","",INDEX('Inventory - P01'!$I$16:$I$27,(INT((X44-1)/4)+1)))</f>
        <v/>
      </c>
      <c r="H44" s="7" t="str">
        <f t="array" ref="H44">IF(X44="","",INDEX('Inventory - P01'!$J$16:$J$27,(INT((X44-1)/4)+1)))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P01'!$B$16:$B$27,(INT((X45-1)/4)+1))&amp;IF(INDEX('Inventory - P01'!$C$16:$C$27,(INT((X45-1)/4)+1))="",""," ("&amp;INDEX('Inventory - P01'!$C$16:$C$27,(INT((X45-1)/4)+1))&amp;" mg)"))</f>
        <v/>
      </c>
      <c r="D45" s="7" t="str">
        <f t="array" ref="D45">IF(X45="","",INDEX('Inventory - P01'!$K$16:$K$27,(INT((X45-1)/4)+1))-SUMPRODUCT(($B$10:$B$61=B45)*(($I$10:$I$61&lt;&gt;"")+($K$10:$K$61&lt;&gt;"")+($M$10:$M$61&lt;&gt;"")+($O$10:$O$61&lt;&gt;"")+($Q$10:$Q$61&lt;&gt;"")+($S$10:$S$61&lt;&gt;"")+($U$10:$U$61&lt;&gt;""))))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P01'!$D$16:$D$27,(INT((X45-1)/4)+1)))</f>
        <v/>
      </c>
      <c r="F45" s="7" t="str">
        <f t="array" ref="F45">IF(X45="","",INDEX('Inventory - P01'!$E$16:$E$27,(INT((X45-1)/4)+1)))</f>
        <v/>
      </c>
      <c r="G45" s="7" t="str">
        <f t="array" ref="G45">IF(X45="","",INDEX('Inventory - P01'!$I$16:$I$27,(INT((X45-1)/4)+1)))</f>
        <v/>
      </c>
      <c r="H45" s="7" t="str">
        <f t="array" ref="H45">IF(X45="","",INDEX('Inventory - P01'!$J$16:$J$27,(INT((X45-1)/4)+1)))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P01'!$B$16:$B$27,(INT((X46-1)/4)+1))&amp;IF(INDEX('Inventory - P01'!$C$16:$C$27,(INT((X46-1)/4)+1))="",""," ("&amp;INDEX('Inventory - P01'!$C$16:$C$27,(INT((X46-1)/4)+1))&amp;" mg)"))</f>
        <v/>
      </c>
      <c r="D46" s="7" t="str">
        <f t="array" ref="D46">IF(X46="","",INDEX('Inventory - P01'!$K$16:$K$27,(INT((X46-1)/4)+1))-SUMPRODUCT(($B$10:$B$61=B46)*(($I$10:$I$61&lt;&gt;"")+($K$10:$K$61&lt;&gt;"")+($M$10:$M$61&lt;&gt;"")+($O$10:$O$61&lt;&gt;"")+($Q$10:$Q$61&lt;&gt;"")+($S$10:$S$61&lt;&gt;"")+($U$10:$U$61&lt;&gt;""))))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P01'!$D$16:$D$27,(INT((X46-1)/4)+1)))</f>
        <v/>
      </c>
      <c r="F46" s="7" t="str">
        <f t="array" ref="F46">IF(X46="","",INDEX('Inventory - P01'!$E$16:$E$27,(INT((X46-1)/4)+1)))</f>
        <v/>
      </c>
      <c r="G46" s="7" t="str">
        <f t="array" ref="G46">IF(X46="","",INDEX('Inventory - P01'!$I$16:$I$27,(INT((X46-1)/4)+1)))</f>
        <v/>
      </c>
      <c r="H46" s="7" t="str">
        <f t="array" ref="H46">IF(X46="","",INDEX('Inventory - P01'!$J$16:$J$27,(INT((X46-1)/4)+1)))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P01'!$B$16:$B$27,(INT((X47-1)/4)+1))&amp;IF(INDEX('Inventory - P01'!$C$16:$C$27,(INT((X47-1)/4)+1))="",""," ("&amp;INDEX('Inventory - P01'!$C$16:$C$27,(INT((X47-1)/4)+1))&amp;" mg)"))</f>
        <v/>
      </c>
      <c r="D47" s="7" t="str">
        <f t="array" ref="D47">IF(X47="","",INDEX('Inventory - P01'!$K$16:$K$27,(INT((X47-1)/4)+1))-SUMPRODUCT(($B$10:$B$61=B47)*(($I$10:$I$61&lt;&gt;"")+($K$10:$K$61&lt;&gt;"")+($M$10:$M$61&lt;&gt;"")+($O$10:$O$61&lt;&gt;"")+($Q$10:$Q$61&lt;&gt;"")+($S$10:$S$61&lt;&gt;"")+($U$10:$U$61&lt;&gt;""))))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P01'!$D$16:$D$27,(INT((X47-1)/4)+1)))</f>
        <v/>
      </c>
      <c r="F47" s="7" t="str">
        <f t="array" ref="F47">IF(X47="","",INDEX('Inventory - P01'!$E$16:$E$27,(INT((X47-1)/4)+1)))</f>
        <v/>
      </c>
      <c r="G47" s="7" t="str">
        <f t="array" ref="G47">IF(X47="","",INDEX('Inventory - P01'!$I$16:$I$27,(INT((X47-1)/4)+1)))</f>
        <v/>
      </c>
      <c r="H47" s="7" t="str">
        <f t="array" ref="H47">IF(X47="","",INDEX('Inventory - P01'!$J$16:$J$27,(INT((X47-1)/4)+1)))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P01'!$B$16:$B$27,(INT((X48-1)/4)+1))&amp;IF(INDEX('Inventory - P01'!$C$16:$C$27,(INT((X48-1)/4)+1))="",""," ("&amp;INDEX('Inventory - P01'!$C$16:$C$27,(INT((X48-1)/4)+1))&amp;" mg)"))</f>
        <v/>
      </c>
      <c r="D48" s="7" t="str">
        <f t="array" ref="D48">IF(X48="","",INDEX('Inventory - P01'!$K$16:$K$27,(INT((X48-1)/4)+1))-SUMPRODUCT(($B$10:$B$61=B48)*(($I$10:$I$61&lt;&gt;"")+($K$10:$K$61&lt;&gt;"")+($M$10:$M$61&lt;&gt;"")+($O$10:$O$61&lt;&gt;"")+($Q$10:$Q$61&lt;&gt;"")+($S$10:$S$61&lt;&gt;"")+($U$10:$U$61&lt;&gt;""))))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P01'!$D$16:$D$27,(INT((X48-1)/4)+1)))</f>
        <v/>
      </c>
      <c r="F48" s="7" t="str">
        <f t="array" ref="F48">IF(X48="","",INDEX('Inventory - P01'!$E$16:$E$27,(INT((X48-1)/4)+1)))</f>
        <v/>
      </c>
      <c r="G48" s="7" t="str">
        <f t="array" ref="G48">IF(X48="","",INDEX('Inventory - P01'!$I$16:$I$27,(INT((X48-1)/4)+1)))</f>
        <v/>
      </c>
      <c r="H48" s="7" t="str">
        <f t="array" ref="H48">IF(X48="","",INDEX('Inventory - P01'!$J$16:$J$27,(INT((X48-1)/4)+1)))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>8:00 PM</v>
      </c>
      <c r="B50" s="7">
        <f t="shared" ref="B50:B61" si="10">IF(X50="","",(INT((X50-1)/4)+1))</f>
        <v>1</v>
      </c>
      <c r="C50" s="14" t="str">
        <f t="array" ref="C50">IF(X50="","",INDEX('Inventory - P01'!$B$16:$B$27,(INT((X50-1)/4)+1))&amp;IF(INDEX('Inventory - P01'!$C$16:$C$27,(INT((X50-1)/4)+1))="",""," ("&amp;INDEX('Inventory - P01'!$C$16:$C$27,(INT((X50-1)/4)+1))&amp;" mg)"))</f>
        <v>Sertraline (Zoloft)</v>
      </c>
      <c r="D50" s="7">
        <f t="array" ref="D50">IF(X50="","",INDEX('Inventory - P01'!$K$16:$K$27,(INT((X50-1)/4)+1))-SUMPRODUCT(($B$10:$B$61=B50)*(($I$10:$I$61&lt;&gt;"")+($K$10:$K$61&lt;&gt;"")+($M$10:$M$61&lt;&gt;"")+($O$10:$O$61&lt;&gt;"")+($Q$10:$Q$61&lt;&gt;"")+($S$10:$S$61&lt;&gt;"")+($U$10:$U$61&lt;&gt;""))))</f>
        <v>30</v>
      </c>
      <c r="E50" s="7" t="str">
        <f t="array" ref="E50">IF(X50="","",INDEX('Inventory - P01'!$D$16:$D$27,(INT((X50-1)/4)+1)))</f>
        <v>PO</v>
      </c>
      <c r="F50" s="7">
        <f t="array" ref="F50">IF(X50="","",INDEX('Inventory - P01'!$E$16:$E$27,(INT((X50-1)/4)+1)))</f>
        <v>4</v>
      </c>
      <c r="G50" s="7" t="str">
        <f t="array" ref="G50">IF(X50="","",INDEX('Inventory - P01'!$I$16:$I$27,(INT((X50-1)/4)+1)))</f>
        <v>Y</v>
      </c>
      <c r="H50" s="7" t="str">
        <f t="array" ref="H50">IF(X50="","",INDEX('Inventory - P01'!$J$16:$J$27,(INT((X50-1)/4)+1)))</f>
        <v>Physical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0.83333333633333329</v>
      </c>
      <c r="X50" s="2">
        <f t="shared" ref="X50:X61" si="11">IF(W50&lt;9,MATCH(W50,$AC$67:$AC$114,0),"")</f>
        <v>4</v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P01'!$B$16:$B$27,(INT((X51-1)/4)+1))&amp;IF(INDEX('Inventory - P01'!$C$16:$C$27,(INT((X51-1)/4)+1))="",""," ("&amp;INDEX('Inventory - P01'!$C$16:$C$27,(INT((X51-1)/4)+1))&amp;" mg)"))</f>
        <v/>
      </c>
      <c r="D51" s="7" t="str">
        <f t="array" ref="D51">IF(X51="","",INDEX('Inventory - P01'!$K$16:$K$27,(INT((X51-1)/4)+1))-SUMPRODUCT(($B$10:$B$61=B51)*(($I$10:$I$61&lt;&gt;"")+($K$10:$K$61&lt;&gt;"")+($M$10:$M$61&lt;&gt;"")+($O$10:$O$61&lt;&gt;"")+($Q$10:$Q$61&lt;&gt;"")+($S$10:$S$61&lt;&gt;"")+($U$10:$U$61&lt;&gt;""))))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P01'!$D$16:$D$27,(INT((X51-1)/4)+1)))</f>
        <v/>
      </c>
      <c r="F51" s="7" t="str">
        <f t="array" ref="F51">IF(X51="","",INDEX('Inventory - P01'!$E$16:$E$27,(INT((X51-1)/4)+1)))</f>
        <v/>
      </c>
      <c r="G51" s="7" t="str">
        <f t="array" ref="G51">IF(X51="","",INDEX('Inventory - P01'!$I$16:$I$27,(INT((X51-1)/4)+1)))</f>
        <v/>
      </c>
      <c r="H51" s="7" t="str">
        <f t="array" ref="H51">IF(X51="","",INDEX('Inventory - P01'!$J$16:$J$27,(INT((X51-1)/4)+1)))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P01'!$B$16:$B$27,(INT((X52-1)/4)+1))&amp;IF(INDEX('Inventory - P01'!$C$16:$C$27,(INT((X52-1)/4)+1))="",""," ("&amp;INDEX('Inventory - P01'!$C$16:$C$27,(INT((X52-1)/4)+1))&amp;" mg)"))</f>
        <v/>
      </c>
      <c r="D52" s="7" t="str">
        <f t="array" ref="D52">IF(X52="","",INDEX('Inventory - P01'!$K$16:$K$27,(INT((X52-1)/4)+1))-SUMPRODUCT(($B$10:$B$61=B52)*(($I$10:$I$61&lt;&gt;"")+($K$10:$K$61&lt;&gt;"")+($M$10:$M$61&lt;&gt;"")+($O$10:$O$61&lt;&gt;"")+($Q$10:$Q$61&lt;&gt;"")+($S$10:$S$61&lt;&gt;"")+($U$10:$U$61&lt;&gt;""))))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P01'!$D$16:$D$27,(INT((X52-1)/4)+1)))</f>
        <v/>
      </c>
      <c r="F52" s="7" t="str">
        <f t="array" ref="F52">IF(X52="","",INDEX('Inventory - P01'!$E$16:$E$27,(INT((X52-1)/4)+1)))</f>
        <v/>
      </c>
      <c r="G52" s="7" t="str">
        <f t="array" ref="G52">IF(X52="","",INDEX('Inventory - P01'!$I$16:$I$27,(INT((X52-1)/4)+1)))</f>
        <v/>
      </c>
      <c r="H52" s="7" t="str">
        <f t="array" ref="H52">IF(X52="","",INDEX('Inventory - P01'!$J$16:$J$27,(INT((X52-1)/4)+1)))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P01'!$B$16:$B$27,(INT((X53-1)/4)+1))&amp;IF(INDEX('Inventory - P01'!$C$16:$C$27,(INT((X53-1)/4)+1))="",""," ("&amp;INDEX('Inventory - P01'!$C$16:$C$27,(INT((X53-1)/4)+1))&amp;" mg)"))</f>
        <v/>
      </c>
      <c r="D53" s="7" t="str">
        <f t="array" ref="D53">IF(X53="","",INDEX('Inventory - P01'!$K$16:$K$27,(INT((X53-1)/4)+1))-SUMPRODUCT(($B$10:$B$61=B53)*(($I$10:$I$61&lt;&gt;"")+($K$10:$K$61&lt;&gt;"")+($M$10:$M$61&lt;&gt;"")+($O$10:$O$61&lt;&gt;"")+($Q$10:$Q$61&lt;&gt;"")+($S$10:$S$61&lt;&gt;"")+($U$10:$U$61&lt;&gt;""))))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P01'!$D$16:$D$27,(INT((X53-1)/4)+1)))</f>
        <v/>
      </c>
      <c r="F53" s="7" t="str">
        <f t="array" ref="F53">IF(X53="","",INDEX('Inventory - P01'!$E$16:$E$27,(INT((X53-1)/4)+1)))</f>
        <v/>
      </c>
      <c r="G53" s="7" t="str">
        <f t="array" ref="G53">IF(X53="","",INDEX('Inventory - P01'!$I$16:$I$27,(INT((X53-1)/4)+1)))</f>
        <v/>
      </c>
      <c r="H53" s="7" t="str">
        <f t="array" ref="H53">IF(X53="","",INDEX('Inventory - P01'!$J$16:$J$27,(INT((X53-1)/4)+1)))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P01'!$B$16:$B$27,(INT((X54-1)/4)+1))&amp;IF(INDEX('Inventory - P01'!$C$16:$C$27,(INT((X54-1)/4)+1))="",""," ("&amp;INDEX('Inventory - P01'!$C$16:$C$27,(INT((X54-1)/4)+1))&amp;" mg)"))</f>
        <v/>
      </c>
      <c r="D54" s="7" t="str">
        <f t="array" ref="D54">IF(X54="","",INDEX('Inventory - P01'!$K$16:$K$27,(INT((X54-1)/4)+1))-SUMPRODUCT(($B$10:$B$61=B54)*(($I$10:$I$61&lt;&gt;"")+($K$10:$K$61&lt;&gt;"")+($M$10:$M$61&lt;&gt;"")+($O$10:$O$61&lt;&gt;"")+($Q$10:$Q$61&lt;&gt;"")+($S$10:$S$61&lt;&gt;"")+($U$10:$U$61&lt;&gt;""))))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P01'!$D$16:$D$27,(INT((X54-1)/4)+1)))</f>
        <v/>
      </c>
      <c r="F54" s="7" t="str">
        <f t="array" ref="F54">IF(X54="","",INDEX('Inventory - P01'!$E$16:$E$27,(INT((X54-1)/4)+1)))</f>
        <v/>
      </c>
      <c r="G54" s="7" t="str">
        <f t="array" ref="G54">IF(X54="","",INDEX('Inventory - P01'!$I$16:$I$27,(INT((X54-1)/4)+1)))</f>
        <v/>
      </c>
      <c r="H54" s="7" t="str">
        <f t="array" ref="H54">IF(X54="","",INDEX('Inventory - P01'!$J$16:$J$27,(INT((X54-1)/4)+1)))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P01'!$B$16:$B$27,(INT((X55-1)/4)+1))&amp;IF(INDEX('Inventory - P01'!$C$16:$C$27,(INT((X55-1)/4)+1))="",""," ("&amp;INDEX('Inventory - P01'!$C$16:$C$27,(INT((X55-1)/4)+1))&amp;" mg)"))</f>
        <v/>
      </c>
      <c r="D55" s="7" t="str">
        <f t="array" ref="D55">IF(X55="","",INDEX('Inventory - P01'!$K$16:$K$27,(INT((X55-1)/4)+1))-SUMPRODUCT(($B$10:$B$61=B55)*(($I$10:$I$61&lt;&gt;"")+($K$10:$K$61&lt;&gt;"")+($M$10:$M$61&lt;&gt;"")+($O$10:$O$61&lt;&gt;"")+($Q$10:$Q$61&lt;&gt;"")+($S$10:$S$61&lt;&gt;"")+($U$10:$U$61&lt;&gt;""))))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P01'!$D$16:$D$27,(INT((X55-1)/4)+1)))</f>
        <v/>
      </c>
      <c r="F55" s="7" t="str">
        <f t="array" ref="F55">IF(X55="","",INDEX('Inventory - P01'!$E$16:$E$27,(INT((X55-1)/4)+1)))</f>
        <v/>
      </c>
      <c r="G55" s="7" t="str">
        <f t="array" ref="G55">IF(X55="","",INDEX('Inventory - P01'!$I$16:$I$27,(INT((X55-1)/4)+1)))</f>
        <v/>
      </c>
      <c r="H55" s="7" t="str">
        <f t="array" ref="H55">IF(X55="","",INDEX('Inventory - P01'!$J$16:$J$27,(INT((X55-1)/4)+1)))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P01'!$B$16:$B$27,(INT((X56-1)/4)+1))&amp;IF(INDEX('Inventory - P01'!$C$16:$C$27,(INT((X56-1)/4)+1))="",""," ("&amp;INDEX('Inventory - P01'!$C$16:$C$27,(INT((X56-1)/4)+1))&amp;" mg)"))</f>
        <v/>
      </c>
      <c r="D56" s="7" t="str">
        <f t="array" ref="D56">IF(X56="","",INDEX('Inventory - P01'!$K$16:$K$27,(INT((X56-1)/4)+1))-SUMPRODUCT(($B$10:$B$61=B56)*(($I$10:$I$61&lt;&gt;"")+($K$10:$K$61&lt;&gt;"")+($M$10:$M$61&lt;&gt;"")+($O$10:$O$61&lt;&gt;"")+($Q$10:$Q$61&lt;&gt;"")+($S$10:$S$61&lt;&gt;"")+($U$10:$U$61&lt;&gt;""))))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P01'!$D$16:$D$27,(INT((X56-1)/4)+1)))</f>
        <v/>
      </c>
      <c r="F56" s="7" t="str">
        <f t="array" ref="F56">IF(X56="","",INDEX('Inventory - P01'!$E$16:$E$27,(INT((X56-1)/4)+1)))</f>
        <v/>
      </c>
      <c r="G56" s="7" t="str">
        <f t="array" ref="G56">IF(X56="","",INDEX('Inventory - P01'!$I$16:$I$27,(INT((X56-1)/4)+1)))</f>
        <v/>
      </c>
      <c r="H56" s="7" t="str">
        <f t="array" ref="H56">IF(X56="","",INDEX('Inventory - P01'!$J$16:$J$27,(INT((X56-1)/4)+1)))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P01'!$B$16:$B$27,(INT((X57-1)/4)+1))&amp;IF(INDEX('Inventory - P01'!$C$16:$C$27,(INT((X57-1)/4)+1))="",""," ("&amp;INDEX('Inventory - P01'!$C$16:$C$27,(INT((X57-1)/4)+1))&amp;" mg)"))</f>
        <v/>
      </c>
      <c r="D57" s="7" t="str">
        <f t="array" ref="D57">IF(X57="","",INDEX('Inventory - P01'!$K$16:$K$27,(INT((X57-1)/4)+1))-SUMPRODUCT(($B$10:$B$61=B57)*(($I$10:$I$61&lt;&gt;"")+($K$10:$K$61&lt;&gt;"")+($M$10:$M$61&lt;&gt;"")+($O$10:$O$61&lt;&gt;"")+($Q$10:$Q$61&lt;&gt;"")+($S$10:$S$61&lt;&gt;"")+($U$10:$U$61&lt;&gt;""))))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P01'!$D$16:$D$27,(INT((X57-1)/4)+1)))</f>
        <v/>
      </c>
      <c r="F57" s="7" t="str">
        <f t="array" ref="F57">IF(X57="","",INDEX('Inventory - P01'!$E$16:$E$27,(INT((X57-1)/4)+1)))</f>
        <v/>
      </c>
      <c r="G57" s="7" t="str">
        <f t="array" ref="G57">IF(X57="","",INDEX('Inventory - P01'!$I$16:$I$27,(INT((X57-1)/4)+1)))</f>
        <v/>
      </c>
      <c r="H57" s="7" t="str">
        <f t="array" ref="H57">IF(X57="","",INDEX('Inventory - P01'!$J$16:$J$27,(INT((X57-1)/4)+1)))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P01'!$B$16:$B$27,(INT((X58-1)/4)+1))&amp;IF(INDEX('Inventory - P01'!$C$16:$C$27,(INT((X58-1)/4)+1))="",""," ("&amp;INDEX('Inventory - P01'!$C$16:$C$27,(INT((X58-1)/4)+1))&amp;" mg)"))</f>
        <v/>
      </c>
      <c r="D58" s="7" t="str">
        <f t="array" ref="D58">IF(X58="","",INDEX('Inventory - P01'!$K$16:$K$27,(INT((X58-1)/4)+1))-SUMPRODUCT(($B$10:$B$61=B58)*(($I$10:$I$61&lt;&gt;"")+($K$10:$K$61&lt;&gt;"")+($M$10:$M$61&lt;&gt;"")+($O$10:$O$61&lt;&gt;"")+($Q$10:$Q$61&lt;&gt;"")+($S$10:$S$61&lt;&gt;"")+($U$10:$U$61&lt;&gt;""))))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P01'!$D$16:$D$27,(INT((X58-1)/4)+1)))</f>
        <v/>
      </c>
      <c r="F58" s="7" t="str">
        <f t="array" ref="F58">IF(X58="","",INDEX('Inventory - P01'!$E$16:$E$27,(INT((X58-1)/4)+1)))</f>
        <v/>
      </c>
      <c r="G58" s="7" t="str">
        <f t="array" ref="G58">IF(X58="","",INDEX('Inventory - P01'!$I$16:$I$27,(INT((X58-1)/4)+1)))</f>
        <v/>
      </c>
      <c r="H58" s="7" t="str">
        <f t="array" ref="H58">IF(X58="","",INDEX('Inventory - P01'!$J$16:$J$27,(INT((X58-1)/4)+1)))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P01'!$B$16:$B$27,(INT((X59-1)/4)+1))&amp;IF(INDEX('Inventory - P01'!$C$16:$C$27,(INT((X59-1)/4)+1))="",""," ("&amp;INDEX('Inventory - P01'!$C$16:$C$27,(INT((X59-1)/4)+1))&amp;" mg)"))</f>
        <v/>
      </c>
      <c r="D59" s="7" t="str">
        <f t="array" ref="D59">IF(X59="","",INDEX('Inventory - P01'!$K$16:$K$27,(INT((X59-1)/4)+1))-SUMPRODUCT(($B$10:$B$61=B59)*(($I$10:$I$61&lt;&gt;"")+($K$10:$K$61&lt;&gt;"")+($M$10:$M$61&lt;&gt;"")+($O$10:$O$61&lt;&gt;"")+($Q$10:$Q$61&lt;&gt;"")+($S$10:$S$61&lt;&gt;"")+($U$10:$U$61&lt;&gt;""))))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P01'!$D$16:$D$27,(INT((X59-1)/4)+1)))</f>
        <v/>
      </c>
      <c r="F59" s="7" t="str">
        <f t="array" ref="F59">IF(X59="","",INDEX('Inventory - P01'!$E$16:$E$27,(INT((X59-1)/4)+1)))</f>
        <v/>
      </c>
      <c r="G59" s="7" t="str">
        <f t="array" ref="G59">IF(X59="","",INDEX('Inventory - P01'!$I$16:$I$27,(INT((X59-1)/4)+1)))</f>
        <v/>
      </c>
      <c r="H59" s="7" t="str">
        <f t="array" ref="H59">IF(X59="","",INDEX('Inventory - P01'!$J$16:$J$27,(INT((X59-1)/4)+1)))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P01'!$B$16:$B$27,(INT((X60-1)/4)+1))&amp;IF(INDEX('Inventory - P01'!$C$16:$C$27,(INT((X60-1)/4)+1))="",""," ("&amp;INDEX('Inventory - P01'!$C$16:$C$27,(INT((X60-1)/4)+1))&amp;" mg)"))</f>
        <v/>
      </c>
      <c r="D60" s="7" t="str">
        <f t="array" ref="D60">IF(X60="","",INDEX('Inventory - P01'!$K$16:$K$27,(INT((X60-1)/4)+1))-SUMPRODUCT(($B$10:$B$61=B60)*(($I$10:$I$61&lt;&gt;"")+($K$10:$K$61&lt;&gt;"")+($M$10:$M$61&lt;&gt;"")+($O$10:$O$61&lt;&gt;"")+($Q$10:$Q$61&lt;&gt;"")+($S$10:$S$61&lt;&gt;"")+($U$10:$U$61&lt;&gt;""))))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P01'!$D$16:$D$27,(INT((X60-1)/4)+1)))</f>
        <v/>
      </c>
      <c r="F60" s="7" t="str">
        <f t="array" ref="F60">IF(X60="","",INDEX('Inventory - P01'!$E$16:$E$27,(INT((X60-1)/4)+1)))</f>
        <v/>
      </c>
      <c r="G60" s="7" t="str">
        <f t="array" ref="G60">IF(X60="","",INDEX('Inventory - P01'!$I$16:$I$27,(INT((X60-1)/4)+1)))</f>
        <v/>
      </c>
      <c r="H60" s="7" t="str">
        <f t="array" ref="H60">IF(X60="","",INDEX('Inventory - P01'!$J$16:$J$27,(INT((X60-1)/4)+1)))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P01'!$B$16:$B$27,(INT((X61-1)/4)+1))&amp;IF(INDEX('Inventory - P01'!$C$16:$C$27,(INT((X61-1)/4)+1))="",""," ("&amp;INDEX('Inventory - P01'!$C$16:$C$27,(INT((X61-1)/4)+1))&amp;" mg)"))</f>
        <v/>
      </c>
      <c r="D61" s="7" t="str">
        <f t="array" ref="D61">IF(X61="","",INDEX('Inventory - P01'!$K$16:$K$27,(INT((X61-1)/4)+1))-SUMPRODUCT(($B$10:$B$61=B61)*(($I$10:$I$61&lt;&gt;"")+($K$10:$K$61&lt;&gt;"")+($M$10:$M$61&lt;&gt;"")+($O$10:$O$61&lt;&gt;"")+($Q$10:$Q$61&lt;&gt;"")+($S$10:$S$61&lt;&gt;"")+($U$10:$U$61&lt;&gt;""))))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P01'!$D$16:$D$27,(INT((X61-1)/4)+1)))</f>
        <v/>
      </c>
      <c r="F61" s="7" t="str">
        <f t="array" ref="F61">IF(X61="","",INDEX('Inventory - P01'!$E$16:$E$27,(INT((X61-1)/4)+1)))</f>
        <v/>
      </c>
      <c r="G61" s="7" t="str">
        <f t="array" ref="G61">IF(X61="","",INDEX('Inventory - P01'!$I$16:$I$27,(INT((X61-1)/4)+1)))</f>
        <v/>
      </c>
      <c r="H61" s="7" t="str">
        <f t="array" ref="H61">IF(X61="","",INDEX('Inventory - P01'!$J$16:$J$27,(INT((X61-1)/4)+1)))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53">
        <f>IF(OR('Inventory - P01'!E16&lt;1,'Inventory - P01'!F16="",'Inventory - P01'!G16=""),9,MOD('Inventory - P01'!F16+0*'Inventory - P01'!G16/24,1))</f>
        <v>0.33333333333333331</v>
      </c>
      <c r="Z67" s="53">
        <f>IF(Y67=9,9,IF(AND(Y67&gt;=6/24,Y67&lt;12/24),Y67+0*0.000000001,9))</f>
        <v>0.33333333333333331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53">
        <f>IF(OR('Inventory - P01'!E16&lt;2,'Inventory - P01'!F16="",'Inventory - P01'!G16=""),9,MOD('Inventory - P01'!F16+1*'Inventory - P01'!G16/24,1))</f>
        <v>0.5</v>
      </c>
      <c r="Z68" s="2">
        <f>IF(Y68=9,9,IF(AND(Y68&gt;=6/24,Y68&lt;12/24),Y68+1*0.000000001,9))</f>
        <v>9</v>
      </c>
      <c r="AA68" s="53">
        <f>IF(Y68=9,9,IF(AND(Y68&gt;=12/24,Y68&lt;17/24),Y68+1*0.000000001,9))</f>
        <v>0.50000000099999997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53">
        <f>IF(OR('Inventory - P01'!E16&lt;3,'Inventory - P01'!F16="",'Inventory - P01'!G16=""),9,MOD('Inventory - P01'!F16+2*'Inventory - P01'!G16/24,1))</f>
        <v>0.66666666666666663</v>
      </c>
      <c r="Z69" s="2">
        <f>IF(Y69=9,9,IF(AND(Y69&gt;=6/24,Y69&lt;12/24),Y69+2*0.000000001,9))</f>
        <v>9</v>
      </c>
      <c r="AA69" s="53">
        <f>IF(Y69=9,9,IF(AND(Y69&gt;=12/24,Y69&lt;17/24),Y69+2*0.000000001,9))</f>
        <v>0.66666666866666668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53">
        <f>IF(OR('Inventory - P01'!E16&lt;4,'Inventory - P01'!F16="",'Inventory - P01'!G16=""),9,MOD('Inventory - P01'!F16+3*'Inventory - P01'!G16/24,1))</f>
        <v>0.83333333333333326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53">
        <f>IF(Y70=9,9,IF(OR(Y70&gt;=20/24,Y70&lt;6/24),Y70+3*0.000000001,9))</f>
        <v>0.83333333633333329</v>
      </c>
    </row>
    <row r="71" spans="25:29" ht="15" hidden="1" customHeight="1">
      <c r="Y71" s="2">
        <f>IF(OR('Inventory - P01'!E17&lt;1,'Inventory - P01'!F17="",'Inventory - P01'!G17=""),9,MOD('Inventory - P01'!F17+0*'Inventory - P01'!G17/24,1))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P01'!E17&lt;2,'Inventory - P01'!F17="",'Inventory - P01'!G17=""),9,MOD('Inventory - P01'!F17+1*'Inventory - P01'!G17/24,1))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P01'!E17&lt;3,'Inventory - P01'!F17="",'Inventory - P01'!G17=""),9,MOD('Inventory - P01'!F17+2*'Inventory - P01'!G17/24,1))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P01'!E17&lt;4,'Inventory - P01'!F17="",'Inventory - P01'!G17=""),9,MOD('Inventory - P01'!F17+3*'Inventory - P01'!G17/24,1))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P01'!E18&lt;1,'Inventory - P01'!F18="",'Inventory - P01'!G18=""),9,MOD('Inventory - P01'!F18+0*'Inventory - P01'!G18/24,1))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P01'!E18&lt;2,'Inventory - P01'!F18="",'Inventory - P01'!G18=""),9,MOD('Inventory - P01'!F18+1*'Inventory - P01'!G18/24,1))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P01'!E18&lt;3,'Inventory - P01'!F18="",'Inventory - P01'!G18=""),9,MOD('Inventory - P01'!F18+2*'Inventory - P01'!G18/24,1))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P01'!E18&lt;4,'Inventory - P01'!F18="",'Inventory - P01'!G18=""),9,MOD('Inventory - P01'!F18+3*'Inventory - P01'!G18/24,1))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P01'!E19&lt;1,'Inventory - P01'!F19="",'Inventory - P01'!G19=""),9,MOD('Inventory - P01'!F19+0*'Inventory - P01'!G19/24,1))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P01'!E19&lt;2,'Inventory - P01'!F19="",'Inventory - P01'!G19=""),9,MOD('Inventory - P01'!F19+1*'Inventory - P01'!G19/24,1))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P01'!E19&lt;3,'Inventory - P01'!F19="",'Inventory - P01'!G19=""),9,MOD('Inventory - P01'!F19+2*'Inventory - P01'!G19/24,1))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P01'!E19&lt;4,'Inventory - P01'!F19="",'Inventory - P01'!G19=""),9,MOD('Inventory - P01'!F19+3*'Inventory - P01'!G19/24,1))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P01'!E20&lt;1,'Inventory - P01'!F20="",'Inventory - P01'!G20=""),9,MOD('Inventory - P01'!F20+0*'Inventory - P01'!G20/24,1))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P01'!E20&lt;2,'Inventory - P01'!F20="",'Inventory - P01'!G20=""),9,MOD('Inventory - P01'!F20+1*'Inventory - P01'!G20/24,1))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P01'!E20&lt;3,'Inventory - P01'!F20="",'Inventory - P01'!G20=""),9,MOD('Inventory - P01'!F20+2*'Inventory - P01'!G20/24,1))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P01'!E20&lt;4,'Inventory - P01'!F20="",'Inventory - P01'!G20=""),9,MOD('Inventory - P01'!F20+3*'Inventory - P01'!G20/24,1))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P01'!E21&lt;1,'Inventory - P01'!F21="",'Inventory - P01'!G21=""),9,MOD('Inventory - P01'!F21+0*'Inventory - P01'!G21/24,1))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P01'!E21&lt;2,'Inventory - P01'!F21="",'Inventory - P01'!G21=""),9,MOD('Inventory - P01'!F21+1*'Inventory - P01'!G21/24,1))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P01'!E21&lt;3,'Inventory - P01'!F21="",'Inventory - P01'!G21=""),9,MOD('Inventory - P01'!F21+2*'Inventory - P01'!G21/24,1))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P01'!E21&lt;4,'Inventory - P01'!F21="",'Inventory - P01'!G21=""),9,MOD('Inventory - P01'!F21+3*'Inventory - P01'!G21/24,1))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P01'!E22&lt;1,'Inventory - P01'!F22="",'Inventory - P01'!G22=""),9,MOD('Inventory - P01'!F22+0*'Inventory - P01'!G22/24,1))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P01'!E22&lt;2,'Inventory - P01'!F22="",'Inventory - P01'!G22=""),9,MOD('Inventory - P01'!F22+1*'Inventory - P01'!G22/24,1))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P01'!E22&lt;3,'Inventory - P01'!F22="",'Inventory - P01'!G22=""),9,MOD('Inventory - P01'!F22+2*'Inventory - P01'!G22/24,1))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P01'!E22&lt;4,'Inventory - P01'!F22="",'Inventory - P01'!G22=""),9,MOD('Inventory - P01'!F22+3*'Inventory - P01'!G22/24,1))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P01'!E23&lt;1,'Inventory - P01'!F23="",'Inventory - P01'!G23=""),9,MOD('Inventory - P01'!F23+0*'Inventory - P01'!G23/24,1))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P01'!E23&lt;2,'Inventory - P01'!F23="",'Inventory - P01'!G23=""),9,MOD('Inventory - P01'!F23+1*'Inventory - P01'!G23/24,1))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P01'!E23&lt;3,'Inventory - P01'!F23="",'Inventory - P01'!G23=""),9,MOD('Inventory - P01'!F23+2*'Inventory - P01'!G23/24,1))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P01'!E23&lt;4,'Inventory - P01'!F23="",'Inventory - P01'!G23=""),9,MOD('Inventory - P01'!F23+3*'Inventory - P01'!G23/24,1))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P01'!E24&lt;1,'Inventory - P01'!F24="",'Inventory - P01'!G24=""),9,MOD('Inventory - P01'!F24+0*'Inventory - P01'!G24/24,1))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P01'!E24&lt;2,'Inventory - P01'!F24="",'Inventory - P01'!G24=""),9,MOD('Inventory - P01'!F24+1*'Inventory - P01'!G24/24,1))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P01'!E24&lt;3,'Inventory - P01'!F24="",'Inventory - P01'!G24=""),9,MOD('Inventory - P01'!F24+2*'Inventory - P01'!G24/24,1))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P01'!E24&lt;4,'Inventory - P01'!F24="",'Inventory - P01'!G24=""),9,MOD('Inventory - P01'!F24+3*'Inventory - P01'!G24/24,1))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P01'!E25&lt;1,'Inventory - P01'!F25="",'Inventory - P01'!G25=""),9,MOD('Inventory - P01'!F25+0*'Inventory - P01'!G25/24,1))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P01'!E25&lt;2,'Inventory - P01'!F25="",'Inventory - P01'!G25=""),9,MOD('Inventory - P01'!F25+1*'Inventory - P01'!G25/24,1))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P01'!E25&lt;3,'Inventory - P01'!F25="",'Inventory - P01'!G25=""),9,MOD('Inventory - P01'!F25+2*'Inventory - P01'!G25/24,1))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P01'!E25&lt;4,'Inventory - P01'!F25="",'Inventory - P01'!G25=""),9,MOD('Inventory - P01'!F25+3*'Inventory - P01'!G25/24,1))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P01'!E26&lt;1,'Inventory - P01'!F26="",'Inventory - P01'!G26=""),9,MOD('Inventory - P01'!F26+0*'Inventory - P01'!G26/24,1))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P01'!E26&lt;2,'Inventory - P01'!F26="",'Inventory - P01'!G26=""),9,MOD('Inventory - P01'!F26+1*'Inventory - P01'!G26/24,1))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P01'!E26&lt;3,'Inventory - P01'!F26="",'Inventory - P01'!G26=""),9,MOD('Inventory - P01'!F26+2*'Inventory - P01'!G26/24,1))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P01'!E26&lt;4,'Inventory - P01'!F26="",'Inventory - P01'!G26=""),9,MOD('Inventory - P01'!F26+3*'Inventory - P01'!G26/24,1))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P01'!E27&lt;1,'Inventory - P01'!F27="",'Inventory - P01'!G27=""),9,MOD('Inventory - P01'!F27+0*'Inventory - P01'!G27/24,1))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P01'!E27&lt;2,'Inventory - P01'!F27="",'Inventory - P01'!G27=""),9,MOD('Inventory - P01'!F27+1*'Inventory - P01'!G27/24,1))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P01'!E27&lt;3,'Inventory - P01'!F27="",'Inventory - P01'!G27=""),9,MOD('Inventory - P01'!F27+2*'Inventory - P01'!G27/24,1))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P01'!E27&lt;4,'Inventory - P01'!F27="",'Inventory - P01'!G27=""),9,MOD('Inventory - P01'!F27+3*'Inventory - P01'!G27/24,1))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8">
    <mergeCell ref="A1:K1"/>
    <mergeCell ref="A3:E4"/>
    <mergeCell ref="F3:K4"/>
    <mergeCell ref="D5:E5"/>
    <mergeCell ref="G5:H5"/>
    <mergeCell ref="J5:K5"/>
    <mergeCell ref="E6:F6"/>
    <mergeCell ref="G6:H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901" priority="1">
      <formula>$W11&gt;=9</formula>
    </cfRule>
  </conditionalFormatting>
  <conditionalFormatting sqref="A12:V12">
    <cfRule type="expression" dxfId="900" priority="2">
      <formula>$W12&gt;=9</formula>
    </cfRule>
  </conditionalFormatting>
  <conditionalFormatting sqref="A13:V13">
    <cfRule type="expression" dxfId="899" priority="3">
      <formula>$W13&gt;=9</formula>
    </cfRule>
  </conditionalFormatting>
  <conditionalFormatting sqref="A14:V14">
    <cfRule type="expression" dxfId="898" priority="4">
      <formula>$W14&gt;=9</formula>
    </cfRule>
  </conditionalFormatting>
  <conditionalFormatting sqref="A15:V15">
    <cfRule type="expression" dxfId="897" priority="5">
      <formula>$W15&gt;=9</formula>
    </cfRule>
  </conditionalFormatting>
  <conditionalFormatting sqref="A16:V16">
    <cfRule type="expression" dxfId="896" priority="6">
      <formula>$W16&gt;=9</formula>
    </cfRule>
  </conditionalFormatting>
  <conditionalFormatting sqref="A17:V17">
    <cfRule type="expression" dxfId="895" priority="7">
      <formula>$W17&gt;=9</formula>
    </cfRule>
  </conditionalFormatting>
  <conditionalFormatting sqref="A18:V18">
    <cfRule type="expression" dxfId="894" priority="8">
      <formula>$W18&gt;=9</formula>
    </cfRule>
  </conditionalFormatting>
  <conditionalFormatting sqref="A19:V19">
    <cfRule type="expression" dxfId="893" priority="9">
      <formula>$W19&gt;=9</formula>
    </cfRule>
  </conditionalFormatting>
  <conditionalFormatting sqref="A20:V20">
    <cfRule type="expression" dxfId="892" priority="10">
      <formula>$W20&gt;=9</formula>
    </cfRule>
  </conditionalFormatting>
  <conditionalFormatting sqref="A21:V21">
    <cfRule type="expression" dxfId="891" priority="11">
      <formula>$W21&gt;=9</formula>
    </cfRule>
  </conditionalFormatting>
  <conditionalFormatting sqref="A22:V22">
    <cfRule type="expression" dxfId="890" priority="12">
      <formula>$W22&gt;=9</formula>
    </cfRule>
  </conditionalFormatting>
  <conditionalFormatting sqref="A24:V24">
    <cfRule type="expression" dxfId="889" priority="13">
      <formula>$W24&gt;=9</formula>
    </cfRule>
  </conditionalFormatting>
  <conditionalFormatting sqref="A25:V25">
    <cfRule type="expression" dxfId="888" priority="14">
      <formula>$W25&gt;=9</formula>
    </cfRule>
  </conditionalFormatting>
  <conditionalFormatting sqref="A26:V26">
    <cfRule type="expression" dxfId="887" priority="15">
      <formula>$W26&gt;=9</formula>
    </cfRule>
  </conditionalFormatting>
  <conditionalFormatting sqref="A27:V27">
    <cfRule type="expression" dxfId="886" priority="16">
      <formula>$W27&gt;=9</formula>
    </cfRule>
  </conditionalFormatting>
  <conditionalFormatting sqref="A28:V28">
    <cfRule type="expression" dxfId="885" priority="17">
      <formula>$W28&gt;=9</formula>
    </cfRule>
  </conditionalFormatting>
  <conditionalFormatting sqref="A29:V29">
    <cfRule type="expression" dxfId="884" priority="18">
      <formula>$W29&gt;=9</formula>
    </cfRule>
  </conditionalFormatting>
  <conditionalFormatting sqref="A30:V30">
    <cfRule type="expression" dxfId="883" priority="19">
      <formula>$W30&gt;=9</formula>
    </cfRule>
  </conditionalFormatting>
  <conditionalFormatting sqref="A31:V31">
    <cfRule type="expression" dxfId="882" priority="20">
      <formula>$W31&gt;=9</formula>
    </cfRule>
  </conditionalFormatting>
  <conditionalFormatting sqref="A32:V32">
    <cfRule type="expression" dxfId="881" priority="21">
      <formula>$W32&gt;=9</formula>
    </cfRule>
  </conditionalFormatting>
  <conditionalFormatting sqref="A33:V33">
    <cfRule type="expression" dxfId="880" priority="22">
      <formula>$W33&gt;=9</formula>
    </cfRule>
  </conditionalFormatting>
  <conditionalFormatting sqref="A34:V34">
    <cfRule type="expression" dxfId="879" priority="23">
      <formula>$W34&gt;=9</formula>
    </cfRule>
  </conditionalFormatting>
  <conditionalFormatting sqref="A35:V35">
    <cfRule type="expression" dxfId="878" priority="24">
      <formula>$W35&gt;=9</formula>
    </cfRule>
  </conditionalFormatting>
  <conditionalFormatting sqref="A37:V37">
    <cfRule type="expression" dxfId="877" priority="25">
      <formula>$W37&gt;=9</formula>
    </cfRule>
  </conditionalFormatting>
  <conditionalFormatting sqref="A38:V38">
    <cfRule type="expression" dxfId="876" priority="26">
      <formula>$W38&gt;=9</formula>
    </cfRule>
  </conditionalFormatting>
  <conditionalFormatting sqref="A39:V39">
    <cfRule type="expression" dxfId="875" priority="27">
      <formula>$W39&gt;=9</formula>
    </cfRule>
  </conditionalFormatting>
  <conditionalFormatting sqref="A40:V40">
    <cfRule type="expression" dxfId="874" priority="28">
      <formula>$W40&gt;=9</formula>
    </cfRule>
  </conditionalFormatting>
  <conditionalFormatting sqref="A41:V41">
    <cfRule type="expression" dxfId="873" priority="29">
      <formula>$W41&gt;=9</formula>
    </cfRule>
  </conditionalFormatting>
  <conditionalFormatting sqref="A42:V42">
    <cfRule type="expression" dxfId="872" priority="30">
      <formula>$W42&gt;=9</formula>
    </cfRule>
  </conditionalFormatting>
  <conditionalFormatting sqref="A43:V43">
    <cfRule type="expression" dxfId="871" priority="31">
      <formula>$W43&gt;=9</formula>
    </cfRule>
  </conditionalFormatting>
  <conditionalFormatting sqref="A44:V44">
    <cfRule type="expression" dxfId="870" priority="32">
      <formula>$W44&gt;=9</formula>
    </cfRule>
  </conditionalFormatting>
  <conditionalFormatting sqref="A45:V45">
    <cfRule type="expression" dxfId="869" priority="33">
      <formula>$W45&gt;=9</formula>
    </cfRule>
  </conditionalFormatting>
  <conditionalFormatting sqref="A46:V46">
    <cfRule type="expression" dxfId="868" priority="34">
      <formula>$W46&gt;=9</formula>
    </cfRule>
  </conditionalFormatting>
  <conditionalFormatting sqref="A47:V47">
    <cfRule type="expression" dxfId="867" priority="35">
      <formula>$W47&gt;=9</formula>
    </cfRule>
  </conditionalFormatting>
  <conditionalFormatting sqref="A48:V48">
    <cfRule type="expression" dxfId="866" priority="36">
      <formula>$W48&gt;=9</formula>
    </cfRule>
  </conditionalFormatting>
  <conditionalFormatting sqref="A50:V50">
    <cfRule type="expression" dxfId="865" priority="37">
      <formula>$W50&gt;=9</formula>
    </cfRule>
  </conditionalFormatting>
  <conditionalFormatting sqref="A51:V51">
    <cfRule type="expression" dxfId="864" priority="38">
      <formula>$W51&gt;=9</formula>
    </cfRule>
  </conditionalFormatting>
  <conditionalFormatting sqref="A52:V52">
    <cfRule type="expression" dxfId="863" priority="39">
      <formula>$W52&gt;=9</formula>
    </cfRule>
  </conditionalFormatting>
  <conditionalFormatting sqref="A53:V53">
    <cfRule type="expression" dxfId="862" priority="40">
      <formula>$W53&gt;=9</formula>
    </cfRule>
  </conditionalFormatting>
  <conditionalFormatting sqref="A54:V54">
    <cfRule type="expression" dxfId="861" priority="41">
      <formula>$W54&gt;=9</formula>
    </cfRule>
  </conditionalFormatting>
  <conditionalFormatting sqref="A55:V55">
    <cfRule type="expression" dxfId="860" priority="42">
      <formula>$W55&gt;=9</formula>
    </cfRule>
  </conditionalFormatting>
  <conditionalFormatting sqref="A56:V56">
    <cfRule type="expression" dxfId="859" priority="43">
      <formula>$W56&gt;=9</formula>
    </cfRule>
  </conditionalFormatting>
  <conditionalFormatting sqref="A57:V57">
    <cfRule type="expression" dxfId="858" priority="44">
      <formula>$W57&gt;=9</formula>
    </cfRule>
  </conditionalFormatting>
  <conditionalFormatting sqref="A58:V58">
    <cfRule type="expression" dxfId="857" priority="45">
      <formula>$W58&gt;=9</formula>
    </cfRule>
  </conditionalFormatting>
  <conditionalFormatting sqref="A59:V59">
    <cfRule type="expression" dxfId="856" priority="46">
      <formula>$W59&gt;=9</formula>
    </cfRule>
  </conditionalFormatting>
  <conditionalFormatting sqref="A60:V60">
    <cfRule type="expression" dxfId="855" priority="47">
      <formula>$W60&gt;=9</formula>
    </cfRule>
  </conditionalFormatting>
  <conditionalFormatting sqref="A61:V61">
    <cfRule type="expression" dxfId="854" priority="48">
      <formula>$W61&gt;=9</formula>
    </cfRule>
  </conditionalFormatting>
  <conditionalFormatting sqref="H10:H61">
    <cfRule type="cellIs" dxfId="853" priority="49" operator="equal">
      <formula>"Physical"</formula>
    </cfRule>
  </conditionalFormatting>
  <conditionalFormatting sqref="H10:H61">
    <cfRule type="cellIs" dxfId="852" priority="50" operator="equal">
      <formula>"Psychological"</formula>
    </cfRule>
  </conditionalFormatting>
  <conditionalFormatting sqref="G10:G61">
    <cfRule type="cellIs" dxfId="851" priority="51" operator="equal">
      <formula>"Y"</formula>
    </cfRule>
  </conditionalFormatting>
  <conditionalFormatting sqref="G10:G61">
    <cfRule type="cellIs" dxfId="850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Tracker'!B6="","",UPPER(LEFT(TRIM('Client Needs Tracker'!B6),1))&amp;UPPER(MID('Client Needs Tracker'!B6,FIND("@",SUBSTITUTE('Client Needs Tracker'!B6," ","@",LEN('Client Needs Tracker'!B6)-LEN(SUBSTITUTE('Client Needs Tracker'!B6," ",""))))+1,1))&amp;"-"&amp;SUBSTITUTE('Client Needs Tracker'!S6," ",""))</f>
        <v>YJ-M-1B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Tracker'!S6="","","INV-"&amp;SUBSTITUTE('Client Needs Tracker'!S6," ",""))</f>
        <v>INV-M-1B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Tracker'!B6="","(Add client on Client Needs Tracker, row 6)",'Client Needs Tracker'!B6)</f>
        <v>Yusef Jui</v>
      </c>
      <c r="B6" s="134"/>
      <c r="C6" s="134"/>
      <c r="D6" s="134"/>
      <c r="E6" s="134"/>
      <c r="F6" s="93">
        <f>'Client Needs Tracker'!A6</f>
        <v>3520025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Tracker'!C6="","",'Client Needs Tracker'!C6)</f>
        <v>46240</v>
      </c>
      <c r="B8" s="134"/>
      <c r="C8" s="134"/>
      <c r="D8" s="134"/>
      <c r="E8" s="134"/>
      <c r="F8" s="95" t="str">
        <f>'Client Needs Tracker'!E6</f>
        <v>LOC2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Tracker'!F6="","",'Client Needs Tracker'!F6)</f>
        <v/>
      </c>
      <c r="B10" s="134"/>
      <c r="C10" s="134"/>
      <c r="D10" s="134"/>
      <c r="E10" s="134"/>
      <c r="F10" s="89" t="str">
        <f>IF('Client Status Board'!G6="","",'Client Status Board'!G6)</f>
        <v>Destiny</v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Board'!L6="","",'Client Status Board'!L6)</f>
        <v>HEB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>
        <v>46237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>
        <v>58669</v>
      </c>
      <c r="B16" s="14" t="s">
        <v>165</v>
      </c>
      <c r="C16" s="7">
        <v>300</v>
      </c>
      <c r="D16" s="7" t="s">
        <v>208</v>
      </c>
      <c r="E16" s="7">
        <v>2</v>
      </c>
      <c r="F16" s="48">
        <v>0.33333333333333331</v>
      </c>
      <c r="G16" s="7">
        <v>12</v>
      </c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>8:00 AM / 8:00 PM</v>
      </c>
      <c r="I16" s="7" t="s">
        <v>78</v>
      </c>
      <c r="J16" s="7" t="s">
        <v>225</v>
      </c>
      <c r="K16" s="7">
        <v>60</v>
      </c>
      <c r="L16" s="50">
        <f>IF($K16="","",$K16-SUMPRODUCT(('MAR - P02'!$B$10:$B$61=1)*(('MAR - P02'!$I$10:$I$61&lt;&gt;"")+('MAR - P02'!$K$10:$K$61&lt;&gt;"")+('MAR - P02'!$M$10:$M$61&lt;&gt;"")+('MAR - P02'!$O$10:$O$61&lt;&gt;"")+('MAR - P02'!$Q$10:$Q$61&lt;&gt;"")+('MAR - P02'!$S$10:$S$61&lt;&gt;"")+('MAR - P02'!$U$10:$U$61&lt;&gt;""))))</f>
        <v>60</v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P02'!$B$10:$B$61=2)*(('MAR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P02'!$B$10:$B$61=3)*(('MAR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P02'!$B$10:$B$61=4)*(('MAR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P02'!$B$10:$B$61=5)*(('MAR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P02'!$B$10:$B$61=6)*(('MAR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P02'!$B$10:$B$61=7)*(('MAR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P02'!$B$10:$B$61=8)*(('MAR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P02'!$B$10:$B$61=9)*(('MAR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P02'!$B$10:$B$61=10)*(('MAR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P02'!$B$10:$B$61=11)*(('MAR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P02'!$B$10:$B$61=12)*(('MAR - P02'!$I$10:$I$61&lt;&gt;"")+('MAR - P02'!$K$10:$K$61&lt;&gt;"")+('MAR - P02'!$M$10:$M$61&lt;&gt;"")+('MAR - P02'!$O$10:$O$61&lt;&gt;"")+('MAR - P02'!$Q$10:$Q$61&lt;&gt;"")+('MAR - P02'!$S$10:$S$61&lt;&gt;"")+('MAR - P02'!$U$10:$U$61&lt;&gt;""))))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849" priority="1" operator="equal">
      <formula>"Physical"</formula>
    </cfRule>
  </conditionalFormatting>
  <conditionalFormatting sqref="J16:J27">
    <cfRule type="cellIs" dxfId="848" priority="2" operator="equal">
      <formula>"Psychological"</formula>
    </cfRule>
  </conditionalFormatting>
  <conditionalFormatting sqref="I16:I27">
    <cfRule type="cellIs" dxfId="847" priority="3" operator="equal">
      <formula>"Y"</formula>
    </cfRule>
  </conditionalFormatting>
  <conditionalFormatting sqref="I16:I27">
    <cfRule type="cellIs" dxfId="846" priority="4" operator="equal">
      <formula>"N"</formula>
    </cfRule>
  </conditionalFormatting>
  <dataValidations count="6">
    <dataValidation type="list" allowBlank="1" sqref="I16:I27" xr:uid="{00000000-0002-0000-0700-000001000000}">
      <formula1>"Y,N"</formula1>
    </dataValidation>
    <dataValidation type="list" allowBlank="1" sqref="J16:J27" xr:uid="{00000000-0002-0000-0700-000002000000}">
      <formula1>"Physical,Psychological"</formula1>
    </dataValidation>
    <dataValidation type="list" allowBlank="1" showErrorMessage="1" sqref="C16" xr:uid="{00000000-0002-0000-0700-000003000000}">
      <formula1>"150,300,450,600"</formula1>
    </dataValidation>
    <dataValidation type="list" allowBlank="1" sqref="C17:C27" xr:uid="{00000000-0002-0000-0700-000004000000}">
      <formula1>INDIRECT("MG_"&amp;SUBSTITUTE(SUBSTITUTE(SUBSTITUTE(SUBSTITUTE(LEFT($B17,IFERROR(FIND(" (",$B17)-1,LEN($B17)))," ","_"),"/","_"),".","_"),"-","_"))</formula1>
    </dataValidation>
    <dataValidation type="list" allowBlank="1" sqref="D16:D27" xr:uid="{00000000-0002-0000-0700-000005000000}">
      <formula1>"PO,IM,IV,SubQ,Topical,Inhaled,Sublingual,Rectal,Other"</formula1>
    </dataValidation>
    <dataValidation type="list" allowBlank="1" sqref="G16:G27" xr:uid="{00000000-0002-0000-0700-000006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Tracker'!B6="","",UPPER(LEFT(TRIM('Client Needs Tracker'!B6),1))&amp;UPPER(MID('Client Needs Tracker'!B6,FIND("@",SUBSTITUTE('Client Needs Tracker'!B6," ","@",LEN('Client Needs Tracker'!B6)-LEN(SUBSTITUTE('Client Needs Tracker'!B6," ",""))))+1,1))&amp;"-"&amp;SUBSTITUTE('Client Needs Tracker'!S6," ",""))</f>
        <v>YJ-M-1B</v>
      </c>
    </row>
    <row r="3" spans="1:33" ht="15" customHeight="1">
      <c r="A3" s="103" t="str">
        <f>IF('Inventory - P02'!A6="","(Enter name in Inventory - P02)",'Inventory - P02'!A6)</f>
        <v>Yusef Jui</v>
      </c>
      <c r="B3" s="145"/>
      <c r="C3" s="145"/>
      <c r="D3" s="145"/>
      <c r="E3" s="145"/>
      <c r="F3" s="104" t="str">
        <f>IF('Inventory - P02'!F6="","(Enter ID in Inventory - P02)","Member ID: "&amp;'Inventory - P02'!F6)</f>
        <v>Member ID: 3520025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Tracker'!S6="","","INV-"&amp;SUBSTITUTE('Client Needs Tracker'!S6," ",""))</f>
        <v>INV-M-1B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P02'!F8="","-",'Inventory - P02'!F8)</f>
        <v>LOC: LOC2</v>
      </c>
      <c r="B5" s="106"/>
      <c r="C5" s="2"/>
      <c r="D5" s="102" t="str">
        <f>"Case Manager: "&amp;IF('Inventory - P02'!A10="","-",'Inventory - P02'!A10)</f>
        <v>Case Manager: -</v>
      </c>
      <c r="E5" s="106"/>
      <c r="F5" s="2"/>
      <c r="G5" s="102" t="str">
        <f>"Doctor: "&amp;IF('Inventory - P02'!F10="","-",'Inventory - P02'!F10)</f>
        <v>Doctor: Destiny</v>
      </c>
      <c r="H5" s="106"/>
      <c r="I5" s="2"/>
      <c r="J5" s="102" t="str">
        <f>"Pharmacy: "&amp;IF('Inventory - P02'!A12="","-",'Inventory - P02'!A12)</f>
        <v>Pharmacy: HEB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>
        <f>IF('Inventory - P02'!A14="","",'Inventory - P02'!A14)</f>
        <v>46237</v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>
        <f>IF('Inventory - P02'!A14="","",'Inventory - P02'!A14+0)</f>
        <v>46237</v>
      </c>
      <c r="J8" s="134"/>
      <c r="K8" s="101">
        <f>IF('Inventory - P02'!A14="","",'Inventory - P02'!A14+1)</f>
        <v>46238</v>
      </c>
      <c r="L8" s="134"/>
      <c r="M8" s="101">
        <f>IF('Inventory - P02'!A14="","",'Inventory - P02'!A14+2)</f>
        <v>46239</v>
      </c>
      <c r="N8" s="134"/>
      <c r="O8" s="101">
        <f>IF('Inventory - P02'!A14="","",'Inventory - P02'!A14+3)</f>
        <v>46240</v>
      </c>
      <c r="P8" s="134"/>
      <c r="Q8" s="101">
        <f>IF('Inventory - P02'!A14="","",'Inventory - P02'!A14+4)</f>
        <v>46241</v>
      </c>
      <c r="R8" s="134"/>
      <c r="S8" s="101">
        <f>IF('Inventory - P02'!A14="","",'Inventory - P02'!A14+5)</f>
        <v>46242</v>
      </c>
      <c r="T8" s="134"/>
      <c r="U8" s="101">
        <f>IF('Inventory - P02'!A14="","",'Inventory - P02'!A14+6)</f>
        <v>46243</v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>8:00 AM</v>
      </c>
      <c r="B11" s="7">
        <f t="shared" ref="B11:B22" si="1">IF(X11="","",(INT((X11-1)/4)+1))</f>
        <v>1</v>
      </c>
      <c r="C11" s="14" t="str">
        <f t="array" ref="C11">IF(X11="","",INDEX('Inventory - P02'!$B$16:$B$27,(INT((X11-1)/4)+1))&amp;IF(INDEX('Inventory - P02'!$C$16:$C$27,(INT((X11-1)/4)+1))="",""," ("&amp;INDEX('Inventory - P02'!$C$16:$C$27,(INT((X11-1)/4)+1))&amp;" mg)"))</f>
        <v>Lithium (300 mg)</v>
      </c>
      <c r="D11" s="7">
        <f t="array" ref="D11">IF(X11="","",INDEX('Inventory - P02'!$K$16:$K$27,(INT((X11-1)/4)+1))-SUMPRODUCT(($B$10:$B$61=B11)*(($I$10:$I$61&lt;&gt;"")+($K$10:$K$61&lt;&gt;"")+($M$10:$M$61&lt;&gt;"")+($O$10:$O$61&lt;&gt;"")+($Q$10:$Q$61&lt;&gt;"")+($S$10:$S$61&lt;&gt;"")+($U$10:$U$61&lt;&gt;""))))</f>
        <v>60</v>
      </c>
      <c r="E11" s="7" t="str">
        <f t="array" ref="E11">IF(X11="","",INDEX('Inventory - P02'!$D$16:$D$27,(INT((X11-1)/4)+1)))</f>
        <v>PO</v>
      </c>
      <c r="F11" s="7">
        <f t="array" ref="F11">IF(X11="","",INDEX('Inventory - P02'!$E$16:$E$27,(INT((X11-1)/4)+1)))</f>
        <v>2</v>
      </c>
      <c r="G11" s="7" t="str">
        <f t="array" ref="G11">IF(X11="","",INDEX('Inventory - P02'!$I$16:$I$27,(INT((X11-1)/4)+1)))</f>
        <v>Y</v>
      </c>
      <c r="H11" s="7" t="str">
        <f t="array" ref="H11">IF(X11="","",INDEX('Inventory - P02'!$J$16:$J$27,(INT((X11-1)/4)+1)))</f>
        <v>Psychological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0.33333333333333331</v>
      </c>
      <c r="X11" s="2">
        <f t="shared" ref="X11:X22" si="2">IF(W11&lt;9,MATCH(W11,$Z$67:$Z$114,0),"")</f>
        <v>1</v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P02'!$B$16:$B$27,(INT((X12-1)/4)+1))&amp;IF(INDEX('Inventory - P02'!$C$16:$C$27,(INT((X12-1)/4)+1))="",""," ("&amp;INDEX('Inventory - P02'!$C$16:$C$27,(INT((X12-1)/4)+1))&amp;" mg)"))</f>
        <v/>
      </c>
      <c r="D12" s="7" t="str">
        <f t="array" ref="D12">IF(X12="","",INDEX('Inventory - P02'!$K$16:$K$27,(INT((X12-1)/4)+1))-SUMPRODUCT(($B$10:$B$61=B12)*(($I$10:$I$61&lt;&gt;"")+($K$10:$K$61&lt;&gt;"")+($M$10:$M$61&lt;&gt;"")+($O$10:$O$61&lt;&gt;"")+($Q$10:$Q$61&lt;&gt;"")+($S$10:$S$61&lt;&gt;"")+($U$10:$U$61&lt;&gt;""))))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P02'!$D$16:$D$27,(INT((X12-1)/4)+1)))</f>
        <v/>
      </c>
      <c r="F12" s="7" t="str">
        <f t="array" ref="F12">IF(X12="","",INDEX('Inventory - P02'!$E$16:$E$27,(INT((X12-1)/4)+1)))</f>
        <v/>
      </c>
      <c r="G12" s="7" t="str">
        <f t="array" ref="G12">IF(X12="","",INDEX('Inventory - P02'!$I$16:$I$27,(INT((X12-1)/4)+1)))</f>
        <v/>
      </c>
      <c r="H12" s="7" t="str">
        <f t="array" ref="H12">IF(X12="","",INDEX('Inventory - P02'!$J$16:$J$27,(INT((X12-1)/4)+1)))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P02'!$B$16:$B$27,(INT((X13-1)/4)+1))&amp;IF(INDEX('Inventory - P02'!$C$16:$C$27,(INT((X13-1)/4)+1))="",""," ("&amp;INDEX('Inventory - P02'!$C$16:$C$27,(INT((X13-1)/4)+1))&amp;" mg)"))</f>
        <v/>
      </c>
      <c r="D13" s="7" t="str">
        <f t="array" ref="D13">IF(X13="","",INDEX('Inventory - P02'!$K$16:$K$27,(INT((X13-1)/4)+1))-SUMPRODUCT(($B$10:$B$61=B13)*(($I$10:$I$61&lt;&gt;"")+($K$10:$K$61&lt;&gt;"")+($M$10:$M$61&lt;&gt;"")+($O$10:$O$61&lt;&gt;"")+($Q$10:$Q$61&lt;&gt;"")+($S$10:$S$61&lt;&gt;"")+($U$10:$U$61&lt;&gt;""))))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P02'!$D$16:$D$27,(INT((X13-1)/4)+1)))</f>
        <v/>
      </c>
      <c r="F13" s="7" t="str">
        <f t="array" ref="F13">IF(X13="","",INDEX('Inventory - P02'!$E$16:$E$27,(INT((X13-1)/4)+1)))</f>
        <v/>
      </c>
      <c r="G13" s="7" t="str">
        <f t="array" ref="G13">IF(X13="","",INDEX('Inventory - P02'!$I$16:$I$27,(INT((X13-1)/4)+1)))</f>
        <v/>
      </c>
      <c r="H13" s="7" t="str">
        <f t="array" ref="H13">IF(X13="","",INDEX('Inventory - P02'!$J$16:$J$27,(INT((X13-1)/4)+1)))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P02'!$B$16:$B$27,(INT((X14-1)/4)+1))&amp;IF(INDEX('Inventory - P02'!$C$16:$C$27,(INT((X14-1)/4)+1))="",""," ("&amp;INDEX('Inventory - P02'!$C$16:$C$27,(INT((X14-1)/4)+1))&amp;" mg)"))</f>
        <v/>
      </c>
      <c r="D14" s="7" t="str">
        <f t="array" ref="D14">IF(X14="","",INDEX('Inventory - P02'!$K$16:$K$27,(INT((X14-1)/4)+1))-SUMPRODUCT(($B$10:$B$61=B14)*(($I$10:$I$61&lt;&gt;"")+($K$10:$K$61&lt;&gt;"")+($M$10:$M$61&lt;&gt;"")+($O$10:$O$61&lt;&gt;"")+($Q$10:$Q$61&lt;&gt;"")+($S$10:$S$61&lt;&gt;"")+($U$10:$U$61&lt;&gt;""))))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P02'!$D$16:$D$27,(INT((X14-1)/4)+1)))</f>
        <v/>
      </c>
      <c r="F14" s="7" t="str">
        <f t="array" ref="F14">IF(X14="","",INDEX('Inventory - P02'!$E$16:$E$27,(INT((X14-1)/4)+1)))</f>
        <v/>
      </c>
      <c r="G14" s="7" t="str">
        <f t="array" ref="G14">IF(X14="","",INDEX('Inventory - P02'!$I$16:$I$27,(INT((X14-1)/4)+1)))</f>
        <v/>
      </c>
      <c r="H14" s="7" t="str">
        <f t="array" ref="H14">IF(X14="","",INDEX('Inventory - P02'!$J$16:$J$27,(INT((X14-1)/4)+1)))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P02'!$B$16:$B$27,(INT((X15-1)/4)+1))&amp;IF(INDEX('Inventory - P02'!$C$16:$C$27,(INT((X15-1)/4)+1))="",""," ("&amp;INDEX('Inventory - P02'!$C$16:$C$27,(INT((X15-1)/4)+1))&amp;" mg)"))</f>
        <v/>
      </c>
      <c r="D15" s="7" t="str">
        <f t="array" ref="D15">IF(X15="","",INDEX('Inventory - P02'!$K$16:$K$27,(INT((X15-1)/4)+1))-SUMPRODUCT(($B$10:$B$61=B15)*(($I$10:$I$61&lt;&gt;"")+($K$10:$K$61&lt;&gt;"")+($M$10:$M$61&lt;&gt;"")+($O$10:$O$61&lt;&gt;"")+($Q$10:$Q$61&lt;&gt;"")+($S$10:$S$61&lt;&gt;"")+($U$10:$U$61&lt;&gt;""))))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P02'!$D$16:$D$27,(INT((X15-1)/4)+1)))</f>
        <v/>
      </c>
      <c r="F15" s="7" t="str">
        <f t="array" ref="F15">IF(X15="","",INDEX('Inventory - P02'!$E$16:$E$27,(INT((X15-1)/4)+1)))</f>
        <v/>
      </c>
      <c r="G15" s="7" t="str">
        <f t="array" ref="G15">IF(X15="","",INDEX('Inventory - P02'!$I$16:$I$27,(INT((X15-1)/4)+1)))</f>
        <v/>
      </c>
      <c r="H15" s="7" t="str">
        <f t="array" ref="H15">IF(X15="","",INDEX('Inventory - P02'!$J$16:$J$27,(INT((X15-1)/4)+1)))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P02'!$B$16:$B$27,(INT((X16-1)/4)+1))&amp;IF(INDEX('Inventory - P02'!$C$16:$C$27,(INT((X16-1)/4)+1))="",""," ("&amp;INDEX('Inventory - P02'!$C$16:$C$27,(INT((X16-1)/4)+1))&amp;" mg)"))</f>
        <v/>
      </c>
      <c r="D16" s="7" t="str">
        <f t="array" ref="D16">IF(X16="","",INDEX('Inventory - P02'!$K$16:$K$27,(INT((X16-1)/4)+1))-SUMPRODUCT(($B$10:$B$61=B16)*(($I$10:$I$61&lt;&gt;"")+($K$10:$K$61&lt;&gt;"")+($M$10:$M$61&lt;&gt;"")+($O$10:$O$61&lt;&gt;"")+($Q$10:$Q$61&lt;&gt;"")+($S$10:$S$61&lt;&gt;"")+($U$10:$U$61&lt;&gt;""))))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P02'!$D$16:$D$27,(INT((X16-1)/4)+1)))</f>
        <v/>
      </c>
      <c r="F16" s="7" t="str">
        <f t="array" ref="F16">IF(X16="","",INDEX('Inventory - P02'!$E$16:$E$27,(INT((X16-1)/4)+1)))</f>
        <v/>
      </c>
      <c r="G16" s="7" t="str">
        <f t="array" ref="G16">IF(X16="","",INDEX('Inventory - P02'!$I$16:$I$27,(INT((X16-1)/4)+1)))</f>
        <v/>
      </c>
      <c r="H16" s="7" t="str">
        <f t="array" ref="H16">IF(X16="","",INDEX('Inventory - P02'!$J$16:$J$27,(INT((X16-1)/4)+1)))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P02'!$B$16:$B$27,(INT((X17-1)/4)+1))&amp;IF(INDEX('Inventory - P02'!$C$16:$C$27,(INT((X17-1)/4)+1))="",""," ("&amp;INDEX('Inventory - P02'!$C$16:$C$27,(INT((X17-1)/4)+1))&amp;" mg)"))</f>
        <v/>
      </c>
      <c r="D17" s="7" t="str">
        <f t="array" ref="D17">IF(X17="","",INDEX('Inventory - P02'!$K$16:$K$27,(INT((X17-1)/4)+1))-SUMPRODUCT(($B$10:$B$61=B17)*(($I$10:$I$61&lt;&gt;"")+($K$10:$K$61&lt;&gt;"")+($M$10:$M$61&lt;&gt;"")+($O$10:$O$61&lt;&gt;"")+($Q$10:$Q$61&lt;&gt;"")+($S$10:$S$61&lt;&gt;"")+($U$10:$U$61&lt;&gt;""))))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P02'!$D$16:$D$27,(INT((X17-1)/4)+1)))</f>
        <v/>
      </c>
      <c r="F17" s="7" t="str">
        <f t="array" ref="F17">IF(X17="","",INDEX('Inventory - P02'!$E$16:$E$27,(INT((X17-1)/4)+1)))</f>
        <v/>
      </c>
      <c r="G17" s="7" t="str">
        <f t="array" ref="G17">IF(X17="","",INDEX('Inventory - P02'!$I$16:$I$27,(INT((X17-1)/4)+1)))</f>
        <v/>
      </c>
      <c r="H17" s="7" t="str">
        <f t="array" ref="H17">IF(X17="","",INDEX('Inventory - P02'!$J$16:$J$27,(INT((X17-1)/4)+1)))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P02'!$B$16:$B$27,(INT((X18-1)/4)+1))&amp;IF(INDEX('Inventory - P02'!$C$16:$C$27,(INT((X18-1)/4)+1))="",""," ("&amp;INDEX('Inventory - P02'!$C$16:$C$27,(INT((X18-1)/4)+1))&amp;" mg)"))</f>
        <v/>
      </c>
      <c r="D18" s="7" t="str">
        <f t="array" ref="D18">IF(X18="","",INDEX('Inventory - P02'!$K$16:$K$27,(INT((X18-1)/4)+1))-SUMPRODUCT(($B$10:$B$61=B18)*(($I$10:$I$61&lt;&gt;"")+($K$10:$K$61&lt;&gt;"")+($M$10:$M$61&lt;&gt;"")+($O$10:$O$61&lt;&gt;"")+($Q$10:$Q$61&lt;&gt;"")+($S$10:$S$61&lt;&gt;"")+($U$10:$U$61&lt;&gt;""))))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P02'!$D$16:$D$27,(INT((X18-1)/4)+1)))</f>
        <v/>
      </c>
      <c r="F18" s="7" t="str">
        <f t="array" ref="F18">IF(X18="","",INDEX('Inventory - P02'!$E$16:$E$27,(INT((X18-1)/4)+1)))</f>
        <v/>
      </c>
      <c r="G18" s="7" t="str">
        <f t="array" ref="G18">IF(X18="","",INDEX('Inventory - P02'!$I$16:$I$27,(INT((X18-1)/4)+1)))</f>
        <v/>
      </c>
      <c r="H18" s="7" t="str">
        <f t="array" ref="H18">IF(X18="","",INDEX('Inventory - P02'!$J$16:$J$27,(INT((X18-1)/4)+1)))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P02'!$B$16:$B$27,(INT((X19-1)/4)+1))&amp;IF(INDEX('Inventory - P02'!$C$16:$C$27,(INT((X19-1)/4)+1))="",""," ("&amp;INDEX('Inventory - P02'!$C$16:$C$27,(INT((X19-1)/4)+1))&amp;" mg)"))</f>
        <v/>
      </c>
      <c r="D19" s="7" t="str">
        <f t="array" ref="D19">IF(X19="","",INDEX('Inventory - P02'!$K$16:$K$27,(INT((X19-1)/4)+1))-SUMPRODUCT(($B$10:$B$61=B19)*(($I$10:$I$61&lt;&gt;"")+($K$10:$K$61&lt;&gt;"")+($M$10:$M$61&lt;&gt;"")+($O$10:$O$61&lt;&gt;"")+($Q$10:$Q$61&lt;&gt;"")+($S$10:$S$61&lt;&gt;"")+($U$10:$U$61&lt;&gt;""))))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P02'!$D$16:$D$27,(INT((X19-1)/4)+1)))</f>
        <v/>
      </c>
      <c r="F19" s="7" t="str">
        <f t="array" ref="F19">IF(X19="","",INDEX('Inventory - P02'!$E$16:$E$27,(INT((X19-1)/4)+1)))</f>
        <v/>
      </c>
      <c r="G19" s="7" t="str">
        <f t="array" ref="G19">IF(X19="","",INDEX('Inventory - P02'!$I$16:$I$27,(INT((X19-1)/4)+1)))</f>
        <v/>
      </c>
      <c r="H19" s="7" t="str">
        <f t="array" ref="H19">IF(X19="","",INDEX('Inventory - P02'!$J$16:$J$27,(INT((X19-1)/4)+1)))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P02'!$B$16:$B$27,(INT((X20-1)/4)+1))&amp;IF(INDEX('Inventory - P02'!$C$16:$C$27,(INT((X20-1)/4)+1))="",""," ("&amp;INDEX('Inventory - P02'!$C$16:$C$27,(INT((X20-1)/4)+1))&amp;" mg)"))</f>
        <v/>
      </c>
      <c r="D20" s="7" t="str">
        <f t="array" ref="D20">IF(X20="","",INDEX('Inventory - P02'!$K$16:$K$27,(INT((X20-1)/4)+1))-SUMPRODUCT(($B$10:$B$61=B20)*(($I$10:$I$61&lt;&gt;"")+($K$10:$K$61&lt;&gt;"")+($M$10:$M$61&lt;&gt;"")+($O$10:$O$61&lt;&gt;"")+($Q$10:$Q$61&lt;&gt;"")+($S$10:$S$61&lt;&gt;"")+($U$10:$U$61&lt;&gt;""))))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P02'!$D$16:$D$27,(INT((X20-1)/4)+1)))</f>
        <v/>
      </c>
      <c r="F20" s="7" t="str">
        <f t="array" ref="F20">IF(X20="","",INDEX('Inventory - P02'!$E$16:$E$27,(INT((X20-1)/4)+1)))</f>
        <v/>
      </c>
      <c r="G20" s="7" t="str">
        <f t="array" ref="G20">IF(X20="","",INDEX('Inventory - P02'!$I$16:$I$27,(INT((X20-1)/4)+1)))</f>
        <v/>
      </c>
      <c r="H20" s="7" t="str">
        <f t="array" ref="H20">IF(X20="","",INDEX('Inventory - P02'!$J$16:$J$27,(INT((X20-1)/4)+1)))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P02'!$B$16:$B$27,(INT((X21-1)/4)+1))&amp;IF(INDEX('Inventory - P02'!$C$16:$C$27,(INT((X21-1)/4)+1))="",""," ("&amp;INDEX('Inventory - P02'!$C$16:$C$27,(INT((X21-1)/4)+1))&amp;" mg)"))</f>
        <v/>
      </c>
      <c r="D21" s="7" t="str">
        <f t="array" ref="D21">IF(X21="","",INDEX('Inventory - P02'!$K$16:$K$27,(INT((X21-1)/4)+1))-SUMPRODUCT(($B$10:$B$61=B21)*(($I$10:$I$61&lt;&gt;"")+($K$10:$K$61&lt;&gt;"")+($M$10:$M$61&lt;&gt;"")+($O$10:$O$61&lt;&gt;"")+($Q$10:$Q$61&lt;&gt;"")+($S$10:$S$61&lt;&gt;"")+($U$10:$U$61&lt;&gt;""))))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P02'!$D$16:$D$27,(INT((X21-1)/4)+1)))</f>
        <v/>
      </c>
      <c r="F21" s="7" t="str">
        <f t="array" ref="F21">IF(X21="","",INDEX('Inventory - P02'!$E$16:$E$27,(INT((X21-1)/4)+1)))</f>
        <v/>
      </c>
      <c r="G21" s="7" t="str">
        <f t="array" ref="G21">IF(X21="","",INDEX('Inventory - P02'!$I$16:$I$27,(INT((X21-1)/4)+1)))</f>
        <v/>
      </c>
      <c r="H21" s="7" t="str">
        <f t="array" ref="H21">IF(X21="","",INDEX('Inventory - P02'!$J$16:$J$27,(INT((X21-1)/4)+1)))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P02'!$B$16:$B$27,(INT((X22-1)/4)+1))&amp;IF(INDEX('Inventory - P02'!$C$16:$C$27,(INT((X22-1)/4)+1))="",""," ("&amp;INDEX('Inventory - P02'!$C$16:$C$27,(INT((X22-1)/4)+1))&amp;" mg)"))</f>
        <v/>
      </c>
      <c r="D22" s="7" t="str">
        <f t="array" ref="D22">IF(X22="","",INDEX('Inventory - P02'!$K$16:$K$27,(INT((X22-1)/4)+1))-SUMPRODUCT(($B$10:$B$61=B22)*(($I$10:$I$61&lt;&gt;"")+($K$10:$K$61&lt;&gt;"")+($M$10:$M$61&lt;&gt;"")+($O$10:$O$61&lt;&gt;"")+($Q$10:$Q$61&lt;&gt;"")+($S$10:$S$61&lt;&gt;"")+($U$10:$U$61&lt;&gt;""))))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P02'!$D$16:$D$27,(INT((X22-1)/4)+1)))</f>
        <v/>
      </c>
      <c r="F22" s="7" t="str">
        <f t="array" ref="F22">IF(X22="","",INDEX('Inventory - P02'!$E$16:$E$27,(INT((X22-1)/4)+1)))</f>
        <v/>
      </c>
      <c r="G22" s="7" t="str">
        <f t="array" ref="G22">IF(X22="","",INDEX('Inventory - P02'!$I$16:$I$27,(INT((X22-1)/4)+1)))</f>
        <v/>
      </c>
      <c r="H22" s="7" t="str">
        <f t="array" ref="H22">IF(X22="","",INDEX('Inventory - P02'!$J$16:$J$27,(INT((X22-1)/4)+1)))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P02'!$B$16:$B$27,(INT((X24-1)/4)+1))&amp;IF(INDEX('Inventory - P02'!$C$16:$C$27,(INT((X24-1)/4)+1))="",""," ("&amp;INDEX('Inventory - P02'!$C$16:$C$27,(INT((X24-1)/4)+1))&amp;" mg)"))</f>
        <v/>
      </c>
      <c r="D24" s="7" t="str">
        <f t="array" ref="D24">IF(X24="","",INDEX('Inventory - P02'!$K$16:$K$27,(INT((X24-1)/4)+1))-SUMPRODUCT(($B$10:$B$61=B24)*(($I$10:$I$61&lt;&gt;"")+($K$10:$K$61&lt;&gt;"")+($M$10:$M$61&lt;&gt;"")+($O$10:$O$61&lt;&gt;"")+($Q$10:$Q$61&lt;&gt;"")+($S$10:$S$61&lt;&gt;"")+($U$10:$U$61&lt;&gt;""))))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P02'!$D$16:$D$27,(INT((X24-1)/4)+1)))</f>
        <v/>
      </c>
      <c r="F24" s="7" t="str">
        <f t="array" ref="F24">IF(X24="","",INDEX('Inventory - P02'!$E$16:$E$27,(INT((X24-1)/4)+1)))</f>
        <v/>
      </c>
      <c r="G24" s="7" t="str">
        <f t="array" ref="G24">IF(X24="","",INDEX('Inventory - P02'!$I$16:$I$27,(INT((X24-1)/4)+1)))</f>
        <v/>
      </c>
      <c r="H24" s="7" t="str">
        <f t="array" ref="H24">IF(X24="","",INDEX('Inventory - P02'!$J$16:$J$27,(INT((X24-1)/4)+1)))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P02'!$B$16:$B$27,(INT((X25-1)/4)+1))&amp;IF(INDEX('Inventory - P02'!$C$16:$C$27,(INT((X25-1)/4)+1))="",""," ("&amp;INDEX('Inventory - P02'!$C$16:$C$27,(INT((X25-1)/4)+1))&amp;" mg)"))</f>
        <v/>
      </c>
      <c r="D25" s="7" t="str">
        <f t="array" ref="D25">IF(X25="","",INDEX('Inventory - P02'!$K$16:$K$27,(INT((X25-1)/4)+1))-SUMPRODUCT(($B$10:$B$61=B25)*(($I$10:$I$61&lt;&gt;"")+($K$10:$K$61&lt;&gt;"")+($M$10:$M$61&lt;&gt;"")+($O$10:$O$61&lt;&gt;"")+($Q$10:$Q$61&lt;&gt;"")+($S$10:$S$61&lt;&gt;"")+($U$10:$U$61&lt;&gt;""))))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P02'!$D$16:$D$27,(INT((X25-1)/4)+1)))</f>
        <v/>
      </c>
      <c r="F25" s="7" t="str">
        <f t="array" ref="F25">IF(X25="","",INDEX('Inventory - P02'!$E$16:$E$27,(INT((X25-1)/4)+1)))</f>
        <v/>
      </c>
      <c r="G25" s="7" t="str">
        <f t="array" ref="G25">IF(X25="","",INDEX('Inventory - P02'!$I$16:$I$27,(INT((X25-1)/4)+1)))</f>
        <v/>
      </c>
      <c r="H25" s="7" t="str">
        <f t="array" ref="H25">IF(X25="","",INDEX('Inventory - P02'!$J$16:$J$27,(INT((X25-1)/4)+1)))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P02'!$B$16:$B$27,(INT((X26-1)/4)+1))&amp;IF(INDEX('Inventory - P02'!$C$16:$C$27,(INT((X26-1)/4)+1))="",""," ("&amp;INDEX('Inventory - P02'!$C$16:$C$27,(INT((X26-1)/4)+1))&amp;" mg)"))</f>
        <v/>
      </c>
      <c r="D26" s="7" t="str">
        <f t="array" ref="D26">IF(X26="","",INDEX('Inventory - P02'!$K$16:$K$27,(INT((X26-1)/4)+1))-SUMPRODUCT(($B$10:$B$61=B26)*(($I$10:$I$61&lt;&gt;"")+($K$10:$K$61&lt;&gt;"")+($M$10:$M$61&lt;&gt;"")+($O$10:$O$61&lt;&gt;"")+($Q$10:$Q$61&lt;&gt;"")+($S$10:$S$61&lt;&gt;"")+($U$10:$U$61&lt;&gt;""))))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P02'!$D$16:$D$27,(INT((X26-1)/4)+1)))</f>
        <v/>
      </c>
      <c r="F26" s="7" t="str">
        <f t="array" ref="F26">IF(X26="","",INDEX('Inventory - P02'!$E$16:$E$27,(INT((X26-1)/4)+1)))</f>
        <v/>
      </c>
      <c r="G26" s="7" t="str">
        <f t="array" ref="G26">IF(X26="","",INDEX('Inventory - P02'!$I$16:$I$27,(INT((X26-1)/4)+1)))</f>
        <v/>
      </c>
      <c r="H26" s="7" t="str">
        <f t="array" ref="H26">IF(X26="","",INDEX('Inventory - P02'!$J$16:$J$27,(INT((X26-1)/4)+1)))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P02'!$B$16:$B$27,(INT((X27-1)/4)+1))&amp;IF(INDEX('Inventory - P02'!$C$16:$C$27,(INT((X27-1)/4)+1))="",""," ("&amp;INDEX('Inventory - P02'!$C$16:$C$27,(INT((X27-1)/4)+1))&amp;" mg)"))</f>
        <v/>
      </c>
      <c r="D27" s="7" t="str">
        <f t="array" ref="D27">IF(X27="","",INDEX('Inventory - P02'!$K$16:$K$27,(INT((X27-1)/4)+1))-SUMPRODUCT(($B$10:$B$61=B27)*(($I$10:$I$61&lt;&gt;"")+($K$10:$K$61&lt;&gt;"")+($M$10:$M$61&lt;&gt;"")+($O$10:$O$61&lt;&gt;"")+($Q$10:$Q$61&lt;&gt;"")+($S$10:$S$61&lt;&gt;"")+($U$10:$U$61&lt;&gt;""))))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P02'!$D$16:$D$27,(INT((X27-1)/4)+1)))</f>
        <v/>
      </c>
      <c r="F27" s="7" t="str">
        <f t="array" ref="F27">IF(X27="","",INDEX('Inventory - P02'!$E$16:$E$27,(INT((X27-1)/4)+1)))</f>
        <v/>
      </c>
      <c r="G27" s="7" t="str">
        <f t="array" ref="G27">IF(X27="","",INDEX('Inventory - P02'!$I$16:$I$27,(INT((X27-1)/4)+1)))</f>
        <v/>
      </c>
      <c r="H27" s="7" t="str">
        <f t="array" ref="H27">IF(X27="","",INDEX('Inventory - P02'!$J$16:$J$27,(INT((X27-1)/4)+1)))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P02'!$B$16:$B$27,(INT((X28-1)/4)+1))&amp;IF(INDEX('Inventory - P02'!$C$16:$C$27,(INT((X28-1)/4)+1))="",""," ("&amp;INDEX('Inventory - P02'!$C$16:$C$27,(INT((X28-1)/4)+1))&amp;" mg)"))</f>
        <v/>
      </c>
      <c r="D28" s="7" t="str">
        <f t="array" ref="D28">IF(X28="","",INDEX('Inventory - P02'!$K$16:$K$27,(INT((X28-1)/4)+1))-SUMPRODUCT(($B$10:$B$61=B28)*(($I$10:$I$61&lt;&gt;"")+($K$10:$K$61&lt;&gt;"")+($M$10:$M$61&lt;&gt;"")+($O$10:$O$61&lt;&gt;"")+($Q$10:$Q$61&lt;&gt;"")+($S$10:$S$61&lt;&gt;"")+($U$10:$U$61&lt;&gt;""))))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P02'!$D$16:$D$27,(INT((X28-1)/4)+1)))</f>
        <v/>
      </c>
      <c r="F28" s="7" t="str">
        <f t="array" ref="F28">IF(X28="","",INDEX('Inventory - P02'!$E$16:$E$27,(INT((X28-1)/4)+1)))</f>
        <v/>
      </c>
      <c r="G28" s="7" t="str">
        <f t="array" ref="G28">IF(X28="","",INDEX('Inventory - P02'!$I$16:$I$27,(INT((X28-1)/4)+1)))</f>
        <v/>
      </c>
      <c r="H28" s="7" t="str">
        <f t="array" ref="H28">IF(X28="","",INDEX('Inventory - P02'!$J$16:$J$27,(INT((X28-1)/4)+1)))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P02'!$B$16:$B$27,(INT((X29-1)/4)+1))&amp;IF(INDEX('Inventory - P02'!$C$16:$C$27,(INT((X29-1)/4)+1))="",""," ("&amp;INDEX('Inventory - P02'!$C$16:$C$27,(INT((X29-1)/4)+1))&amp;" mg)"))</f>
        <v/>
      </c>
      <c r="D29" s="7" t="str">
        <f t="array" ref="D29">IF(X29="","",INDEX('Inventory - P02'!$K$16:$K$27,(INT((X29-1)/4)+1))-SUMPRODUCT(($B$10:$B$61=B29)*(($I$10:$I$61&lt;&gt;"")+($K$10:$K$61&lt;&gt;"")+($M$10:$M$61&lt;&gt;"")+($O$10:$O$61&lt;&gt;"")+($Q$10:$Q$61&lt;&gt;"")+($S$10:$S$61&lt;&gt;"")+($U$10:$U$61&lt;&gt;""))))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P02'!$D$16:$D$27,(INT((X29-1)/4)+1)))</f>
        <v/>
      </c>
      <c r="F29" s="7" t="str">
        <f t="array" ref="F29">IF(X29="","",INDEX('Inventory - P02'!$E$16:$E$27,(INT((X29-1)/4)+1)))</f>
        <v/>
      </c>
      <c r="G29" s="7" t="str">
        <f t="array" ref="G29">IF(X29="","",INDEX('Inventory - P02'!$I$16:$I$27,(INT((X29-1)/4)+1)))</f>
        <v/>
      </c>
      <c r="H29" s="7" t="str">
        <f t="array" ref="H29">IF(X29="","",INDEX('Inventory - P02'!$J$16:$J$27,(INT((X29-1)/4)+1)))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P02'!$B$16:$B$27,(INT((X30-1)/4)+1))&amp;IF(INDEX('Inventory - P02'!$C$16:$C$27,(INT((X30-1)/4)+1))="",""," ("&amp;INDEX('Inventory - P02'!$C$16:$C$27,(INT((X30-1)/4)+1))&amp;" mg)"))</f>
        <v/>
      </c>
      <c r="D30" s="7" t="str">
        <f t="array" ref="D30">IF(X30="","",INDEX('Inventory - P02'!$K$16:$K$27,(INT((X30-1)/4)+1))-SUMPRODUCT(($B$10:$B$61=B30)*(($I$10:$I$61&lt;&gt;"")+($K$10:$K$61&lt;&gt;"")+($M$10:$M$61&lt;&gt;"")+($O$10:$O$61&lt;&gt;"")+($Q$10:$Q$61&lt;&gt;"")+($S$10:$S$61&lt;&gt;"")+($U$10:$U$61&lt;&gt;""))))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P02'!$D$16:$D$27,(INT((X30-1)/4)+1)))</f>
        <v/>
      </c>
      <c r="F30" s="7" t="str">
        <f t="array" ref="F30">IF(X30="","",INDEX('Inventory - P02'!$E$16:$E$27,(INT((X30-1)/4)+1)))</f>
        <v/>
      </c>
      <c r="G30" s="7" t="str">
        <f t="array" ref="G30">IF(X30="","",INDEX('Inventory - P02'!$I$16:$I$27,(INT((X30-1)/4)+1)))</f>
        <v/>
      </c>
      <c r="H30" s="7" t="str">
        <f t="array" ref="H30">IF(X30="","",INDEX('Inventory - P02'!$J$16:$J$27,(INT((X30-1)/4)+1)))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P02'!$B$16:$B$27,(INT((X31-1)/4)+1))&amp;IF(INDEX('Inventory - P02'!$C$16:$C$27,(INT((X31-1)/4)+1))="",""," ("&amp;INDEX('Inventory - P02'!$C$16:$C$27,(INT((X31-1)/4)+1))&amp;" mg)"))</f>
        <v/>
      </c>
      <c r="D31" s="7" t="str">
        <f t="array" ref="D31">IF(X31="","",INDEX('Inventory - P02'!$K$16:$K$27,(INT((X31-1)/4)+1))-SUMPRODUCT(($B$10:$B$61=B31)*(($I$10:$I$61&lt;&gt;"")+($K$10:$K$61&lt;&gt;"")+($M$10:$M$61&lt;&gt;"")+($O$10:$O$61&lt;&gt;"")+($Q$10:$Q$61&lt;&gt;"")+($S$10:$S$61&lt;&gt;"")+($U$10:$U$61&lt;&gt;""))))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P02'!$D$16:$D$27,(INT((X31-1)/4)+1)))</f>
        <v/>
      </c>
      <c r="F31" s="7" t="str">
        <f t="array" ref="F31">IF(X31="","",INDEX('Inventory - P02'!$E$16:$E$27,(INT((X31-1)/4)+1)))</f>
        <v/>
      </c>
      <c r="G31" s="7" t="str">
        <f t="array" ref="G31">IF(X31="","",INDEX('Inventory - P02'!$I$16:$I$27,(INT((X31-1)/4)+1)))</f>
        <v/>
      </c>
      <c r="H31" s="7" t="str">
        <f t="array" ref="H31">IF(X31="","",INDEX('Inventory - P02'!$J$16:$J$27,(INT((X31-1)/4)+1)))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P02'!$B$16:$B$27,(INT((X32-1)/4)+1))&amp;IF(INDEX('Inventory - P02'!$C$16:$C$27,(INT((X32-1)/4)+1))="",""," ("&amp;INDEX('Inventory - P02'!$C$16:$C$27,(INT((X32-1)/4)+1))&amp;" mg)"))</f>
        <v/>
      </c>
      <c r="D32" s="7" t="str">
        <f t="array" ref="D32">IF(X32="","",INDEX('Inventory - P02'!$K$16:$K$27,(INT((X32-1)/4)+1))-SUMPRODUCT(($B$10:$B$61=B32)*(($I$10:$I$61&lt;&gt;"")+($K$10:$K$61&lt;&gt;"")+($M$10:$M$61&lt;&gt;"")+($O$10:$O$61&lt;&gt;"")+($Q$10:$Q$61&lt;&gt;"")+($S$10:$S$61&lt;&gt;"")+($U$10:$U$61&lt;&gt;""))))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P02'!$D$16:$D$27,(INT((X32-1)/4)+1)))</f>
        <v/>
      </c>
      <c r="F32" s="7" t="str">
        <f t="array" ref="F32">IF(X32="","",INDEX('Inventory - P02'!$E$16:$E$27,(INT((X32-1)/4)+1)))</f>
        <v/>
      </c>
      <c r="G32" s="7" t="str">
        <f t="array" ref="G32">IF(X32="","",INDEX('Inventory - P02'!$I$16:$I$27,(INT((X32-1)/4)+1)))</f>
        <v/>
      </c>
      <c r="H32" s="7" t="str">
        <f t="array" ref="H32">IF(X32="","",INDEX('Inventory - P02'!$J$16:$J$27,(INT((X32-1)/4)+1)))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P02'!$B$16:$B$27,(INT((X33-1)/4)+1))&amp;IF(INDEX('Inventory - P02'!$C$16:$C$27,(INT((X33-1)/4)+1))="",""," ("&amp;INDEX('Inventory - P02'!$C$16:$C$27,(INT((X33-1)/4)+1))&amp;" mg)"))</f>
        <v/>
      </c>
      <c r="D33" s="7" t="str">
        <f t="array" ref="D33">IF(X33="","",INDEX('Inventory - P02'!$K$16:$K$27,(INT((X33-1)/4)+1))-SUMPRODUCT(($B$10:$B$61=B33)*(($I$10:$I$61&lt;&gt;"")+($K$10:$K$61&lt;&gt;"")+($M$10:$M$61&lt;&gt;"")+($O$10:$O$61&lt;&gt;"")+($Q$10:$Q$61&lt;&gt;"")+($S$10:$S$61&lt;&gt;"")+($U$10:$U$61&lt;&gt;""))))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P02'!$D$16:$D$27,(INT((X33-1)/4)+1)))</f>
        <v/>
      </c>
      <c r="F33" s="7" t="str">
        <f t="array" ref="F33">IF(X33="","",INDEX('Inventory - P02'!$E$16:$E$27,(INT((X33-1)/4)+1)))</f>
        <v/>
      </c>
      <c r="G33" s="7" t="str">
        <f t="array" ref="G33">IF(X33="","",INDEX('Inventory - P02'!$I$16:$I$27,(INT((X33-1)/4)+1)))</f>
        <v/>
      </c>
      <c r="H33" s="7" t="str">
        <f t="array" ref="H33">IF(X33="","",INDEX('Inventory - P02'!$J$16:$J$27,(INT((X33-1)/4)+1)))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P02'!$B$16:$B$27,(INT((X34-1)/4)+1))&amp;IF(INDEX('Inventory - P02'!$C$16:$C$27,(INT((X34-1)/4)+1))="",""," ("&amp;INDEX('Inventory - P02'!$C$16:$C$27,(INT((X34-1)/4)+1))&amp;" mg)"))</f>
        <v/>
      </c>
      <c r="D34" s="7" t="str">
        <f t="array" ref="D34">IF(X34="","",INDEX('Inventory - P02'!$K$16:$K$27,(INT((X34-1)/4)+1))-SUMPRODUCT(($B$10:$B$61=B34)*(($I$10:$I$61&lt;&gt;"")+($K$10:$K$61&lt;&gt;"")+($M$10:$M$61&lt;&gt;"")+($O$10:$O$61&lt;&gt;"")+($Q$10:$Q$61&lt;&gt;"")+($S$10:$S$61&lt;&gt;"")+($U$10:$U$61&lt;&gt;""))))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P02'!$D$16:$D$27,(INT((X34-1)/4)+1)))</f>
        <v/>
      </c>
      <c r="F34" s="7" t="str">
        <f t="array" ref="F34">IF(X34="","",INDEX('Inventory - P02'!$E$16:$E$27,(INT((X34-1)/4)+1)))</f>
        <v/>
      </c>
      <c r="G34" s="7" t="str">
        <f t="array" ref="G34">IF(X34="","",INDEX('Inventory - P02'!$I$16:$I$27,(INT((X34-1)/4)+1)))</f>
        <v/>
      </c>
      <c r="H34" s="7" t="str">
        <f t="array" ref="H34">IF(X34="","",INDEX('Inventory - P02'!$J$16:$J$27,(INT((X34-1)/4)+1)))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P02'!$B$16:$B$27,(INT((X35-1)/4)+1))&amp;IF(INDEX('Inventory - P02'!$C$16:$C$27,(INT((X35-1)/4)+1))="",""," ("&amp;INDEX('Inventory - P02'!$C$16:$C$27,(INT((X35-1)/4)+1))&amp;" mg)"))</f>
        <v/>
      </c>
      <c r="D35" s="7" t="str">
        <f t="array" ref="D35">IF(X35="","",INDEX('Inventory - P02'!$K$16:$K$27,(INT((X35-1)/4)+1))-SUMPRODUCT(($B$10:$B$61=B35)*(($I$10:$I$61&lt;&gt;"")+($K$10:$K$61&lt;&gt;"")+($M$10:$M$61&lt;&gt;"")+($O$10:$O$61&lt;&gt;"")+($Q$10:$Q$61&lt;&gt;"")+($S$10:$S$61&lt;&gt;"")+($U$10:$U$61&lt;&gt;""))))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P02'!$D$16:$D$27,(INT((X35-1)/4)+1)))</f>
        <v/>
      </c>
      <c r="F35" s="7" t="str">
        <f t="array" ref="F35">IF(X35="","",INDEX('Inventory - P02'!$E$16:$E$27,(INT((X35-1)/4)+1)))</f>
        <v/>
      </c>
      <c r="G35" s="7" t="str">
        <f t="array" ref="G35">IF(X35="","",INDEX('Inventory - P02'!$I$16:$I$27,(INT((X35-1)/4)+1)))</f>
        <v/>
      </c>
      <c r="H35" s="7" t="str">
        <f t="array" ref="H35">IF(X35="","",INDEX('Inventory - P02'!$J$16:$J$27,(INT((X35-1)/4)+1)))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P02'!$B$16:$B$27,(INT((X37-1)/4)+1))&amp;IF(INDEX('Inventory - P02'!$C$16:$C$27,(INT((X37-1)/4)+1))="",""," ("&amp;INDEX('Inventory - P02'!$C$16:$C$27,(INT((X37-1)/4)+1))&amp;" mg)"))</f>
        <v/>
      </c>
      <c r="D37" s="7" t="str">
        <f t="array" ref="D37">IF(X37="","",INDEX('Inventory - P02'!$K$16:$K$27,(INT((X37-1)/4)+1))-SUMPRODUCT(($B$10:$B$61=B37)*(($I$10:$I$61&lt;&gt;"")+($K$10:$K$61&lt;&gt;"")+($M$10:$M$61&lt;&gt;"")+($O$10:$O$61&lt;&gt;"")+($Q$10:$Q$61&lt;&gt;"")+($S$10:$S$61&lt;&gt;"")+($U$10:$U$61&lt;&gt;""))))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P02'!$D$16:$D$27,(INT((X37-1)/4)+1)))</f>
        <v/>
      </c>
      <c r="F37" s="7" t="str">
        <f t="array" ref="F37">IF(X37="","",INDEX('Inventory - P02'!$E$16:$E$27,(INT((X37-1)/4)+1)))</f>
        <v/>
      </c>
      <c r="G37" s="7" t="str">
        <f t="array" ref="G37">IF(X37="","",INDEX('Inventory - P02'!$I$16:$I$27,(INT((X37-1)/4)+1)))</f>
        <v/>
      </c>
      <c r="H37" s="7" t="str">
        <f t="array" ref="H37">IF(X37="","",INDEX('Inventory - P02'!$J$16:$J$27,(INT((X37-1)/4)+1)))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P02'!$B$16:$B$27,(INT((X38-1)/4)+1))&amp;IF(INDEX('Inventory - P02'!$C$16:$C$27,(INT((X38-1)/4)+1))="",""," ("&amp;INDEX('Inventory - P02'!$C$16:$C$27,(INT((X38-1)/4)+1))&amp;" mg)"))</f>
        <v/>
      </c>
      <c r="D38" s="7" t="str">
        <f t="array" ref="D38">IF(X38="","",INDEX('Inventory - P02'!$K$16:$K$27,(INT((X38-1)/4)+1))-SUMPRODUCT(($B$10:$B$61=B38)*(($I$10:$I$61&lt;&gt;"")+($K$10:$K$61&lt;&gt;"")+($M$10:$M$61&lt;&gt;"")+($O$10:$O$61&lt;&gt;"")+($Q$10:$Q$61&lt;&gt;"")+($S$10:$S$61&lt;&gt;"")+($U$10:$U$61&lt;&gt;""))))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P02'!$D$16:$D$27,(INT((X38-1)/4)+1)))</f>
        <v/>
      </c>
      <c r="F38" s="7" t="str">
        <f t="array" ref="F38">IF(X38="","",INDEX('Inventory - P02'!$E$16:$E$27,(INT((X38-1)/4)+1)))</f>
        <v/>
      </c>
      <c r="G38" s="7" t="str">
        <f t="array" ref="G38">IF(X38="","",INDEX('Inventory - P02'!$I$16:$I$27,(INT((X38-1)/4)+1)))</f>
        <v/>
      </c>
      <c r="H38" s="7" t="str">
        <f t="array" ref="H38">IF(X38="","",INDEX('Inventory - P02'!$J$16:$J$27,(INT((X38-1)/4)+1)))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P02'!$B$16:$B$27,(INT((X39-1)/4)+1))&amp;IF(INDEX('Inventory - P02'!$C$16:$C$27,(INT((X39-1)/4)+1))="",""," ("&amp;INDEX('Inventory - P02'!$C$16:$C$27,(INT((X39-1)/4)+1))&amp;" mg)"))</f>
        <v/>
      </c>
      <c r="D39" s="7" t="str">
        <f t="array" ref="D39">IF(X39="","",INDEX('Inventory - P02'!$K$16:$K$27,(INT((X39-1)/4)+1))-SUMPRODUCT(($B$10:$B$61=B39)*(($I$10:$I$61&lt;&gt;"")+($K$10:$K$61&lt;&gt;"")+($M$10:$M$61&lt;&gt;"")+($O$10:$O$61&lt;&gt;"")+($Q$10:$Q$61&lt;&gt;"")+($S$10:$S$61&lt;&gt;"")+($U$10:$U$61&lt;&gt;""))))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P02'!$D$16:$D$27,(INT((X39-1)/4)+1)))</f>
        <v/>
      </c>
      <c r="F39" s="7" t="str">
        <f t="array" ref="F39">IF(X39="","",INDEX('Inventory - P02'!$E$16:$E$27,(INT((X39-1)/4)+1)))</f>
        <v/>
      </c>
      <c r="G39" s="7" t="str">
        <f t="array" ref="G39">IF(X39="","",INDEX('Inventory - P02'!$I$16:$I$27,(INT((X39-1)/4)+1)))</f>
        <v/>
      </c>
      <c r="H39" s="7" t="str">
        <f t="array" ref="H39">IF(X39="","",INDEX('Inventory - P02'!$J$16:$J$27,(INT((X39-1)/4)+1)))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P02'!$B$16:$B$27,(INT((X40-1)/4)+1))&amp;IF(INDEX('Inventory - P02'!$C$16:$C$27,(INT((X40-1)/4)+1))="",""," ("&amp;INDEX('Inventory - P02'!$C$16:$C$27,(INT((X40-1)/4)+1))&amp;" mg)"))</f>
        <v/>
      </c>
      <c r="D40" s="7" t="str">
        <f t="array" ref="D40">IF(X40="","",INDEX('Inventory - P02'!$K$16:$K$27,(INT((X40-1)/4)+1))-SUMPRODUCT(($B$10:$B$61=B40)*(($I$10:$I$61&lt;&gt;"")+($K$10:$K$61&lt;&gt;"")+($M$10:$M$61&lt;&gt;"")+($O$10:$O$61&lt;&gt;"")+($Q$10:$Q$61&lt;&gt;"")+($S$10:$S$61&lt;&gt;"")+($U$10:$U$61&lt;&gt;""))))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P02'!$D$16:$D$27,(INT((X40-1)/4)+1)))</f>
        <v/>
      </c>
      <c r="F40" s="7" t="str">
        <f t="array" ref="F40">IF(X40="","",INDEX('Inventory - P02'!$E$16:$E$27,(INT((X40-1)/4)+1)))</f>
        <v/>
      </c>
      <c r="G40" s="7" t="str">
        <f t="array" ref="G40">IF(X40="","",INDEX('Inventory - P02'!$I$16:$I$27,(INT((X40-1)/4)+1)))</f>
        <v/>
      </c>
      <c r="H40" s="7" t="str">
        <f t="array" ref="H40">IF(X40="","",INDEX('Inventory - P02'!$J$16:$J$27,(INT((X40-1)/4)+1)))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P02'!$B$16:$B$27,(INT((X41-1)/4)+1))&amp;IF(INDEX('Inventory - P02'!$C$16:$C$27,(INT((X41-1)/4)+1))="",""," ("&amp;INDEX('Inventory - P02'!$C$16:$C$27,(INT((X41-1)/4)+1))&amp;" mg)"))</f>
        <v/>
      </c>
      <c r="D41" s="7" t="str">
        <f t="array" ref="D41">IF(X41="","",INDEX('Inventory - P02'!$K$16:$K$27,(INT((X41-1)/4)+1))-SUMPRODUCT(($B$10:$B$61=B41)*(($I$10:$I$61&lt;&gt;"")+($K$10:$K$61&lt;&gt;"")+($M$10:$M$61&lt;&gt;"")+($O$10:$O$61&lt;&gt;"")+($Q$10:$Q$61&lt;&gt;"")+($S$10:$S$61&lt;&gt;"")+($U$10:$U$61&lt;&gt;""))))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P02'!$D$16:$D$27,(INT((X41-1)/4)+1)))</f>
        <v/>
      </c>
      <c r="F41" s="7" t="str">
        <f t="array" ref="F41">IF(X41="","",INDEX('Inventory - P02'!$E$16:$E$27,(INT((X41-1)/4)+1)))</f>
        <v/>
      </c>
      <c r="G41" s="7" t="str">
        <f t="array" ref="G41">IF(X41="","",INDEX('Inventory - P02'!$I$16:$I$27,(INT((X41-1)/4)+1)))</f>
        <v/>
      </c>
      <c r="H41" s="7" t="str">
        <f t="array" ref="H41">IF(X41="","",INDEX('Inventory - P02'!$J$16:$J$27,(INT((X41-1)/4)+1)))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P02'!$B$16:$B$27,(INT((X42-1)/4)+1))&amp;IF(INDEX('Inventory - P02'!$C$16:$C$27,(INT((X42-1)/4)+1))="",""," ("&amp;INDEX('Inventory - P02'!$C$16:$C$27,(INT((X42-1)/4)+1))&amp;" mg)"))</f>
        <v/>
      </c>
      <c r="D42" s="7" t="str">
        <f t="array" ref="D42">IF(X42="","",INDEX('Inventory - P02'!$K$16:$K$27,(INT((X42-1)/4)+1))-SUMPRODUCT(($B$10:$B$61=B42)*(($I$10:$I$61&lt;&gt;"")+($K$10:$K$61&lt;&gt;"")+($M$10:$M$61&lt;&gt;"")+($O$10:$O$61&lt;&gt;"")+($Q$10:$Q$61&lt;&gt;"")+($S$10:$S$61&lt;&gt;"")+($U$10:$U$61&lt;&gt;""))))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P02'!$D$16:$D$27,(INT((X42-1)/4)+1)))</f>
        <v/>
      </c>
      <c r="F42" s="7" t="str">
        <f t="array" ref="F42">IF(X42="","",INDEX('Inventory - P02'!$E$16:$E$27,(INT((X42-1)/4)+1)))</f>
        <v/>
      </c>
      <c r="G42" s="7" t="str">
        <f t="array" ref="G42">IF(X42="","",INDEX('Inventory - P02'!$I$16:$I$27,(INT((X42-1)/4)+1)))</f>
        <v/>
      </c>
      <c r="H42" s="7" t="str">
        <f t="array" ref="H42">IF(X42="","",INDEX('Inventory - P02'!$J$16:$J$27,(INT((X42-1)/4)+1)))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P02'!$B$16:$B$27,(INT((X43-1)/4)+1))&amp;IF(INDEX('Inventory - P02'!$C$16:$C$27,(INT((X43-1)/4)+1))="",""," ("&amp;INDEX('Inventory - P02'!$C$16:$C$27,(INT((X43-1)/4)+1))&amp;" mg)"))</f>
        <v/>
      </c>
      <c r="D43" s="7" t="str">
        <f t="array" ref="D43">IF(X43="","",INDEX('Inventory - P02'!$K$16:$K$27,(INT((X43-1)/4)+1))-SUMPRODUCT(($B$10:$B$61=B43)*(($I$10:$I$61&lt;&gt;"")+($K$10:$K$61&lt;&gt;"")+($M$10:$M$61&lt;&gt;"")+($O$10:$O$61&lt;&gt;"")+($Q$10:$Q$61&lt;&gt;"")+($S$10:$S$61&lt;&gt;"")+($U$10:$U$61&lt;&gt;""))))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P02'!$D$16:$D$27,(INT((X43-1)/4)+1)))</f>
        <v/>
      </c>
      <c r="F43" s="7" t="str">
        <f t="array" ref="F43">IF(X43="","",INDEX('Inventory - P02'!$E$16:$E$27,(INT((X43-1)/4)+1)))</f>
        <v/>
      </c>
      <c r="G43" s="7" t="str">
        <f t="array" ref="G43">IF(X43="","",INDEX('Inventory - P02'!$I$16:$I$27,(INT((X43-1)/4)+1)))</f>
        <v/>
      </c>
      <c r="H43" s="7" t="str">
        <f t="array" ref="H43">IF(X43="","",INDEX('Inventory - P02'!$J$16:$J$27,(INT((X43-1)/4)+1)))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P02'!$B$16:$B$27,(INT((X44-1)/4)+1))&amp;IF(INDEX('Inventory - P02'!$C$16:$C$27,(INT((X44-1)/4)+1))="",""," ("&amp;INDEX('Inventory - P02'!$C$16:$C$27,(INT((X44-1)/4)+1))&amp;" mg)"))</f>
        <v/>
      </c>
      <c r="D44" s="7" t="str">
        <f t="array" ref="D44">IF(X44="","",INDEX('Inventory - P02'!$K$16:$K$27,(INT((X44-1)/4)+1))-SUMPRODUCT(($B$10:$B$61=B44)*(($I$10:$I$61&lt;&gt;"")+($K$10:$K$61&lt;&gt;"")+($M$10:$M$61&lt;&gt;"")+($O$10:$O$61&lt;&gt;"")+($Q$10:$Q$61&lt;&gt;"")+($S$10:$S$61&lt;&gt;"")+($U$10:$U$61&lt;&gt;""))))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P02'!$D$16:$D$27,(INT((X44-1)/4)+1)))</f>
        <v/>
      </c>
      <c r="F44" s="7" t="str">
        <f t="array" ref="F44">IF(X44="","",INDEX('Inventory - P02'!$E$16:$E$27,(INT((X44-1)/4)+1)))</f>
        <v/>
      </c>
      <c r="G44" s="7" t="str">
        <f t="array" ref="G44">IF(X44="","",INDEX('Inventory - P02'!$I$16:$I$27,(INT((X44-1)/4)+1)))</f>
        <v/>
      </c>
      <c r="H44" s="7" t="str">
        <f t="array" ref="H44">IF(X44="","",INDEX('Inventory - P02'!$J$16:$J$27,(INT((X44-1)/4)+1)))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P02'!$B$16:$B$27,(INT((X45-1)/4)+1))&amp;IF(INDEX('Inventory - P02'!$C$16:$C$27,(INT((X45-1)/4)+1))="",""," ("&amp;INDEX('Inventory - P02'!$C$16:$C$27,(INT((X45-1)/4)+1))&amp;" mg)"))</f>
        <v/>
      </c>
      <c r="D45" s="7" t="str">
        <f t="array" ref="D45">IF(X45="","",INDEX('Inventory - P02'!$K$16:$K$27,(INT((X45-1)/4)+1))-SUMPRODUCT(($B$10:$B$61=B45)*(($I$10:$I$61&lt;&gt;"")+($K$10:$K$61&lt;&gt;"")+($M$10:$M$61&lt;&gt;"")+($O$10:$O$61&lt;&gt;"")+($Q$10:$Q$61&lt;&gt;"")+($S$10:$S$61&lt;&gt;"")+($U$10:$U$61&lt;&gt;""))))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P02'!$D$16:$D$27,(INT((X45-1)/4)+1)))</f>
        <v/>
      </c>
      <c r="F45" s="7" t="str">
        <f t="array" ref="F45">IF(X45="","",INDEX('Inventory - P02'!$E$16:$E$27,(INT((X45-1)/4)+1)))</f>
        <v/>
      </c>
      <c r="G45" s="7" t="str">
        <f t="array" ref="G45">IF(X45="","",INDEX('Inventory - P02'!$I$16:$I$27,(INT((X45-1)/4)+1)))</f>
        <v/>
      </c>
      <c r="H45" s="7" t="str">
        <f t="array" ref="H45">IF(X45="","",INDEX('Inventory - P02'!$J$16:$J$27,(INT((X45-1)/4)+1)))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P02'!$B$16:$B$27,(INT((X46-1)/4)+1))&amp;IF(INDEX('Inventory - P02'!$C$16:$C$27,(INT((X46-1)/4)+1))="",""," ("&amp;INDEX('Inventory - P02'!$C$16:$C$27,(INT((X46-1)/4)+1))&amp;" mg)"))</f>
        <v/>
      </c>
      <c r="D46" s="7" t="str">
        <f t="array" ref="D46">IF(X46="","",INDEX('Inventory - P02'!$K$16:$K$27,(INT((X46-1)/4)+1))-SUMPRODUCT(($B$10:$B$61=B46)*(($I$10:$I$61&lt;&gt;"")+($K$10:$K$61&lt;&gt;"")+($M$10:$M$61&lt;&gt;"")+($O$10:$O$61&lt;&gt;"")+($Q$10:$Q$61&lt;&gt;"")+($S$10:$S$61&lt;&gt;"")+($U$10:$U$61&lt;&gt;""))))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P02'!$D$16:$D$27,(INT((X46-1)/4)+1)))</f>
        <v/>
      </c>
      <c r="F46" s="7" t="str">
        <f t="array" ref="F46">IF(X46="","",INDEX('Inventory - P02'!$E$16:$E$27,(INT((X46-1)/4)+1)))</f>
        <v/>
      </c>
      <c r="G46" s="7" t="str">
        <f t="array" ref="G46">IF(X46="","",INDEX('Inventory - P02'!$I$16:$I$27,(INT((X46-1)/4)+1)))</f>
        <v/>
      </c>
      <c r="H46" s="7" t="str">
        <f t="array" ref="H46">IF(X46="","",INDEX('Inventory - P02'!$J$16:$J$27,(INT((X46-1)/4)+1)))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P02'!$B$16:$B$27,(INT((X47-1)/4)+1))&amp;IF(INDEX('Inventory - P02'!$C$16:$C$27,(INT((X47-1)/4)+1))="",""," ("&amp;INDEX('Inventory - P02'!$C$16:$C$27,(INT((X47-1)/4)+1))&amp;" mg)"))</f>
        <v/>
      </c>
      <c r="D47" s="7" t="str">
        <f t="array" ref="D47">IF(X47="","",INDEX('Inventory - P02'!$K$16:$K$27,(INT((X47-1)/4)+1))-SUMPRODUCT(($B$10:$B$61=B47)*(($I$10:$I$61&lt;&gt;"")+($K$10:$K$61&lt;&gt;"")+($M$10:$M$61&lt;&gt;"")+($O$10:$O$61&lt;&gt;"")+($Q$10:$Q$61&lt;&gt;"")+($S$10:$S$61&lt;&gt;"")+($U$10:$U$61&lt;&gt;""))))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P02'!$D$16:$D$27,(INT((X47-1)/4)+1)))</f>
        <v/>
      </c>
      <c r="F47" s="7" t="str">
        <f t="array" ref="F47">IF(X47="","",INDEX('Inventory - P02'!$E$16:$E$27,(INT((X47-1)/4)+1)))</f>
        <v/>
      </c>
      <c r="G47" s="7" t="str">
        <f t="array" ref="G47">IF(X47="","",INDEX('Inventory - P02'!$I$16:$I$27,(INT((X47-1)/4)+1)))</f>
        <v/>
      </c>
      <c r="H47" s="7" t="str">
        <f t="array" ref="H47">IF(X47="","",INDEX('Inventory - P02'!$J$16:$J$27,(INT((X47-1)/4)+1)))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P02'!$B$16:$B$27,(INT((X48-1)/4)+1))&amp;IF(INDEX('Inventory - P02'!$C$16:$C$27,(INT((X48-1)/4)+1))="",""," ("&amp;INDEX('Inventory - P02'!$C$16:$C$27,(INT((X48-1)/4)+1))&amp;" mg)"))</f>
        <v/>
      </c>
      <c r="D48" s="7" t="str">
        <f t="array" ref="D48">IF(X48="","",INDEX('Inventory - P02'!$K$16:$K$27,(INT((X48-1)/4)+1))-SUMPRODUCT(($B$10:$B$61=B48)*(($I$10:$I$61&lt;&gt;"")+($K$10:$K$61&lt;&gt;"")+($M$10:$M$61&lt;&gt;"")+($O$10:$O$61&lt;&gt;"")+($Q$10:$Q$61&lt;&gt;"")+($S$10:$S$61&lt;&gt;"")+($U$10:$U$61&lt;&gt;""))))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P02'!$D$16:$D$27,(INT((X48-1)/4)+1)))</f>
        <v/>
      </c>
      <c r="F48" s="7" t="str">
        <f t="array" ref="F48">IF(X48="","",INDEX('Inventory - P02'!$E$16:$E$27,(INT((X48-1)/4)+1)))</f>
        <v/>
      </c>
      <c r="G48" s="7" t="str">
        <f t="array" ref="G48">IF(X48="","",INDEX('Inventory - P02'!$I$16:$I$27,(INT((X48-1)/4)+1)))</f>
        <v/>
      </c>
      <c r="H48" s="7" t="str">
        <f t="array" ref="H48">IF(X48="","",INDEX('Inventory - P02'!$J$16:$J$27,(INT((X48-1)/4)+1)))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>8:00 PM</v>
      </c>
      <c r="B50" s="7">
        <f t="shared" ref="B50:B61" si="10">IF(X50="","",(INT((X50-1)/4)+1))</f>
        <v>1</v>
      </c>
      <c r="C50" s="14" t="str">
        <f t="array" ref="C50">IF(X50="","",INDEX('Inventory - P02'!$B$16:$B$27,(INT((X50-1)/4)+1))&amp;IF(INDEX('Inventory - P02'!$C$16:$C$27,(INT((X50-1)/4)+1))="",""," ("&amp;INDEX('Inventory - P02'!$C$16:$C$27,(INT((X50-1)/4)+1))&amp;" mg)"))</f>
        <v>Lithium (300 mg)</v>
      </c>
      <c r="D50" s="7">
        <f t="array" ref="D50">IF(X50="","",INDEX('Inventory - P02'!$K$16:$K$27,(INT((X50-1)/4)+1))-SUMPRODUCT(($B$10:$B$61=B50)*(($I$10:$I$61&lt;&gt;"")+($K$10:$K$61&lt;&gt;"")+($M$10:$M$61&lt;&gt;"")+($O$10:$O$61&lt;&gt;"")+($Q$10:$Q$61&lt;&gt;"")+($S$10:$S$61&lt;&gt;"")+($U$10:$U$61&lt;&gt;""))))</f>
        <v>60</v>
      </c>
      <c r="E50" s="7" t="str">
        <f t="array" ref="E50">IF(X50="","",INDEX('Inventory - P02'!$D$16:$D$27,(INT((X50-1)/4)+1)))</f>
        <v>PO</v>
      </c>
      <c r="F50" s="7">
        <f t="array" ref="F50">IF(X50="","",INDEX('Inventory - P02'!$E$16:$E$27,(INT((X50-1)/4)+1)))</f>
        <v>2</v>
      </c>
      <c r="G50" s="7" t="str">
        <f t="array" ref="G50">IF(X50="","",INDEX('Inventory - P02'!$I$16:$I$27,(INT((X50-1)/4)+1)))</f>
        <v>Y</v>
      </c>
      <c r="H50" s="7" t="str">
        <f t="array" ref="H50">IF(X50="","",INDEX('Inventory - P02'!$J$16:$J$27,(INT((X50-1)/4)+1)))</f>
        <v>Psychological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0.83333333433333323</v>
      </c>
      <c r="X50" s="2">
        <f t="shared" ref="X50:X61" si="11">IF(W50&lt;9,MATCH(W50,$AC$67:$AC$114,0),"")</f>
        <v>2</v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P02'!$B$16:$B$27,(INT((X51-1)/4)+1))&amp;IF(INDEX('Inventory - P02'!$C$16:$C$27,(INT((X51-1)/4)+1))="",""," ("&amp;INDEX('Inventory - P02'!$C$16:$C$27,(INT((X51-1)/4)+1))&amp;" mg)"))</f>
        <v/>
      </c>
      <c r="D51" s="7" t="str">
        <f t="array" ref="D51">IF(X51="","",INDEX('Inventory - P02'!$K$16:$K$27,(INT((X51-1)/4)+1))-SUMPRODUCT(($B$10:$B$61=B51)*(($I$10:$I$61&lt;&gt;"")+($K$10:$K$61&lt;&gt;"")+($M$10:$M$61&lt;&gt;"")+($O$10:$O$61&lt;&gt;"")+($Q$10:$Q$61&lt;&gt;"")+($S$10:$S$61&lt;&gt;"")+($U$10:$U$61&lt;&gt;""))))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P02'!$D$16:$D$27,(INT((X51-1)/4)+1)))</f>
        <v/>
      </c>
      <c r="F51" s="7" t="str">
        <f t="array" ref="F51">IF(X51="","",INDEX('Inventory - P02'!$E$16:$E$27,(INT((X51-1)/4)+1)))</f>
        <v/>
      </c>
      <c r="G51" s="7" t="str">
        <f t="array" ref="G51">IF(X51="","",INDEX('Inventory - P02'!$I$16:$I$27,(INT((X51-1)/4)+1)))</f>
        <v/>
      </c>
      <c r="H51" s="7" t="str">
        <f t="array" ref="H51">IF(X51="","",INDEX('Inventory - P02'!$J$16:$J$27,(INT((X51-1)/4)+1)))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P02'!$B$16:$B$27,(INT((X52-1)/4)+1))&amp;IF(INDEX('Inventory - P02'!$C$16:$C$27,(INT((X52-1)/4)+1))="",""," ("&amp;INDEX('Inventory - P02'!$C$16:$C$27,(INT((X52-1)/4)+1))&amp;" mg)"))</f>
        <v/>
      </c>
      <c r="D52" s="7" t="str">
        <f t="array" ref="D52">IF(X52="","",INDEX('Inventory - P02'!$K$16:$K$27,(INT((X52-1)/4)+1))-SUMPRODUCT(($B$10:$B$61=B52)*(($I$10:$I$61&lt;&gt;"")+($K$10:$K$61&lt;&gt;"")+($M$10:$M$61&lt;&gt;"")+($O$10:$O$61&lt;&gt;"")+($Q$10:$Q$61&lt;&gt;"")+($S$10:$S$61&lt;&gt;"")+($U$10:$U$61&lt;&gt;""))))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P02'!$D$16:$D$27,(INT((X52-1)/4)+1)))</f>
        <v/>
      </c>
      <c r="F52" s="7" t="str">
        <f t="array" ref="F52">IF(X52="","",INDEX('Inventory - P02'!$E$16:$E$27,(INT((X52-1)/4)+1)))</f>
        <v/>
      </c>
      <c r="G52" s="7" t="str">
        <f t="array" ref="G52">IF(X52="","",INDEX('Inventory - P02'!$I$16:$I$27,(INT((X52-1)/4)+1)))</f>
        <v/>
      </c>
      <c r="H52" s="7" t="str">
        <f t="array" ref="H52">IF(X52="","",INDEX('Inventory - P02'!$J$16:$J$27,(INT((X52-1)/4)+1)))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P02'!$B$16:$B$27,(INT((X53-1)/4)+1))&amp;IF(INDEX('Inventory - P02'!$C$16:$C$27,(INT((X53-1)/4)+1))="",""," ("&amp;INDEX('Inventory - P02'!$C$16:$C$27,(INT((X53-1)/4)+1))&amp;" mg)"))</f>
        <v/>
      </c>
      <c r="D53" s="7" t="str">
        <f t="array" ref="D53">IF(X53="","",INDEX('Inventory - P02'!$K$16:$K$27,(INT((X53-1)/4)+1))-SUMPRODUCT(($B$10:$B$61=B53)*(($I$10:$I$61&lt;&gt;"")+($K$10:$K$61&lt;&gt;"")+($M$10:$M$61&lt;&gt;"")+($O$10:$O$61&lt;&gt;"")+($Q$10:$Q$61&lt;&gt;"")+($S$10:$S$61&lt;&gt;"")+($U$10:$U$61&lt;&gt;""))))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P02'!$D$16:$D$27,(INT((X53-1)/4)+1)))</f>
        <v/>
      </c>
      <c r="F53" s="7" t="str">
        <f t="array" ref="F53">IF(X53="","",INDEX('Inventory - P02'!$E$16:$E$27,(INT((X53-1)/4)+1)))</f>
        <v/>
      </c>
      <c r="G53" s="7" t="str">
        <f t="array" ref="G53">IF(X53="","",INDEX('Inventory - P02'!$I$16:$I$27,(INT((X53-1)/4)+1)))</f>
        <v/>
      </c>
      <c r="H53" s="7" t="str">
        <f t="array" ref="H53">IF(X53="","",INDEX('Inventory - P02'!$J$16:$J$27,(INT((X53-1)/4)+1)))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P02'!$B$16:$B$27,(INT((X54-1)/4)+1))&amp;IF(INDEX('Inventory - P02'!$C$16:$C$27,(INT((X54-1)/4)+1))="",""," ("&amp;INDEX('Inventory - P02'!$C$16:$C$27,(INT((X54-1)/4)+1))&amp;" mg)"))</f>
        <v/>
      </c>
      <c r="D54" s="7" t="str">
        <f t="array" ref="D54">IF(X54="","",INDEX('Inventory - P02'!$K$16:$K$27,(INT((X54-1)/4)+1))-SUMPRODUCT(($B$10:$B$61=B54)*(($I$10:$I$61&lt;&gt;"")+($K$10:$K$61&lt;&gt;"")+($M$10:$M$61&lt;&gt;"")+($O$10:$O$61&lt;&gt;"")+($Q$10:$Q$61&lt;&gt;"")+($S$10:$S$61&lt;&gt;"")+($U$10:$U$61&lt;&gt;""))))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P02'!$D$16:$D$27,(INT((X54-1)/4)+1)))</f>
        <v/>
      </c>
      <c r="F54" s="7" t="str">
        <f t="array" ref="F54">IF(X54="","",INDEX('Inventory - P02'!$E$16:$E$27,(INT((X54-1)/4)+1)))</f>
        <v/>
      </c>
      <c r="G54" s="7" t="str">
        <f t="array" ref="G54">IF(X54="","",INDEX('Inventory - P02'!$I$16:$I$27,(INT((X54-1)/4)+1)))</f>
        <v/>
      </c>
      <c r="H54" s="7" t="str">
        <f t="array" ref="H54">IF(X54="","",INDEX('Inventory - P02'!$J$16:$J$27,(INT((X54-1)/4)+1)))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P02'!$B$16:$B$27,(INT((X55-1)/4)+1))&amp;IF(INDEX('Inventory - P02'!$C$16:$C$27,(INT((X55-1)/4)+1))="",""," ("&amp;INDEX('Inventory - P02'!$C$16:$C$27,(INT((X55-1)/4)+1))&amp;" mg)"))</f>
        <v/>
      </c>
      <c r="D55" s="7" t="str">
        <f t="array" ref="D55">IF(X55="","",INDEX('Inventory - P02'!$K$16:$K$27,(INT((X55-1)/4)+1))-SUMPRODUCT(($B$10:$B$61=B55)*(($I$10:$I$61&lt;&gt;"")+($K$10:$K$61&lt;&gt;"")+($M$10:$M$61&lt;&gt;"")+($O$10:$O$61&lt;&gt;"")+($Q$10:$Q$61&lt;&gt;"")+($S$10:$S$61&lt;&gt;"")+($U$10:$U$61&lt;&gt;""))))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P02'!$D$16:$D$27,(INT((X55-1)/4)+1)))</f>
        <v/>
      </c>
      <c r="F55" s="7" t="str">
        <f t="array" ref="F55">IF(X55="","",INDEX('Inventory - P02'!$E$16:$E$27,(INT((X55-1)/4)+1)))</f>
        <v/>
      </c>
      <c r="G55" s="7" t="str">
        <f t="array" ref="G55">IF(X55="","",INDEX('Inventory - P02'!$I$16:$I$27,(INT((X55-1)/4)+1)))</f>
        <v/>
      </c>
      <c r="H55" s="7" t="str">
        <f t="array" ref="H55">IF(X55="","",INDEX('Inventory - P02'!$J$16:$J$27,(INT((X55-1)/4)+1)))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P02'!$B$16:$B$27,(INT((X56-1)/4)+1))&amp;IF(INDEX('Inventory - P02'!$C$16:$C$27,(INT((X56-1)/4)+1))="",""," ("&amp;INDEX('Inventory - P02'!$C$16:$C$27,(INT((X56-1)/4)+1))&amp;" mg)"))</f>
        <v/>
      </c>
      <c r="D56" s="7" t="str">
        <f t="array" ref="D56">IF(X56="","",INDEX('Inventory - P02'!$K$16:$K$27,(INT((X56-1)/4)+1))-SUMPRODUCT(($B$10:$B$61=B56)*(($I$10:$I$61&lt;&gt;"")+($K$10:$K$61&lt;&gt;"")+($M$10:$M$61&lt;&gt;"")+($O$10:$O$61&lt;&gt;"")+($Q$10:$Q$61&lt;&gt;"")+($S$10:$S$61&lt;&gt;"")+($U$10:$U$61&lt;&gt;""))))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P02'!$D$16:$D$27,(INT((X56-1)/4)+1)))</f>
        <v/>
      </c>
      <c r="F56" s="7" t="str">
        <f t="array" ref="F56">IF(X56="","",INDEX('Inventory - P02'!$E$16:$E$27,(INT((X56-1)/4)+1)))</f>
        <v/>
      </c>
      <c r="G56" s="7" t="str">
        <f t="array" ref="G56">IF(X56="","",INDEX('Inventory - P02'!$I$16:$I$27,(INT((X56-1)/4)+1)))</f>
        <v/>
      </c>
      <c r="H56" s="7" t="str">
        <f t="array" ref="H56">IF(X56="","",INDEX('Inventory - P02'!$J$16:$J$27,(INT((X56-1)/4)+1)))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P02'!$B$16:$B$27,(INT((X57-1)/4)+1))&amp;IF(INDEX('Inventory - P02'!$C$16:$C$27,(INT((X57-1)/4)+1))="",""," ("&amp;INDEX('Inventory - P02'!$C$16:$C$27,(INT((X57-1)/4)+1))&amp;" mg)"))</f>
        <v/>
      </c>
      <c r="D57" s="7" t="str">
        <f t="array" ref="D57">IF(X57="","",INDEX('Inventory - P02'!$K$16:$K$27,(INT((X57-1)/4)+1))-SUMPRODUCT(($B$10:$B$61=B57)*(($I$10:$I$61&lt;&gt;"")+($K$10:$K$61&lt;&gt;"")+($M$10:$M$61&lt;&gt;"")+($O$10:$O$61&lt;&gt;"")+($Q$10:$Q$61&lt;&gt;"")+($S$10:$S$61&lt;&gt;"")+($U$10:$U$61&lt;&gt;""))))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P02'!$D$16:$D$27,(INT((X57-1)/4)+1)))</f>
        <v/>
      </c>
      <c r="F57" s="7" t="str">
        <f t="array" ref="F57">IF(X57="","",INDEX('Inventory - P02'!$E$16:$E$27,(INT((X57-1)/4)+1)))</f>
        <v/>
      </c>
      <c r="G57" s="7" t="str">
        <f t="array" ref="G57">IF(X57="","",INDEX('Inventory - P02'!$I$16:$I$27,(INT((X57-1)/4)+1)))</f>
        <v/>
      </c>
      <c r="H57" s="7" t="str">
        <f t="array" ref="H57">IF(X57="","",INDEX('Inventory - P02'!$J$16:$J$27,(INT((X57-1)/4)+1)))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P02'!$B$16:$B$27,(INT((X58-1)/4)+1))&amp;IF(INDEX('Inventory - P02'!$C$16:$C$27,(INT((X58-1)/4)+1))="",""," ("&amp;INDEX('Inventory - P02'!$C$16:$C$27,(INT((X58-1)/4)+1))&amp;" mg)"))</f>
        <v/>
      </c>
      <c r="D58" s="7" t="str">
        <f t="array" ref="D58">IF(X58="","",INDEX('Inventory - P02'!$K$16:$K$27,(INT((X58-1)/4)+1))-SUMPRODUCT(($B$10:$B$61=B58)*(($I$10:$I$61&lt;&gt;"")+($K$10:$K$61&lt;&gt;"")+($M$10:$M$61&lt;&gt;"")+($O$10:$O$61&lt;&gt;"")+($Q$10:$Q$61&lt;&gt;"")+($S$10:$S$61&lt;&gt;"")+($U$10:$U$61&lt;&gt;""))))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P02'!$D$16:$D$27,(INT((X58-1)/4)+1)))</f>
        <v/>
      </c>
      <c r="F58" s="7" t="str">
        <f t="array" ref="F58">IF(X58="","",INDEX('Inventory - P02'!$E$16:$E$27,(INT((X58-1)/4)+1)))</f>
        <v/>
      </c>
      <c r="G58" s="7" t="str">
        <f t="array" ref="G58">IF(X58="","",INDEX('Inventory - P02'!$I$16:$I$27,(INT((X58-1)/4)+1)))</f>
        <v/>
      </c>
      <c r="H58" s="7" t="str">
        <f t="array" ref="H58">IF(X58="","",INDEX('Inventory - P02'!$J$16:$J$27,(INT((X58-1)/4)+1)))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P02'!$B$16:$B$27,(INT((X59-1)/4)+1))&amp;IF(INDEX('Inventory - P02'!$C$16:$C$27,(INT((X59-1)/4)+1))="",""," ("&amp;INDEX('Inventory - P02'!$C$16:$C$27,(INT((X59-1)/4)+1))&amp;" mg)"))</f>
        <v/>
      </c>
      <c r="D59" s="7" t="str">
        <f t="array" ref="D59">IF(X59="","",INDEX('Inventory - P02'!$K$16:$K$27,(INT((X59-1)/4)+1))-SUMPRODUCT(($B$10:$B$61=B59)*(($I$10:$I$61&lt;&gt;"")+($K$10:$K$61&lt;&gt;"")+($M$10:$M$61&lt;&gt;"")+($O$10:$O$61&lt;&gt;"")+($Q$10:$Q$61&lt;&gt;"")+($S$10:$S$61&lt;&gt;"")+($U$10:$U$61&lt;&gt;""))))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P02'!$D$16:$D$27,(INT((X59-1)/4)+1)))</f>
        <v/>
      </c>
      <c r="F59" s="7" t="str">
        <f t="array" ref="F59">IF(X59="","",INDEX('Inventory - P02'!$E$16:$E$27,(INT((X59-1)/4)+1)))</f>
        <v/>
      </c>
      <c r="G59" s="7" t="str">
        <f t="array" ref="G59">IF(X59="","",INDEX('Inventory - P02'!$I$16:$I$27,(INT((X59-1)/4)+1)))</f>
        <v/>
      </c>
      <c r="H59" s="7" t="str">
        <f t="array" ref="H59">IF(X59="","",INDEX('Inventory - P02'!$J$16:$J$27,(INT((X59-1)/4)+1)))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P02'!$B$16:$B$27,(INT((X60-1)/4)+1))&amp;IF(INDEX('Inventory - P02'!$C$16:$C$27,(INT((X60-1)/4)+1))="",""," ("&amp;INDEX('Inventory - P02'!$C$16:$C$27,(INT((X60-1)/4)+1))&amp;" mg)"))</f>
        <v/>
      </c>
      <c r="D60" s="7" t="str">
        <f t="array" ref="D60">IF(X60="","",INDEX('Inventory - P02'!$K$16:$K$27,(INT((X60-1)/4)+1))-SUMPRODUCT(($B$10:$B$61=B60)*(($I$10:$I$61&lt;&gt;"")+($K$10:$K$61&lt;&gt;"")+($M$10:$M$61&lt;&gt;"")+($O$10:$O$61&lt;&gt;"")+($Q$10:$Q$61&lt;&gt;"")+($S$10:$S$61&lt;&gt;"")+($U$10:$U$61&lt;&gt;""))))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P02'!$D$16:$D$27,(INT((X60-1)/4)+1)))</f>
        <v/>
      </c>
      <c r="F60" s="7" t="str">
        <f t="array" ref="F60">IF(X60="","",INDEX('Inventory - P02'!$E$16:$E$27,(INT((X60-1)/4)+1)))</f>
        <v/>
      </c>
      <c r="G60" s="7" t="str">
        <f t="array" ref="G60">IF(X60="","",INDEX('Inventory - P02'!$I$16:$I$27,(INT((X60-1)/4)+1)))</f>
        <v/>
      </c>
      <c r="H60" s="7" t="str">
        <f t="array" ref="H60">IF(X60="","",INDEX('Inventory - P02'!$J$16:$J$27,(INT((X60-1)/4)+1)))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P02'!$B$16:$B$27,(INT((X61-1)/4)+1))&amp;IF(INDEX('Inventory - P02'!$C$16:$C$27,(INT((X61-1)/4)+1))="",""," ("&amp;INDEX('Inventory - P02'!$C$16:$C$27,(INT((X61-1)/4)+1))&amp;" mg)"))</f>
        <v/>
      </c>
      <c r="D61" s="7" t="str">
        <f t="array" ref="D61">IF(X61="","",INDEX('Inventory - P02'!$K$16:$K$27,(INT((X61-1)/4)+1))-SUMPRODUCT(($B$10:$B$61=B61)*(($I$10:$I$61&lt;&gt;"")+($K$10:$K$61&lt;&gt;"")+($M$10:$M$61&lt;&gt;"")+($O$10:$O$61&lt;&gt;"")+($Q$10:$Q$61&lt;&gt;"")+($S$10:$S$61&lt;&gt;"")+($U$10:$U$61&lt;&gt;""))))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P02'!$D$16:$D$27,(INT((X61-1)/4)+1)))</f>
        <v/>
      </c>
      <c r="F61" s="7" t="str">
        <f t="array" ref="F61">IF(X61="","",INDEX('Inventory - P02'!$E$16:$E$27,(INT((X61-1)/4)+1)))</f>
        <v/>
      </c>
      <c r="G61" s="7" t="str">
        <f t="array" ref="G61">IF(X61="","",INDEX('Inventory - P02'!$I$16:$I$27,(INT((X61-1)/4)+1)))</f>
        <v/>
      </c>
      <c r="H61" s="7" t="str">
        <f t="array" ref="H61">IF(X61="","",INDEX('Inventory - P02'!$J$16:$J$27,(INT((X61-1)/4)+1)))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53">
        <f>IF(OR('Inventory - P02'!E16&lt;1,'Inventory - P02'!F16="",'Inventory - P02'!G16=""),9,MOD('Inventory - P02'!F16+0*'Inventory - P02'!G16/24,1))</f>
        <v>0.33333333333333331</v>
      </c>
      <c r="Z67" s="53">
        <f>IF(Y67=9,9,IF(AND(Y67&gt;=6/24,Y67&lt;12/24),Y67+0*0.000000001,9))</f>
        <v>0.33333333333333331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53">
        <f>IF(OR('Inventory - P02'!E16&lt;2,'Inventory - P02'!F16="",'Inventory - P02'!G16=""),9,MOD('Inventory - P02'!F16+1*'Inventory - P02'!G16/24,1))</f>
        <v>0.83333333333333326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53">
        <f>IF(Y68=9,9,IF(OR(Y68&gt;=20/24,Y68&lt;6/24),Y68+1*0.000000001,9))</f>
        <v>0.83333333433333323</v>
      </c>
    </row>
    <row r="69" spans="25:29" ht="15" hidden="1" customHeight="1">
      <c r="Y69" s="2">
        <f>IF(OR('Inventory - P02'!E16&lt;3,'Inventory - P02'!F16="",'Inventory - P02'!G16=""),9,MOD('Inventory - P02'!F16+2*'Inventory - P02'!G16/24,1))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P02'!E16&lt;4,'Inventory - P02'!F16="",'Inventory - P02'!G16=""),9,MOD('Inventory - P02'!F16+3*'Inventory - P02'!G16/24,1))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P02'!E17&lt;1,'Inventory - P02'!F17="",'Inventory - P02'!G17=""),9,MOD('Inventory - P02'!F17+0*'Inventory - P02'!G17/24,1))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P02'!E17&lt;2,'Inventory - P02'!F17="",'Inventory - P02'!G17=""),9,MOD('Inventory - P02'!F17+1*'Inventory - P02'!G17/24,1))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P02'!E17&lt;3,'Inventory - P02'!F17="",'Inventory - P02'!G17=""),9,MOD('Inventory - P02'!F17+2*'Inventory - P02'!G17/24,1))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P02'!E17&lt;4,'Inventory - P02'!F17="",'Inventory - P02'!G17=""),9,MOD('Inventory - P02'!F17+3*'Inventory - P02'!G17/24,1))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P02'!E18&lt;1,'Inventory - P02'!F18="",'Inventory - P02'!G18=""),9,MOD('Inventory - P02'!F18+0*'Inventory - P02'!G18/24,1))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P02'!E18&lt;2,'Inventory - P02'!F18="",'Inventory - P02'!G18=""),9,MOD('Inventory - P02'!F18+1*'Inventory - P02'!G18/24,1))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P02'!E18&lt;3,'Inventory - P02'!F18="",'Inventory - P02'!G18=""),9,MOD('Inventory - P02'!F18+2*'Inventory - P02'!G18/24,1))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P02'!E18&lt;4,'Inventory - P02'!F18="",'Inventory - P02'!G18=""),9,MOD('Inventory - P02'!F18+3*'Inventory - P02'!G18/24,1))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P02'!E19&lt;1,'Inventory - P02'!F19="",'Inventory - P02'!G19=""),9,MOD('Inventory - P02'!F19+0*'Inventory - P02'!G19/24,1))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P02'!E19&lt;2,'Inventory - P02'!F19="",'Inventory - P02'!G19=""),9,MOD('Inventory - P02'!F19+1*'Inventory - P02'!G19/24,1))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P02'!E19&lt;3,'Inventory - P02'!F19="",'Inventory - P02'!G19=""),9,MOD('Inventory - P02'!F19+2*'Inventory - P02'!G19/24,1))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P02'!E19&lt;4,'Inventory - P02'!F19="",'Inventory - P02'!G19=""),9,MOD('Inventory - P02'!F19+3*'Inventory - P02'!G19/24,1))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P02'!E20&lt;1,'Inventory - P02'!F20="",'Inventory - P02'!G20=""),9,MOD('Inventory - P02'!F20+0*'Inventory - P02'!G20/24,1))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P02'!E20&lt;2,'Inventory - P02'!F20="",'Inventory - P02'!G20=""),9,MOD('Inventory - P02'!F20+1*'Inventory - P02'!G20/24,1))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P02'!E20&lt;3,'Inventory - P02'!F20="",'Inventory - P02'!G20=""),9,MOD('Inventory - P02'!F20+2*'Inventory - P02'!G20/24,1))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P02'!E20&lt;4,'Inventory - P02'!F20="",'Inventory - P02'!G20=""),9,MOD('Inventory - P02'!F20+3*'Inventory - P02'!G20/24,1))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P02'!E21&lt;1,'Inventory - P02'!F21="",'Inventory - P02'!G21=""),9,MOD('Inventory - P02'!F21+0*'Inventory - P02'!G21/24,1))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P02'!E21&lt;2,'Inventory - P02'!F21="",'Inventory - P02'!G21=""),9,MOD('Inventory - P02'!F21+1*'Inventory - P02'!G21/24,1))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P02'!E21&lt;3,'Inventory - P02'!F21="",'Inventory - P02'!G21=""),9,MOD('Inventory - P02'!F21+2*'Inventory - P02'!G21/24,1))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P02'!E21&lt;4,'Inventory - P02'!F21="",'Inventory - P02'!G21=""),9,MOD('Inventory - P02'!F21+3*'Inventory - P02'!G21/24,1))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P02'!E22&lt;1,'Inventory - P02'!F22="",'Inventory - P02'!G22=""),9,MOD('Inventory - P02'!F22+0*'Inventory - P02'!G22/24,1))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P02'!E22&lt;2,'Inventory - P02'!F22="",'Inventory - P02'!G22=""),9,MOD('Inventory - P02'!F22+1*'Inventory - P02'!G22/24,1))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P02'!E22&lt;3,'Inventory - P02'!F22="",'Inventory - P02'!G22=""),9,MOD('Inventory - P02'!F22+2*'Inventory - P02'!G22/24,1))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P02'!E22&lt;4,'Inventory - P02'!F22="",'Inventory - P02'!G22=""),9,MOD('Inventory - P02'!F22+3*'Inventory - P02'!G22/24,1))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P02'!E23&lt;1,'Inventory - P02'!F23="",'Inventory - P02'!G23=""),9,MOD('Inventory - P02'!F23+0*'Inventory - P02'!G23/24,1))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P02'!E23&lt;2,'Inventory - P02'!F23="",'Inventory - P02'!G23=""),9,MOD('Inventory - P02'!F23+1*'Inventory - P02'!G23/24,1))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P02'!E23&lt;3,'Inventory - P02'!F23="",'Inventory - P02'!G23=""),9,MOD('Inventory - P02'!F23+2*'Inventory - P02'!G23/24,1))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P02'!E23&lt;4,'Inventory - P02'!F23="",'Inventory - P02'!G23=""),9,MOD('Inventory - P02'!F23+3*'Inventory - P02'!G23/24,1))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P02'!E24&lt;1,'Inventory - P02'!F24="",'Inventory - P02'!G24=""),9,MOD('Inventory - P02'!F24+0*'Inventory - P02'!G24/24,1))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P02'!E24&lt;2,'Inventory - P02'!F24="",'Inventory - P02'!G24=""),9,MOD('Inventory - P02'!F24+1*'Inventory - P02'!G24/24,1))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P02'!E24&lt;3,'Inventory - P02'!F24="",'Inventory - P02'!G24=""),9,MOD('Inventory - P02'!F24+2*'Inventory - P02'!G24/24,1))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P02'!E24&lt;4,'Inventory - P02'!F24="",'Inventory - P02'!G24=""),9,MOD('Inventory - P02'!F24+3*'Inventory - P02'!G24/24,1))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P02'!E25&lt;1,'Inventory - P02'!F25="",'Inventory - P02'!G25=""),9,MOD('Inventory - P02'!F25+0*'Inventory - P02'!G25/24,1))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P02'!E25&lt;2,'Inventory - P02'!F25="",'Inventory - P02'!G25=""),9,MOD('Inventory - P02'!F25+1*'Inventory - P02'!G25/24,1))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P02'!E25&lt;3,'Inventory - P02'!F25="",'Inventory - P02'!G25=""),9,MOD('Inventory - P02'!F25+2*'Inventory - P02'!G25/24,1))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P02'!E25&lt;4,'Inventory - P02'!F25="",'Inventory - P02'!G25=""),9,MOD('Inventory - P02'!F25+3*'Inventory - P02'!G25/24,1))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P02'!E26&lt;1,'Inventory - P02'!F26="",'Inventory - P02'!G26=""),9,MOD('Inventory - P02'!F26+0*'Inventory - P02'!G26/24,1))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P02'!E26&lt;2,'Inventory - P02'!F26="",'Inventory - P02'!G26=""),9,MOD('Inventory - P02'!F26+1*'Inventory - P02'!G26/24,1))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P02'!E26&lt;3,'Inventory - P02'!F26="",'Inventory - P02'!G26=""),9,MOD('Inventory - P02'!F26+2*'Inventory - P02'!G26/24,1))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P02'!E26&lt;4,'Inventory - P02'!F26="",'Inventory - P02'!G26=""),9,MOD('Inventory - P02'!F26+3*'Inventory - P02'!G26/24,1))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P02'!E27&lt;1,'Inventory - P02'!F27="",'Inventory - P02'!G27=""),9,MOD('Inventory - P02'!F27+0*'Inventory - P02'!G27/24,1))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P02'!E27&lt;2,'Inventory - P02'!F27="",'Inventory - P02'!G27=""),9,MOD('Inventory - P02'!F27+1*'Inventory - P02'!G27/24,1))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P02'!E27&lt;3,'Inventory - P02'!F27="",'Inventory - P02'!G27=""),9,MOD('Inventory - P02'!F27+2*'Inventory - P02'!G27/24,1))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P02'!E27&lt;4,'Inventory - P02'!F27="",'Inventory - P02'!G27=""),9,MOD('Inventory - P02'!F27+3*'Inventory - P02'!G27/24,1))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845" priority="1">
      <formula>$W11&gt;=9</formula>
    </cfRule>
  </conditionalFormatting>
  <conditionalFormatting sqref="A12:V12">
    <cfRule type="expression" dxfId="844" priority="2">
      <formula>$W12&gt;=9</formula>
    </cfRule>
  </conditionalFormatting>
  <conditionalFormatting sqref="A13:V13">
    <cfRule type="expression" dxfId="843" priority="3">
      <formula>$W13&gt;=9</formula>
    </cfRule>
  </conditionalFormatting>
  <conditionalFormatting sqref="A14:V14">
    <cfRule type="expression" dxfId="842" priority="4">
      <formula>$W14&gt;=9</formula>
    </cfRule>
  </conditionalFormatting>
  <conditionalFormatting sqref="A15:V15">
    <cfRule type="expression" dxfId="841" priority="5">
      <formula>$W15&gt;=9</formula>
    </cfRule>
  </conditionalFormatting>
  <conditionalFormatting sqref="A16:V16">
    <cfRule type="expression" dxfId="840" priority="6">
      <formula>$W16&gt;=9</formula>
    </cfRule>
  </conditionalFormatting>
  <conditionalFormatting sqref="A17:V17">
    <cfRule type="expression" dxfId="839" priority="7">
      <formula>$W17&gt;=9</formula>
    </cfRule>
  </conditionalFormatting>
  <conditionalFormatting sqref="A18:V18">
    <cfRule type="expression" dxfId="838" priority="8">
      <formula>$W18&gt;=9</formula>
    </cfRule>
  </conditionalFormatting>
  <conditionalFormatting sqref="A19:V19">
    <cfRule type="expression" dxfId="837" priority="9">
      <formula>$W19&gt;=9</formula>
    </cfRule>
  </conditionalFormatting>
  <conditionalFormatting sqref="A20:V20">
    <cfRule type="expression" dxfId="836" priority="10">
      <formula>$W20&gt;=9</formula>
    </cfRule>
  </conditionalFormatting>
  <conditionalFormatting sqref="A21:V21">
    <cfRule type="expression" dxfId="835" priority="11">
      <formula>$W21&gt;=9</formula>
    </cfRule>
  </conditionalFormatting>
  <conditionalFormatting sqref="A22:V22">
    <cfRule type="expression" dxfId="834" priority="12">
      <formula>$W22&gt;=9</formula>
    </cfRule>
  </conditionalFormatting>
  <conditionalFormatting sqref="A24:V24">
    <cfRule type="expression" dxfId="833" priority="13">
      <formula>$W24&gt;=9</formula>
    </cfRule>
  </conditionalFormatting>
  <conditionalFormatting sqref="A25:V25">
    <cfRule type="expression" dxfId="832" priority="14">
      <formula>$W25&gt;=9</formula>
    </cfRule>
  </conditionalFormatting>
  <conditionalFormatting sqref="A26:V26">
    <cfRule type="expression" dxfId="831" priority="15">
      <formula>$W26&gt;=9</formula>
    </cfRule>
  </conditionalFormatting>
  <conditionalFormatting sqref="A27:V27">
    <cfRule type="expression" dxfId="830" priority="16">
      <formula>$W27&gt;=9</formula>
    </cfRule>
  </conditionalFormatting>
  <conditionalFormatting sqref="A28:V28">
    <cfRule type="expression" dxfId="829" priority="17">
      <formula>$W28&gt;=9</formula>
    </cfRule>
  </conditionalFormatting>
  <conditionalFormatting sqref="A29:V29">
    <cfRule type="expression" dxfId="828" priority="18">
      <formula>$W29&gt;=9</formula>
    </cfRule>
  </conditionalFormatting>
  <conditionalFormatting sqref="A30:V30">
    <cfRule type="expression" dxfId="827" priority="19">
      <formula>$W30&gt;=9</formula>
    </cfRule>
  </conditionalFormatting>
  <conditionalFormatting sqref="A31:V31">
    <cfRule type="expression" dxfId="826" priority="20">
      <formula>$W31&gt;=9</formula>
    </cfRule>
  </conditionalFormatting>
  <conditionalFormatting sqref="A32:V32">
    <cfRule type="expression" dxfId="825" priority="21">
      <formula>$W32&gt;=9</formula>
    </cfRule>
  </conditionalFormatting>
  <conditionalFormatting sqref="A33:V33">
    <cfRule type="expression" dxfId="824" priority="22">
      <formula>$W33&gt;=9</formula>
    </cfRule>
  </conditionalFormatting>
  <conditionalFormatting sqref="A34:V34">
    <cfRule type="expression" dxfId="823" priority="23">
      <formula>$W34&gt;=9</formula>
    </cfRule>
  </conditionalFormatting>
  <conditionalFormatting sqref="A35:V35">
    <cfRule type="expression" dxfId="822" priority="24">
      <formula>$W35&gt;=9</formula>
    </cfRule>
  </conditionalFormatting>
  <conditionalFormatting sqref="A37:V37">
    <cfRule type="expression" dxfId="821" priority="25">
      <formula>$W37&gt;=9</formula>
    </cfRule>
  </conditionalFormatting>
  <conditionalFormatting sqref="A38:V38">
    <cfRule type="expression" dxfId="820" priority="26">
      <formula>$W38&gt;=9</formula>
    </cfRule>
  </conditionalFormatting>
  <conditionalFormatting sqref="A39:V39">
    <cfRule type="expression" dxfId="819" priority="27">
      <formula>$W39&gt;=9</formula>
    </cfRule>
  </conditionalFormatting>
  <conditionalFormatting sqref="A40:V40">
    <cfRule type="expression" dxfId="818" priority="28">
      <formula>$W40&gt;=9</formula>
    </cfRule>
  </conditionalFormatting>
  <conditionalFormatting sqref="A41:V41">
    <cfRule type="expression" dxfId="817" priority="29">
      <formula>$W41&gt;=9</formula>
    </cfRule>
  </conditionalFormatting>
  <conditionalFormatting sqref="A42:V42">
    <cfRule type="expression" dxfId="816" priority="30">
      <formula>$W42&gt;=9</formula>
    </cfRule>
  </conditionalFormatting>
  <conditionalFormatting sqref="A43:V43">
    <cfRule type="expression" dxfId="815" priority="31">
      <formula>$W43&gt;=9</formula>
    </cfRule>
  </conditionalFormatting>
  <conditionalFormatting sqref="A44:V44">
    <cfRule type="expression" dxfId="814" priority="32">
      <formula>$W44&gt;=9</formula>
    </cfRule>
  </conditionalFormatting>
  <conditionalFormatting sqref="A45:V45">
    <cfRule type="expression" dxfId="813" priority="33">
      <formula>$W45&gt;=9</formula>
    </cfRule>
  </conditionalFormatting>
  <conditionalFormatting sqref="A46:V46">
    <cfRule type="expression" dxfId="812" priority="34">
      <formula>$W46&gt;=9</formula>
    </cfRule>
  </conditionalFormatting>
  <conditionalFormatting sqref="A47:V47">
    <cfRule type="expression" dxfId="811" priority="35">
      <formula>$W47&gt;=9</formula>
    </cfRule>
  </conditionalFormatting>
  <conditionalFormatting sqref="A48:V48">
    <cfRule type="expression" dxfId="810" priority="36">
      <formula>$W48&gt;=9</formula>
    </cfRule>
  </conditionalFormatting>
  <conditionalFormatting sqref="A50:V50">
    <cfRule type="expression" dxfId="809" priority="37">
      <formula>$W50&gt;=9</formula>
    </cfRule>
  </conditionalFormatting>
  <conditionalFormatting sqref="A51:V51">
    <cfRule type="expression" dxfId="808" priority="38">
      <formula>$W51&gt;=9</formula>
    </cfRule>
  </conditionalFormatting>
  <conditionalFormatting sqref="A52:V52">
    <cfRule type="expression" dxfId="807" priority="39">
      <formula>$W52&gt;=9</formula>
    </cfRule>
  </conditionalFormatting>
  <conditionalFormatting sqref="A53:V53">
    <cfRule type="expression" dxfId="806" priority="40">
      <formula>$W53&gt;=9</formula>
    </cfRule>
  </conditionalFormatting>
  <conditionalFormatting sqref="A54:V54">
    <cfRule type="expression" dxfId="805" priority="41">
      <formula>$W54&gt;=9</formula>
    </cfRule>
  </conditionalFormatting>
  <conditionalFormatting sqref="A55:V55">
    <cfRule type="expression" dxfId="804" priority="42">
      <formula>$W55&gt;=9</formula>
    </cfRule>
  </conditionalFormatting>
  <conditionalFormatting sqref="A56:V56">
    <cfRule type="expression" dxfId="803" priority="43">
      <formula>$W56&gt;=9</formula>
    </cfRule>
  </conditionalFormatting>
  <conditionalFormatting sqref="A57:V57">
    <cfRule type="expression" dxfId="802" priority="44">
      <formula>$W57&gt;=9</formula>
    </cfRule>
  </conditionalFormatting>
  <conditionalFormatting sqref="A58:V58">
    <cfRule type="expression" dxfId="801" priority="45">
      <formula>$W58&gt;=9</formula>
    </cfRule>
  </conditionalFormatting>
  <conditionalFormatting sqref="A59:V59">
    <cfRule type="expression" dxfId="800" priority="46">
      <formula>$W59&gt;=9</formula>
    </cfRule>
  </conditionalFormatting>
  <conditionalFormatting sqref="A60:V60">
    <cfRule type="expression" dxfId="799" priority="47">
      <formula>$W60&gt;=9</formula>
    </cfRule>
  </conditionalFormatting>
  <conditionalFormatting sqref="A61:V61">
    <cfRule type="expression" dxfId="798" priority="48">
      <formula>$W61&gt;=9</formula>
    </cfRule>
  </conditionalFormatting>
  <conditionalFormatting sqref="H10:H61">
    <cfRule type="cellIs" dxfId="797" priority="49" operator="equal">
      <formula>"Physical"</formula>
    </cfRule>
  </conditionalFormatting>
  <conditionalFormatting sqref="H10:H61">
    <cfRule type="cellIs" dxfId="796" priority="50" operator="equal">
      <formula>"Psychological"</formula>
    </cfRule>
  </conditionalFormatting>
  <conditionalFormatting sqref="G10:G61">
    <cfRule type="cellIs" dxfId="795" priority="51" operator="equal">
      <formula>"Y"</formula>
    </cfRule>
  </conditionalFormatting>
  <conditionalFormatting sqref="G10:G61">
    <cfRule type="cellIs" dxfId="794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Tracker'!B7="","",UPPER(LEFT(TRIM('Client Needs Tracker'!B7),1))&amp;UPPER(MID('Client Needs Tracker'!B7,FIND("@",SUBSTITUTE('Client Needs Tracker'!B7," ","@",LEN('Client Needs Tracker'!B7)-LEN(SUBSTITUTE('Client Needs Tracker'!B7," ",""))))+1,1))&amp;"-"&amp;SUBSTITUTE('Client Needs Tracker'!S7,"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Tracker'!S7="","","INV-"&amp;SUBSTITUTE('Client Needs Tracker'!S7," ",""))</f>
        <v>INV-M-2A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Tracker'!B7="","(Add client on Client Needs Tracker, row 7)",'Client Needs Tracker'!B7)</f>
        <v>(Add client on Client Needs Tracker, row 7)</v>
      </c>
      <c r="B6" s="134"/>
      <c r="C6" s="134"/>
      <c r="D6" s="134"/>
      <c r="E6" s="134"/>
      <c r="F6" s="93">
        <f>'Client Needs Tracker'!A7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Tracker'!C7="","",'Client Needs Tracker'!C7)</f>
        <v/>
      </c>
      <c r="B8" s="134"/>
      <c r="C8" s="134"/>
      <c r="D8" s="134"/>
      <c r="E8" s="134"/>
      <c r="F8" s="95">
        <f>'Client Needs Tracker'!E7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Tracker'!F7="","",'Client Needs Tracker'!F7)</f>
        <v/>
      </c>
      <c r="B10" s="134"/>
      <c r="C10" s="134"/>
      <c r="D10" s="134"/>
      <c r="E10" s="134"/>
      <c r="F10" s="89" t="str">
        <f>IF('Client Status Board'!G7="","",'Client Status Board'!G7)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Board'!L7="","",'Client Status Board'!L7)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P03'!$B$10:$B$61=1)*(('MAR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P03'!$B$10:$B$61=2)*(('MAR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P03'!$B$10:$B$61=3)*(('MAR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P03'!$B$10:$B$61=4)*(('MAR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P03'!$B$10:$B$61=5)*(('MAR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P03'!$B$10:$B$61=6)*(('MAR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P03'!$B$10:$B$61=7)*(('MAR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P03'!$B$10:$B$61=8)*(('MAR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P03'!$B$10:$B$61=9)*(('MAR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P03'!$B$10:$B$61=10)*(('MAR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P03'!$B$10:$B$61=11)*(('MAR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P03'!$B$10:$B$61=12)*(('MAR - P03'!$I$10:$I$61&lt;&gt;"")+('MAR - P03'!$K$10:$K$61&lt;&gt;"")+('MAR - P03'!$M$10:$M$61&lt;&gt;"")+('MAR - P03'!$O$10:$O$61&lt;&gt;"")+('MAR - P03'!$Q$10:$Q$61&lt;&gt;"")+('MAR - P03'!$S$10:$S$61&lt;&gt;"")+('MAR - P03'!$U$10:$U$61&lt;&gt;""))))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793" priority="1" operator="equal">
      <formula>"Physical"</formula>
    </cfRule>
  </conditionalFormatting>
  <conditionalFormatting sqref="J16:J27">
    <cfRule type="cellIs" dxfId="792" priority="2" operator="equal">
      <formula>"Psychological"</formula>
    </cfRule>
  </conditionalFormatting>
  <conditionalFormatting sqref="I16:I27">
    <cfRule type="cellIs" dxfId="791" priority="3" operator="equal">
      <formula>"Y"</formula>
    </cfRule>
  </conditionalFormatting>
  <conditionalFormatting sqref="I16:I27">
    <cfRule type="cellIs" dxfId="790" priority="4" operator="equal">
      <formula>"N"</formula>
    </cfRule>
  </conditionalFormatting>
  <dataValidations count="6">
    <dataValidation type="list" allowBlank="1" showErrorMessage="1" sqref="C16" xr:uid="{00000000-0002-0000-0900-000001000000}">
      <formula1>"50,100,150,300"</formula1>
    </dataValidation>
    <dataValidation type="list" allowBlank="1" sqref="I16:I27" xr:uid="{00000000-0002-0000-0900-000002000000}">
      <formula1>"Y,N"</formula1>
    </dataValidation>
    <dataValidation type="list" allowBlank="1" sqref="J16:J27" xr:uid="{00000000-0002-0000-0900-000003000000}">
      <formula1>"Physical,Psychological"</formula1>
    </dataValidation>
    <dataValidation type="list" allowBlank="1" sqref="C17:C27" xr:uid="{00000000-0002-0000-0900-000004000000}">
      <formula1>INDIRECT("MG_"&amp;SUBSTITUTE(SUBSTITUTE(SUBSTITUTE(SUBSTITUTE(LEFT($B17,IFERROR(FIND(" (",$B17)-1,LEN($B17)))," ","_"),"/","_"),".","_"),"-","_"))</formula1>
    </dataValidation>
    <dataValidation type="list" allowBlank="1" sqref="D16:D27" xr:uid="{00000000-0002-0000-0900-000005000000}">
      <formula1>"PO,IM,IV,SubQ,Topical,Inhaled,Sublingual,Rectal,Other"</formula1>
    </dataValidation>
    <dataValidation type="list" allowBlank="1" sqref="G16:G27" xr:uid="{00000000-0002-0000-0900-000006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Tracker'!B7="","",UPPER(LEFT(TRIM('Client Needs Tracker'!B7),1))&amp;UPPER(MID('Client Needs Tracker'!B7,FIND("@",SUBSTITUTE('Client Needs Tracker'!B7," ","@",LEN('Client Needs Tracker'!B7)-LEN(SUBSTITUTE('Client Needs Tracker'!B7," ",""))))+1,1))&amp;"-"&amp;SUBSTITUTE('Client Needs Tracker'!S7," ",""))</f>
        <v/>
      </c>
    </row>
    <row r="3" spans="1:33" ht="15" customHeight="1">
      <c r="A3" s="103" t="str">
        <f>IF('Inventory - P03'!A6="","(Enter name in Inventory - P03)",'Inventory - P03'!A6)</f>
        <v>(Add client on Client Needs Tracker, row 7)</v>
      </c>
      <c r="B3" s="145"/>
      <c r="C3" s="145"/>
      <c r="D3" s="145"/>
      <c r="E3" s="145"/>
      <c r="F3" s="104" t="str">
        <f>IF('Inventory - P03'!F6="","(Enter ID in Inventory - P03)","Member ID: "&amp;'Inventory - P03'!F6)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Tracker'!S7="","","INV-"&amp;SUBSTITUTE('Client Needs Tracker'!S7," ",""))</f>
        <v>INV-M-2A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P03'!F8="","-",'Inventory - P03'!F8)</f>
        <v>LOC: 0</v>
      </c>
      <c r="B5" s="106"/>
      <c r="C5" s="2"/>
      <c r="D5" s="102" t="str">
        <f>"Case Manager: "&amp;IF('Inventory - P03'!A10="","-",'Inventory - P03'!A10)</f>
        <v>Case Manager: -</v>
      </c>
      <c r="E5" s="106"/>
      <c r="F5" s="2"/>
      <c r="G5" s="102" t="str">
        <f>"Doctor: "&amp;IF('Inventory - P03'!F10="","-",'Inventory - P03'!F10)</f>
        <v>Doctor: -</v>
      </c>
      <c r="H5" s="106"/>
      <c r="I5" s="2"/>
      <c r="J5" s="102" t="str">
        <f>"Pharmacy: "&amp;IF('Inventory - P03'!A12="","-",'Inventory - P03'!A12)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P03'!A14="","",'Inventory - P03'!A14)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P03'!A14="","",'Inventory - P03'!A14+0)</f>
        <v/>
      </c>
      <c r="J8" s="134"/>
      <c r="K8" s="101" t="str">
        <f>IF('Inventory - P03'!A14="","",'Inventory - P03'!A14+1)</f>
        <v/>
      </c>
      <c r="L8" s="134"/>
      <c r="M8" s="101" t="str">
        <f>IF('Inventory - P03'!A14="","",'Inventory - P03'!A14+2)</f>
        <v/>
      </c>
      <c r="N8" s="134"/>
      <c r="O8" s="101" t="str">
        <f>IF('Inventory - P03'!A14="","",'Inventory - P03'!A14+3)</f>
        <v/>
      </c>
      <c r="P8" s="134"/>
      <c r="Q8" s="101" t="str">
        <f>IF('Inventory - P03'!A14="","",'Inventory - P03'!A14+4)</f>
        <v/>
      </c>
      <c r="R8" s="134"/>
      <c r="S8" s="101" t="str">
        <f>IF('Inventory - P03'!A14="","",'Inventory - P03'!A14+5)</f>
        <v/>
      </c>
      <c r="T8" s="134"/>
      <c r="U8" s="101" t="str">
        <f>IF('Inventory - P03'!A14="","",'Inventory - P03'!A14+6)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P03'!$B$16:$B$27,(INT((X11-1)/4)+1))&amp;IF(INDEX('Inventory - P03'!$C$16:$C$27,(INT((X11-1)/4)+1))="",""," ("&amp;INDEX('Inventory - P03'!$C$16:$C$27,(INT((X11-1)/4)+1))&amp;" mg)"))</f>
        <v/>
      </c>
      <c r="D11" s="7" t="str">
        <f t="array" ref="D11">IF(X11="","",INDEX('Inventory - P03'!$K$16:$K$27,(INT((X11-1)/4)+1))-SUMPRODUCT(($B$10:$B$61=B11)*(($I$10:$I$61&lt;&gt;"")+($K$10:$K$61&lt;&gt;"")+($M$10:$M$61&lt;&gt;"")+($O$10:$O$61&lt;&gt;"")+($Q$10:$Q$61&lt;&gt;"")+($S$10:$S$61&lt;&gt;"")+($U$10:$U$61&lt;&gt;""))))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P03'!$D$16:$D$27,(INT((X11-1)/4)+1)))</f>
        <v/>
      </c>
      <c r="F11" s="7" t="str">
        <f t="array" ref="F11">IF(X11="","",INDEX('Inventory - P03'!$E$16:$E$27,(INT((X11-1)/4)+1)))</f>
        <v/>
      </c>
      <c r="G11" s="7" t="str">
        <f t="array" ref="G11">IF(X11="","",INDEX('Inventory - P03'!$I$16:$I$27,(INT((X11-1)/4)+1)))</f>
        <v/>
      </c>
      <c r="H11" s="7" t="str">
        <f t="array" ref="H11">IF(X11="","",INDEX('Inventory - P03'!$J$16:$J$27,(INT((X11-1)/4)+1)))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P03'!$B$16:$B$27,(INT((X12-1)/4)+1))&amp;IF(INDEX('Inventory - P03'!$C$16:$C$27,(INT((X12-1)/4)+1))="",""," ("&amp;INDEX('Inventory - P03'!$C$16:$C$27,(INT((X12-1)/4)+1))&amp;" mg)"))</f>
        <v/>
      </c>
      <c r="D12" s="7" t="str">
        <f t="array" ref="D12">IF(X12="","",INDEX('Inventory - P03'!$K$16:$K$27,(INT((X12-1)/4)+1))-SUMPRODUCT(($B$10:$B$61=B12)*(($I$10:$I$61&lt;&gt;"")+($K$10:$K$61&lt;&gt;"")+($M$10:$M$61&lt;&gt;"")+($O$10:$O$61&lt;&gt;"")+($Q$10:$Q$61&lt;&gt;"")+($S$10:$S$61&lt;&gt;"")+($U$10:$U$61&lt;&gt;""))))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P03'!$D$16:$D$27,(INT((X12-1)/4)+1)))</f>
        <v/>
      </c>
      <c r="F12" s="7" t="str">
        <f t="array" ref="F12">IF(X12="","",INDEX('Inventory - P03'!$E$16:$E$27,(INT((X12-1)/4)+1)))</f>
        <v/>
      </c>
      <c r="G12" s="7" t="str">
        <f t="array" ref="G12">IF(X12="","",INDEX('Inventory - P03'!$I$16:$I$27,(INT((X12-1)/4)+1)))</f>
        <v/>
      </c>
      <c r="H12" s="7" t="str">
        <f t="array" ref="H12">IF(X12="","",INDEX('Inventory - P03'!$J$16:$J$27,(INT((X12-1)/4)+1)))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P03'!$B$16:$B$27,(INT((X13-1)/4)+1))&amp;IF(INDEX('Inventory - P03'!$C$16:$C$27,(INT((X13-1)/4)+1))="",""," ("&amp;INDEX('Inventory - P03'!$C$16:$C$27,(INT((X13-1)/4)+1))&amp;" mg)"))</f>
        <v/>
      </c>
      <c r="D13" s="7" t="str">
        <f t="array" ref="D13">IF(X13="","",INDEX('Inventory - P03'!$K$16:$K$27,(INT((X13-1)/4)+1))-SUMPRODUCT(($B$10:$B$61=B13)*(($I$10:$I$61&lt;&gt;"")+($K$10:$K$61&lt;&gt;"")+($M$10:$M$61&lt;&gt;"")+($O$10:$O$61&lt;&gt;"")+($Q$10:$Q$61&lt;&gt;"")+($S$10:$S$61&lt;&gt;"")+($U$10:$U$61&lt;&gt;""))))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P03'!$D$16:$D$27,(INT((X13-1)/4)+1)))</f>
        <v/>
      </c>
      <c r="F13" s="7" t="str">
        <f t="array" ref="F13">IF(X13="","",INDEX('Inventory - P03'!$E$16:$E$27,(INT((X13-1)/4)+1)))</f>
        <v/>
      </c>
      <c r="G13" s="7" t="str">
        <f t="array" ref="G13">IF(X13="","",INDEX('Inventory - P03'!$I$16:$I$27,(INT((X13-1)/4)+1)))</f>
        <v/>
      </c>
      <c r="H13" s="7" t="str">
        <f t="array" ref="H13">IF(X13="","",INDEX('Inventory - P03'!$J$16:$J$27,(INT((X13-1)/4)+1)))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P03'!$B$16:$B$27,(INT((X14-1)/4)+1))&amp;IF(INDEX('Inventory - P03'!$C$16:$C$27,(INT((X14-1)/4)+1))="",""," ("&amp;INDEX('Inventory - P03'!$C$16:$C$27,(INT((X14-1)/4)+1))&amp;" mg)"))</f>
        <v/>
      </c>
      <c r="D14" s="7" t="str">
        <f t="array" ref="D14">IF(X14="","",INDEX('Inventory - P03'!$K$16:$K$27,(INT((X14-1)/4)+1))-SUMPRODUCT(($B$10:$B$61=B14)*(($I$10:$I$61&lt;&gt;"")+($K$10:$K$61&lt;&gt;"")+($M$10:$M$61&lt;&gt;"")+($O$10:$O$61&lt;&gt;"")+($Q$10:$Q$61&lt;&gt;"")+($S$10:$S$61&lt;&gt;"")+($U$10:$U$61&lt;&gt;""))))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P03'!$D$16:$D$27,(INT((X14-1)/4)+1)))</f>
        <v/>
      </c>
      <c r="F14" s="7" t="str">
        <f t="array" ref="F14">IF(X14="","",INDEX('Inventory - P03'!$E$16:$E$27,(INT((X14-1)/4)+1)))</f>
        <v/>
      </c>
      <c r="G14" s="7" t="str">
        <f t="array" ref="G14">IF(X14="","",INDEX('Inventory - P03'!$I$16:$I$27,(INT((X14-1)/4)+1)))</f>
        <v/>
      </c>
      <c r="H14" s="7" t="str">
        <f t="array" ref="H14">IF(X14="","",INDEX('Inventory - P03'!$J$16:$J$27,(INT((X14-1)/4)+1)))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P03'!$B$16:$B$27,(INT((X15-1)/4)+1))&amp;IF(INDEX('Inventory - P03'!$C$16:$C$27,(INT((X15-1)/4)+1))="",""," ("&amp;INDEX('Inventory - P03'!$C$16:$C$27,(INT((X15-1)/4)+1))&amp;" mg)"))</f>
        <v/>
      </c>
      <c r="D15" s="7" t="str">
        <f t="array" ref="D15">IF(X15="","",INDEX('Inventory - P03'!$K$16:$K$27,(INT((X15-1)/4)+1))-SUMPRODUCT(($B$10:$B$61=B15)*(($I$10:$I$61&lt;&gt;"")+($K$10:$K$61&lt;&gt;"")+($M$10:$M$61&lt;&gt;"")+($O$10:$O$61&lt;&gt;"")+($Q$10:$Q$61&lt;&gt;"")+($S$10:$S$61&lt;&gt;"")+($U$10:$U$61&lt;&gt;""))))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P03'!$D$16:$D$27,(INT((X15-1)/4)+1)))</f>
        <v/>
      </c>
      <c r="F15" s="7" t="str">
        <f t="array" ref="F15">IF(X15="","",INDEX('Inventory - P03'!$E$16:$E$27,(INT((X15-1)/4)+1)))</f>
        <v/>
      </c>
      <c r="G15" s="7" t="str">
        <f t="array" ref="G15">IF(X15="","",INDEX('Inventory - P03'!$I$16:$I$27,(INT((X15-1)/4)+1)))</f>
        <v/>
      </c>
      <c r="H15" s="7" t="str">
        <f t="array" ref="H15">IF(X15="","",INDEX('Inventory - P03'!$J$16:$J$27,(INT((X15-1)/4)+1)))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P03'!$B$16:$B$27,(INT((X16-1)/4)+1))&amp;IF(INDEX('Inventory - P03'!$C$16:$C$27,(INT((X16-1)/4)+1))="",""," ("&amp;INDEX('Inventory - P03'!$C$16:$C$27,(INT((X16-1)/4)+1))&amp;" mg)"))</f>
        <v/>
      </c>
      <c r="D16" s="7" t="str">
        <f t="array" ref="D16">IF(X16="","",INDEX('Inventory - P03'!$K$16:$K$27,(INT((X16-1)/4)+1))-SUMPRODUCT(($B$10:$B$61=B16)*(($I$10:$I$61&lt;&gt;"")+($K$10:$K$61&lt;&gt;"")+($M$10:$M$61&lt;&gt;"")+($O$10:$O$61&lt;&gt;"")+($Q$10:$Q$61&lt;&gt;"")+($S$10:$S$61&lt;&gt;"")+($U$10:$U$61&lt;&gt;""))))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P03'!$D$16:$D$27,(INT((X16-1)/4)+1)))</f>
        <v/>
      </c>
      <c r="F16" s="7" t="str">
        <f t="array" ref="F16">IF(X16="","",INDEX('Inventory - P03'!$E$16:$E$27,(INT((X16-1)/4)+1)))</f>
        <v/>
      </c>
      <c r="G16" s="7" t="str">
        <f t="array" ref="G16">IF(X16="","",INDEX('Inventory - P03'!$I$16:$I$27,(INT((X16-1)/4)+1)))</f>
        <v/>
      </c>
      <c r="H16" s="7" t="str">
        <f t="array" ref="H16">IF(X16="","",INDEX('Inventory - P03'!$J$16:$J$27,(INT((X16-1)/4)+1)))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P03'!$B$16:$B$27,(INT((X17-1)/4)+1))&amp;IF(INDEX('Inventory - P03'!$C$16:$C$27,(INT((X17-1)/4)+1))="",""," ("&amp;INDEX('Inventory - P03'!$C$16:$C$27,(INT((X17-1)/4)+1))&amp;" mg)"))</f>
        <v/>
      </c>
      <c r="D17" s="7" t="str">
        <f t="array" ref="D17">IF(X17="","",INDEX('Inventory - P03'!$K$16:$K$27,(INT((X17-1)/4)+1))-SUMPRODUCT(($B$10:$B$61=B17)*(($I$10:$I$61&lt;&gt;"")+($K$10:$K$61&lt;&gt;"")+($M$10:$M$61&lt;&gt;"")+($O$10:$O$61&lt;&gt;"")+($Q$10:$Q$61&lt;&gt;"")+($S$10:$S$61&lt;&gt;"")+($U$10:$U$61&lt;&gt;""))))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P03'!$D$16:$D$27,(INT((X17-1)/4)+1)))</f>
        <v/>
      </c>
      <c r="F17" s="7" t="str">
        <f t="array" ref="F17">IF(X17="","",INDEX('Inventory - P03'!$E$16:$E$27,(INT((X17-1)/4)+1)))</f>
        <v/>
      </c>
      <c r="G17" s="7" t="str">
        <f t="array" ref="G17">IF(X17="","",INDEX('Inventory - P03'!$I$16:$I$27,(INT((X17-1)/4)+1)))</f>
        <v/>
      </c>
      <c r="H17" s="7" t="str">
        <f t="array" ref="H17">IF(X17="","",INDEX('Inventory - P03'!$J$16:$J$27,(INT((X17-1)/4)+1)))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P03'!$B$16:$B$27,(INT((X18-1)/4)+1))&amp;IF(INDEX('Inventory - P03'!$C$16:$C$27,(INT((X18-1)/4)+1))="",""," ("&amp;INDEX('Inventory - P03'!$C$16:$C$27,(INT((X18-1)/4)+1))&amp;" mg)"))</f>
        <v/>
      </c>
      <c r="D18" s="7" t="str">
        <f t="array" ref="D18">IF(X18="","",INDEX('Inventory - P03'!$K$16:$K$27,(INT((X18-1)/4)+1))-SUMPRODUCT(($B$10:$B$61=B18)*(($I$10:$I$61&lt;&gt;"")+($K$10:$K$61&lt;&gt;"")+($M$10:$M$61&lt;&gt;"")+($O$10:$O$61&lt;&gt;"")+($Q$10:$Q$61&lt;&gt;"")+($S$10:$S$61&lt;&gt;"")+($U$10:$U$61&lt;&gt;""))))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P03'!$D$16:$D$27,(INT((X18-1)/4)+1)))</f>
        <v/>
      </c>
      <c r="F18" s="7" t="str">
        <f t="array" ref="F18">IF(X18="","",INDEX('Inventory - P03'!$E$16:$E$27,(INT((X18-1)/4)+1)))</f>
        <v/>
      </c>
      <c r="G18" s="7" t="str">
        <f t="array" ref="G18">IF(X18="","",INDEX('Inventory - P03'!$I$16:$I$27,(INT((X18-1)/4)+1)))</f>
        <v/>
      </c>
      <c r="H18" s="7" t="str">
        <f t="array" ref="H18">IF(X18="","",INDEX('Inventory - P03'!$J$16:$J$27,(INT((X18-1)/4)+1)))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P03'!$B$16:$B$27,(INT((X19-1)/4)+1))&amp;IF(INDEX('Inventory - P03'!$C$16:$C$27,(INT((X19-1)/4)+1))="",""," ("&amp;INDEX('Inventory - P03'!$C$16:$C$27,(INT((X19-1)/4)+1))&amp;" mg)"))</f>
        <v/>
      </c>
      <c r="D19" s="7" t="str">
        <f t="array" ref="D19">IF(X19="","",INDEX('Inventory - P03'!$K$16:$K$27,(INT((X19-1)/4)+1))-SUMPRODUCT(($B$10:$B$61=B19)*(($I$10:$I$61&lt;&gt;"")+($K$10:$K$61&lt;&gt;"")+($M$10:$M$61&lt;&gt;"")+($O$10:$O$61&lt;&gt;"")+($Q$10:$Q$61&lt;&gt;"")+($S$10:$S$61&lt;&gt;"")+($U$10:$U$61&lt;&gt;""))))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P03'!$D$16:$D$27,(INT((X19-1)/4)+1)))</f>
        <v/>
      </c>
      <c r="F19" s="7" t="str">
        <f t="array" ref="F19">IF(X19="","",INDEX('Inventory - P03'!$E$16:$E$27,(INT((X19-1)/4)+1)))</f>
        <v/>
      </c>
      <c r="G19" s="7" t="str">
        <f t="array" ref="G19">IF(X19="","",INDEX('Inventory - P03'!$I$16:$I$27,(INT((X19-1)/4)+1)))</f>
        <v/>
      </c>
      <c r="H19" s="7" t="str">
        <f t="array" ref="H19">IF(X19="","",INDEX('Inventory - P03'!$J$16:$J$27,(INT((X19-1)/4)+1)))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P03'!$B$16:$B$27,(INT((X20-1)/4)+1))&amp;IF(INDEX('Inventory - P03'!$C$16:$C$27,(INT((X20-1)/4)+1))="",""," ("&amp;INDEX('Inventory - P03'!$C$16:$C$27,(INT((X20-1)/4)+1))&amp;" mg)"))</f>
        <v/>
      </c>
      <c r="D20" s="7" t="str">
        <f t="array" ref="D20">IF(X20="","",INDEX('Inventory - P03'!$K$16:$K$27,(INT((X20-1)/4)+1))-SUMPRODUCT(($B$10:$B$61=B20)*(($I$10:$I$61&lt;&gt;"")+($K$10:$K$61&lt;&gt;"")+($M$10:$M$61&lt;&gt;"")+($O$10:$O$61&lt;&gt;"")+($Q$10:$Q$61&lt;&gt;"")+($S$10:$S$61&lt;&gt;"")+($U$10:$U$61&lt;&gt;""))))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P03'!$D$16:$D$27,(INT((X20-1)/4)+1)))</f>
        <v/>
      </c>
      <c r="F20" s="7" t="str">
        <f t="array" ref="F20">IF(X20="","",INDEX('Inventory - P03'!$E$16:$E$27,(INT((X20-1)/4)+1)))</f>
        <v/>
      </c>
      <c r="G20" s="7" t="str">
        <f t="array" ref="G20">IF(X20="","",INDEX('Inventory - P03'!$I$16:$I$27,(INT((X20-1)/4)+1)))</f>
        <v/>
      </c>
      <c r="H20" s="7" t="str">
        <f t="array" ref="H20">IF(X20="","",INDEX('Inventory - P03'!$J$16:$J$27,(INT((X20-1)/4)+1)))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P03'!$B$16:$B$27,(INT((X21-1)/4)+1))&amp;IF(INDEX('Inventory - P03'!$C$16:$C$27,(INT((X21-1)/4)+1))="",""," ("&amp;INDEX('Inventory - P03'!$C$16:$C$27,(INT((X21-1)/4)+1))&amp;" mg)"))</f>
        <v/>
      </c>
      <c r="D21" s="7" t="str">
        <f t="array" ref="D21">IF(X21="","",INDEX('Inventory - P03'!$K$16:$K$27,(INT((X21-1)/4)+1))-SUMPRODUCT(($B$10:$B$61=B21)*(($I$10:$I$61&lt;&gt;"")+($K$10:$K$61&lt;&gt;"")+($M$10:$M$61&lt;&gt;"")+($O$10:$O$61&lt;&gt;"")+($Q$10:$Q$61&lt;&gt;"")+($S$10:$S$61&lt;&gt;"")+($U$10:$U$61&lt;&gt;""))))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P03'!$D$16:$D$27,(INT((X21-1)/4)+1)))</f>
        <v/>
      </c>
      <c r="F21" s="7" t="str">
        <f t="array" ref="F21">IF(X21="","",INDEX('Inventory - P03'!$E$16:$E$27,(INT((X21-1)/4)+1)))</f>
        <v/>
      </c>
      <c r="G21" s="7" t="str">
        <f t="array" ref="G21">IF(X21="","",INDEX('Inventory - P03'!$I$16:$I$27,(INT((X21-1)/4)+1)))</f>
        <v/>
      </c>
      <c r="H21" s="7" t="str">
        <f t="array" ref="H21">IF(X21="","",INDEX('Inventory - P03'!$J$16:$J$27,(INT((X21-1)/4)+1)))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P03'!$B$16:$B$27,(INT((X22-1)/4)+1))&amp;IF(INDEX('Inventory - P03'!$C$16:$C$27,(INT((X22-1)/4)+1))="",""," ("&amp;INDEX('Inventory - P03'!$C$16:$C$27,(INT((X22-1)/4)+1))&amp;" mg)"))</f>
        <v/>
      </c>
      <c r="D22" s="7" t="str">
        <f t="array" ref="D22">IF(X22="","",INDEX('Inventory - P03'!$K$16:$K$27,(INT((X22-1)/4)+1))-SUMPRODUCT(($B$10:$B$61=B22)*(($I$10:$I$61&lt;&gt;"")+($K$10:$K$61&lt;&gt;"")+($M$10:$M$61&lt;&gt;"")+($O$10:$O$61&lt;&gt;"")+($Q$10:$Q$61&lt;&gt;"")+($S$10:$S$61&lt;&gt;"")+($U$10:$U$61&lt;&gt;""))))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P03'!$D$16:$D$27,(INT((X22-1)/4)+1)))</f>
        <v/>
      </c>
      <c r="F22" s="7" t="str">
        <f t="array" ref="F22">IF(X22="","",INDEX('Inventory - P03'!$E$16:$E$27,(INT((X22-1)/4)+1)))</f>
        <v/>
      </c>
      <c r="G22" s="7" t="str">
        <f t="array" ref="G22">IF(X22="","",INDEX('Inventory - P03'!$I$16:$I$27,(INT((X22-1)/4)+1)))</f>
        <v/>
      </c>
      <c r="H22" s="7" t="str">
        <f t="array" ref="H22">IF(X22="","",INDEX('Inventory - P03'!$J$16:$J$27,(INT((X22-1)/4)+1)))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P03'!$B$16:$B$27,(INT((X24-1)/4)+1))&amp;IF(INDEX('Inventory - P03'!$C$16:$C$27,(INT((X24-1)/4)+1))="",""," ("&amp;INDEX('Inventory - P03'!$C$16:$C$27,(INT((X24-1)/4)+1))&amp;" mg)"))</f>
        <v/>
      </c>
      <c r="D24" s="7" t="str">
        <f t="array" ref="D24">IF(X24="","",INDEX('Inventory - P03'!$K$16:$K$27,(INT((X24-1)/4)+1))-SUMPRODUCT(($B$10:$B$61=B24)*(($I$10:$I$61&lt;&gt;"")+($K$10:$K$61&lt;&gt;"")+($M$10:$M$61&lt;&gt;"")+($O$10:$O$61&lt;&gt;"")+($Q$10:$Q$61&lt;&gt;"")+($S$10:$S$61&lt;&gt;"")+($U$10:$U$61&lt;&gt;""))))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P03'!$D$16:$D$27,(INT((X24-1)/4)+1)))</f>
        <v/>
      </c>
      <c r="F24" s="7" t="str">
        <f t="array" ref="F24">IF(X24="","",INDEX('Inventory - P03'!$E$16:$E$27,(INT((X24-1)/4)+1)))</f>
        <v/>
      </c>
      <c r="G24" s="7" t="str">
        <f t="array" ref="G24">IF(X24="","",INDEX('Inventory - P03'!$I$16:$I$27,(INT((X24-1)/4)+1)))</f>
        <v/>
      </c>
      <c r="H24" s="7" t="str">
        <f t="array" ref="H24">IF(X24="","",INDEX('Inventory - P03'!$J$16:$J$27,(INT((X24-1)/4)+1)))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P03'!$B$16:$B$27,(INT((X25-1)/4)+1))&amp;IF(INDEX('Inventory - P03'!$C$16:$C$27,(INT((X25-1)/4)+1))="",""," ("&amp;INDEX('Inventory - P03'!$C$16:$C$27,(INT((X25-1)/4)+1))&amp;" mg)"))</f>
        <v/>
      </c>
      <c r="D25" s="7" t="str">
        <f t="array" ref="D25">IF(X25="","",INDEX('Inventory - P03'!$K$16:$K$27,(INT((X25-1)/4)+1))-SUMPRODUCT(($B$10:$B$61=B25)*(($I$10:$I$61&lt;&gt;"")+($K$10:$K$61&lt;&gt;"")+($M$10:$M$61&lt;&gt;"")+($O$10:$O$61&lt;&gt;"")+($Q$10:$Q$61&lt;&gt;"")+($S$10:$S$61&lt;&gt;"")+($U$10:$U$61&lt;&gt;""))))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P03'!$D$16:$D$27,(INT((X25-1)/4)+1)))</f>
        <v/>
      </c>
      <c r="F25" s="7" t="str">
        <f t="array" ref="F25">IF(X25="","",INDEX('Inventory - P03'!$E$16:$E$27,(INT((X25-1)/4)+1)))</f>
        <v/>
      </c>
      <c r="G25" s="7" t="str">
        <f t="array" ref="G25">IF(X25="","",INDEX('Inventory - P03'!$I$16:$I$27,(INT((X25-1)/4)+1)))</f>
        <v/>
      </c>
      <c r="H25" s="7" t="str">
        <f t="array" ref="H25">IF(X25="","",INDEX('Inventory - P03'!$J$16:$J$27,(INT((X25-1)/4)+1)))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P03'!$B$16:$B$27,(INT((X26-1)/4)+1))&amp;IF(INDEX('Inventory - P03'!$C$16:$C$27,(INT((X26-1)/4)+1))="",""," ("&amp;INDEX('Inventory - P03'!$C$16:$C$27,(INT((X26-1)/4)+1))&amp;" mg)"))</f>
        <v/>
      </c>
      <c r="D26" s="7" t="str">
        <f t="array" ref="D26">IF(X26="","",INDEX('Inventory - P03'!$K$16:$K$27,(INT((X26-1)/4)+1))-SUMPRODUCT(($B$10:$B$61=B26)*(($I$10:$I$61&lt;&gt;"")+($K$10:$K$61&lt;&gt;"")+($M$10:$M$61&lt;&gt;"")+($O$10:$O$61&lt;&gt;"")+($Q$10:$Q$61&lt;&gt;"")+($S$10:$S$61&lt;&gt;"")+($U$10:$U$61&lt;&gt;""))))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P03'!$D$16:$D$27,(INT((X26-1)/4)+1)))</f>
        <v/>
      </c>
      <c r="F26" s="7" t="str">
        <f t="array" ref="F26">IF(X26="","",INDEX('Inventory - P03'!$E$16:$E$27,(INT((X26-1)/4)+1)))</f>
        <v/>
      </c>
      <c r="G26" s="7" t="str">
        <f t="array" ref="G26">IF(X26="","",INDEX('Inventory - P03'!$I$16:$I$27,(INT((X26-1)/4)+1)))</f>
        <v/>
      </c>
      <c r="H26" s="7" t="str">
        <f t="array" ref="H26">IF(X26="","",INDEX('Inventory - P03'!$J$16:$J$27,(INT((X26-1)/4)+1)))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P03'!$B$16:$B$27,(INT((X27-1)/4)+1))&amp;IF(INDEX('Inventory - P03'!$C$16:$C$27,(INT((X27-1)/4)+1))="",""," ("&amp;INDEX('Inventory - P03'!$C$16:$C$27,(INT((X27-1)/4)+1))&amp;" mg)"))</f>
        <v/>
      </c>
      <c r="D27" s="7" t="str">
        <f t="array" ref="D27">IF(X27="","",INDEX('Inventory - P03'!$K$16:$K$27,(INT((X27-1)/4)+1))-SUMPRODUCT(($B$10:$B$61=B27)*(($I$10:$I$61&lt;&gt;"")+($K$10:$K$61&lt;&gt;"")+($M$10:$M$61&lt;&gt;"")+($O$10:$O$61&lt;&gt;"")+($Q$10:$Q$61&lt;&gt;"")+($S$10:$S$61&lt;&gt;"")+($U$10:$U$61&lt;&gt;""))))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P03'!$D$16:$D$27,(INT((X27-1)/4)+1)))</f>
        <v/>
      </c>
      <c r="F27" s="7" t="str">
        <f t="array" ref="F27">IF(X27="","",INDEX('Inventory - P03'!$E$16:$E$27,(INT((X27-1)/4)+1)))</f>
        <v/>
      </c>
      <c r="G27" s="7" t="str">
        <f t="array" ref="G27">IF(X27="","",INDEX('Inventory - P03'!$I$16:$I$27,(INT((X27-1)/4)+1)))</f>
        <v/>
      </c>
      <c r="H27" s="7" t="str">
        <f t="array" ref="H27">IF(X27="","",INDEX('Inventory - P03'!$J$16:$J$27,(INT((X27-1)/4)+1)))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P03'!$B$16:$B$27,(INT((X28-1)/4)+1))&amp;IF(INDEX('Inventory - P03'!$C$16:$C$27,(INT((X28-1)/4)+1))="",""," ("&amp;INDEX('Inventory - P03'!$C$16:$C$27,(INT((X28-1)/4)+1))&amp;" mg)"))</f>
        <v/>
      </c>
      <c r="D28" s="7" t="str">
        <f t="array" ref="D28">IF(X28="","",INDEX('Inventory - P03'!$K$16:$K$27,(INT((X28-1)/4)+1))-SUMPRODUCT(($B$10:$B$61=B28)*(($I$10:$I$61&lt;&gt;"")+($K$10:$K$61&lt;&gt;"")+($M$10:$M$61&lt;&gt;"")+($O$10:$O$61&lt;&gt;"")+($Q$10:$Q$61&lt;&gt;"")+($S$10:$S$61&lt;&gt;"")+($U$10:$U$61&lt;&gt;""))))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P03'!$D$16:$D$27,(INT((X28-1)/4)+1)))</f>
        <v/>
      </c>
      <c r="F28" s="7" t="str">
        <f t="array" ref="F28">IF(X28="","",INDEX('Inventory - P03'!$E$16:$E$27,(INT((X28-1)/4)+1)))</f>
        <v/>
      </c>
      <c r="G28" s="7" t="str">
        <f t="array" ref="G28">IF(X28="","",INDEX('Inventory - P03'!$I$16:$I$27,(INT((X28-1)/4)+1)))</f>
        <v/>
      </c>
      <c r="H28" s="7" t="str">
        <f t="array" ref="H28">IF(X28="","",INDEX('Inventory - P03'!$J$16:$J$27,(INT((X28-1)/4)+1)))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P03'!$B$16:$B$27,(INT((X29-1)/4)+1))&amp;IF(INDEX('Inventory - P03'!$C$16:$C$27,(INT((X29-1)/4)+1))="",""," ("&amp;INDEX('Inventory - P03'!$C$16:$C$27,(INT((X29-1)/4)+1))&amp;" mg)"))</f>
        <v/>
      </c>
      <c r="D29" s="7" t="str">
        <f t="array" ref="D29">IF(X29="","",INDEX('Inventory - P03'!$K$16:$K$27,(INT((X29-1)/4)+1))-SUMPRODUCT(($B$10:$B$61=B29)*(($I$10:$I$61&lt;&gt;"")+($K$10:$K$61&lt;&gt;"")+($M$10:$M$61&lt;&gt;"")+($O$10:$O$61&lt;&gt;"")+($Q$10:$Q$61&lt;&gt;"")+($S$10:$S$61&lt;&gt;"")+($U$10:$U$61&lt;&gt;""))))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P03'!$D$16:$D$27,(INT((X29-1)/4)+1)))</f>
        <v/>
      </c>
      <c r="F29" s="7" t="str">
        <f t="array" ref="F29">IF(X29="","",INDEX('Inventory - P03'!$E$16:$E$27,(INT((X29-1)/4)+1)))</f>
        <v/>
      </c>
      <c r="G29" s="7" t="str">
        <f t="array" ref="G29">IF(X29="","",INDEX('Inventory - P03'!$I$16:$I$27,(INT((X29-1)/4)+1)))</f>
        <v/>
      </c>
      <c r="H29" s="7" t="str">
        <f t="array" ref="H29">IF(X29="","",INDEX('Inventory - P03'!$J$16:$J$27,(INT((X29-1)/4)+1)))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P03'!$B$16:$B$27,(INT((X30-1)/4)+1))&amp;IF(INDEX('Inventory - P03'!$C$16:$C$27,(INT((X30-1)/4)+1))="",""," ("&amp;INDEX('Inventory - P03'!$C$16:$C$27,(INT((X30-1)/4)+1))&amp;" mg)"))</f>
        <v/>
      </c>
      <c r="D30" s="7" t="str">
        <f t="array" ref="D30">IF(X30="","",INDEX('Inventory - P03'!$K$16:$K$27,(INT((X30-1)/4)+1))-SUMPRODUCT(($B$10:$B$61=B30)*(($I$10:$I$61&lt;&gt;"")+($K$10:$K$61&lt;&gt;"")+($M$10:$M$61&lt;&gt;"")+($O$10:$O$61&lt;&gt;"")+($Q$10:$Q$61&lt;&gt;"")+($S$10:$S$61&lt;&gt;"")+($U$10:$U$61&lt;&gt;""))))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P03'!$D$16:$D$27,(INT((X30-1)/4)+1)))</f>
        <v/>
      </c>
      <c r="F30" s="7" t="str">
        <f t="array" ref="F30">IF(X30="","",INDEX('Inventory - P03'!$E$16:$E$27,(INT((X30-1)/4)+1)))</f>
        <v/>
      </c>
      <c r="G30" s="7" t="str">
        <f t="array" ref="G30">IF(X30="","",INDEX('Inventory - P03'!$I$16:$I$27,(INT((X30-1)/4)+1)))</f>
        <v/>
      </c>
      <c r="H30" s="7" t="str">
        <f t="array" ref="H30">IF(X30="","",INDEX('Inventory - P03'!$J$16:$J$27,(INT((X30-1)/4)+1)))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P03'!$B$16:$B$27,(INT((X31-1)/4)+1))&amp;IF(INDEX('Inventory - P03'!$C$16:$C$27,(INT((X31-1)/4)+1))="",""," ("&amp;INDEX('Inventory - P03'!$C$16:$C$27,(INT((X31-1)/4)+1))&amp;" mg)"))</f>
        <v/>
      </c>
      <c r="D31" s="7" t="str">
        <f t="array" ref="D31">IF(X31="","",INDEX('Inventory - P03'!$K$16:$K$27,(INT((X31-1)/4)+1))-SUMPRODUCT(($B$10:$B$61=B31)*(($I$10:$I$61&lt;&gt;"")+($K$10:$K$61&lt;&gt;"")+($M$10:$M$61&lt;&gt;"")+($O$10:$O$61&lt;&gt;"")+($Q$10:$Q$61&lt;&gt;"")+($S$10:$S$61&lt;&gt;"")+($U$10:$U$61&lt;&gt;""))))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P03'!$D$16:$D$27,(INT((X31-1)/4)+1)))</f>
        <v/>
      </c>
      <c r="F31" s="7" t="str">
        <f t="array" ref="F31">IF(X31="","",INDEX('Inventory - P03'!$E$16:$E$27,(INT((X31-1)/4)+1)))</f>
        <v/>
      </c>
      <c r="G31" s="7" t="str">
        <f t="array" ref="G31">IF(X31="","",INDEX('Inventory - P03'!$I$16:$I$27,(INT((X31-1)/4)+1)))</f>
        <v/>
      </c>
      <c r="H31" s="7" t="str">
        <f t="array" ref="H31">IF(X31="","",INDEX('Inventory - P03'!$J$16:$J$27,(INT((X31-1)/4)+1)))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P03'!$B$16:$B$27,(INT((X32-1)/4)+1))&amp;IF(INDEX('Inventory - P03'!$C$16:$C$27,(INT((X32-1)/4)+1))="",""," ("&amp;INDEX('Inventory - P03'!$C$16:$C$27,(INT((X32-1)/4)+1))&amp;" mg)"))</f>
        <v/>
      </c>
      <c r="D32" s="7" t="str">
        <f t="array" ref="D32">IF(X32="","",INDEX('Inventory - P03'!$K$16:$K$27,(INT((X32-1)/4)+1))-SUMPRODUCT(($B$10:$B$61=B32)*(($I$10:$I$61&lt;&gt;"")+($K$10:$K$61&lt;&gt;"")+($M$10:$M$61&lt;&gt;"")+($O$10:$O$61&lt;&gt;"")+($Q$10:$Q$61&lt;&gt;"")+($S$10:$S$61&lt;&gt;"")+($U$10:$U$61&lt;&gt;""))))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P03'!$D$16:$D$27,(INT((X32-1)/4)+1)))</f>
        <v/>
      </c>
      <c r="F32" s="7" t="str">
        <f t="array" ref="F32">IF(X32="","",INDEX('Inventory - P03'!$E$16:$E$27,(INT((X32-1)/4)+1)))</f>
        <v/>
      </c>
      <c r="G32" s="7" t="str">
        <f t="array" ref="G32">IF(X32="","",INDEX('Inventory - P03'!$I$16:$I$27,(INT((X32-1)/4)+1)))</f>
        <v/>
      </c>
      <c r="H32" s="7" t="str">
        <f t="array" ref="H32">IF(X32="","",INDEX('Inventory - P03'!$J$16:$J$27,(INT((X32-1)/4)+1)))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P03'!$B$16:$B$27,(INT((X33-1)/4)+1))&amp;IF(INDEX('Inventory - P03'!$C$16:$C$27,(INT((X33-1)/4)+1))="",""," ("&amp;INDEX('Inventory - P03'!$C$16:$C$27,(INT((X33-1)/4)+1))&amp;" mg)"))</f>
        <v/>
      </c>
      <c r="D33" s="7" t="str">
        <f t="array" ref="D33">IF(X33="","",INDEX('Inventory - P03'!$K$16:$K$27,(INT((X33-1)/4)+1))-SUMPRODUCT(($B$10:$B$61=B33)*(($I$10:$I$61&lt;&gt;"")+($K$10:$K$61&lt;&gt;"")+($M$10:$M$61&lt;&gt;"")+($O$10:$O$61&lt;&gt;"")+($Q$10:$Q$61&lt;&gt;"")+($S$10:$S$61&lt;&gt;"")+($U$10:$U$61&lt;&gt;""))))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P03'!$D$16:$D$27,(INT((X33-1)/4)+1)))</f>
        <v/>
      </c>
      <c r="F33" s="7" t="str">
        <f t="array" ref="F33">IF(X33="","",INDEX('Inventory - P03'!$E$16:$E$27,(INT((X33-1)/4)+1)))</f>
        <v/>
      </c>
      <c r="G33" s="7" t="str">
        <f t="array" ref="G33">IF(X33="","",INDEX('Inventory - P03'!$I$16:$I$27,(INT((X33-1)/4)+1)))</f>
        <v/>
      </c>
      <c r="H33" s="7" t="str">
        <f t="array" ref="H33">IF(X33="","",INDEX('Inventory - P03'!$J$16:$J$27,(INT((X33-1)/4)+1)))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P03'!$B$16:$B$27,(INT((X34-1)/4)+1))&amp;IF(INDEX('Inventory - P03'!$C$16:$C$27,(INT((X34-1)/4)+1))="",""," ("&amp;INDEX('Inventory - P03'!$C$16:$C$27,(INT((X34-1)/4)+1))&amp;" mg)"))</f>
        <v/>
      </c>
      <c r="D34" s="7" t="str">
        <f t="array" ref="D34">IF(X34="","",INDEX('Inventory - P03'!$K$16:$K$27,(INT((X34-1)/4)+1))-SUMPRODUCT(($B$10:$B$61=B34)*(($I$10:$I$61&lt;&gt;"")+($K$10:$K$61&lt;&gt;"")+($M$10:$M$61&lt;&gt;"")+($O$10:$O$61&lt;&gt;"")+($Q$10:$Q$61&lt;&gt;"")+($S$10:$S$61&lt;&gt;"")+($U$10:$U$61&lt;&gt;""))))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P03'!$D$16:$D$27,(INT((X34-1)/4)+1)))</f>
        <v/>
      </c>
      <c r="F34" s="7" t="str">
        <f t="array" ref="F34">IF(X34="","",INDEX('Inventory - P03'!$E$16:$E$27,(INT((X34-1)/4)+1)))</f>
        <v/>
      </c>
      <c r="G34" s="7" t="str">
        <f t="array" ref="G34">IF(X34="","",INDEX('Inventory - P03'!$I$16:$I$27,(INT((X34-1)/4)+1)))</f>
        <v/>
      </c>
      <c r="H34" s="7" t="str">
        <f t="array" ref="H34">IF(X34="","",INDEX('Inventory - P03'!$J$16:$J$27,(INT((X34-1)/4)+1)))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P03'!$B$16:$B$27,(INT((X35-1)/4)+1))&amp;IF(INDEX('Inventory - P03'!$C$16:$C$27,(INT((X35-1)/4)+1))="",""," ("&amp;INDEX('Inventory - P03'!$C$16:$C$27,(INT((X35-1)/4)+1))&amp;" mg)"))</f>
        <v/>
      </c>
      <c r="D35" s="7" t="str">
        <f t="array" ref="D35">IF(X35="","",INDEX('Inventory - P03'!$K$16:$K$27,(INT((X35-1)/4)+1))-SUMPRODUCT(($B$10:$B$61=B35)*(($I$10:$I$61&lt;&gt;"")+($K$10:$K$61&lt;&gt;"")+($M$10:$M$61&lt;&gt;"")+($O$10:$O$61&lt;&gt;"")+($Q$10:$Q$61&lt;&gt;"")+($S$10:$S$61&lt;&gt;"")+($U$10:$U$61&lt;&gt;""))))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P03'!$D$16:$D$27,(INT((X35-1)/4)+1)))</f>
        <v/>
      </c>
      <c r="F35" s="7" t="str">
        <f t="array" ref="F35">IF(X35="","",INDEX('Inventory - P03'!$E$16:$E$27,(INT((X35-1)/4)+1)))</f>
        <v/>
      </c>
      <c r="G35" s="7" t="str">
        <f t="array" ref="G35">IF(X35="","",INDEX('Inventory - P03'!$I$16:$I$27,(INT((X35-1)/4)+1)))</f>
        <v/>
      </c>
      <c r="H35" s="7" t="str">
        <f t="array" ref="H35">IF(X35="","",INDEX('Inventory - P03'!$J$16:$J$27,(INT((X35-1)/4)+1)))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P03'!$B$16:$B$27,(INT((X37-1)/4)+1))&amp;IF(INDEX('Inventory - P03'!$C$16:$C$27,(INT((X37-1)/4)+1))="",""," ("&amp;INDEX('Inventory - P03'!$C$16:$C$27,(INT((X37-1)/4)+1))&amp;" mg)"))</f>
        <v/>
      </c>
      <c r="D37" s="7" t="str">
        <f t="array" ref="D37">IF(X37="","",INDEX('Inventory - P03'!$K$16:$K$27,(INT((X37-1)/4)+1))-SUMPRODUCT(($B$10:$B$61=B37)*(($I$10:$I$61&lt;&gt;"")+($K$10:$K$61&lt;&gt;"")+($M$10:$M$61&lt;&gt;"")+($O$10:$O$61&lt;&gt;"")+($Q$10:$Q$61&lt;&gt;"")+($S$10:$S$61&lt;&gt;"")+($U$10:$U$61&lt;&gt;""))))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P03'!$D$16:$D$27,(INT((X37-1)/4)+1)))</f>
        <v/>
      </c>
      <c r="F37" s="7" t="str">
        <f t="array" ref="F37">IF(X37="","",INDEX('Inventory - P03'!$E$16:$E$27,(INT((X37-1)/4)+1)))</f>
        <v/>
      </c>
      <c r="G37" s="7" t="str">
        <f t="array" ref="G37">IF(X37="","",INDEX('Inventory - P03'!$I$16:$I$27,(INT((X37-1)/4)+1)))</f>
        <v/>
      </c>
      <c r="H37" s="7" t="str">
        <f t="array" ref="H37">IF(X37="","",INDEX('Inventory - P03'!$J$16:$J$27,(INT((X37-1)/4)+1)))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P03'!$B$16:$B$27,(INT((X38-1)/4)+1))&amp;IF(INDEX('Inventory - P03'!$C$16:$C$27,(INT((X38-1)/4)+1))="",""," ("&amp;INDEX('Inventory - P03'!$C$16:$C$27,(INT((X38-1)/4)+1))&amp;" mg)"))</f>
        <v/>
      </c>
      <c r="D38" s="7" t="str">
        <f t="array" ref="D38">IF(X38="","",INDEX('Inventory - P03'!$K$16:$K$27,(INT((X38-1)/4)+1))-SUMPRODUCT(($B$10:$B$61=B38)*(($I$10:$I$61&lt;&gt;"")+($K$10:$K$61&lt;&gt;"")+($M$10:$M$61&lt;&gt;"")+($O$10:$O$61&lt;&gt;"")+($Q$10:$Q$61&lt;&gt;"")+($S$10:$S$61&lt;&gt;"")+($U$10:$U$61&lt;&gt;""))))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P03'!$D$16:$D$27,(INT((X38-1)/4)+1)))</f>
        <v/>
      </c>
      <c r="F38" s="7" t="str">
        <f t="array" ref="F38">IF(X38="","",INDEX('Inventory - P03'!$E$16:$E$27,(INT((X38-1)/4)+1)))</f>
        <v/>
      </c>
      <c r="G38" s="7" t="str">
        <f t="array" ref="G38">IF(X38="","",INDEX('Inventory - P03'!$I$16:$I$27,(INT((X38-1)/4)+1)))</f>
        <v/>
      </c>
      <c r="H38" s="7" t="str">
        <f t="array" ref="H38">IF(X38="","",INDEX('Inventory - P03'!$J$16:$J$27,(INT((X38-1)/4)+1)))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P03'!$B$16:$B$27,(INT((X39-1)/4)+1))&amp;IF(INDEX('Inventory - P03'!$C$16:$C$27,(INT((X39-1)/4)+1))="",""," ("&amp;INDEX('Inventory - P03'!$C$16:$C$27,(INT((X39-1)/4)+1))&amp;" mg)"))</f>
        <v/>
      </c>
      <c r="D39" s="7" t="str">
        <f t="array" ref="D39">IF(X39="","",INDEX('Inventory - P03'!$K$16:$K$27,(INT((X39-1)/4)+1))-SUMPRODUCT(($B$10:$B$61=B39)*(($I$10:$I$61&lt;&gt;"")+($K$10:$K$61&lt;&gt;"")+($M$10:$M$61&lt;&gt;"")+($O$10:$O$61&lt;&gt;"")+($Q$10:$Q$61&lt;&gt;"")+($S$10:$S$61&lt;&gt;"")+($U$10:$U$61&lt;&gt;""))))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P03'!$D$16:$D$27,(INT((X39-1)/4)+1)))</f>
        <v/>
      </c>
      <c r="F39" s="7" t="str">
        <f t="array" ref="F39">IF(X39="","",INDEX('Inventory - P03'!$E$16:$E$27,(INT((X39-1)/4)+1)))</f>
        <v/>
      </c>
      <c r="G39" s="7" t="str">
        <f t="array" ref="G39">IF(X39="","",INDEX('Inventory - P03'!$I$16:$I$27,(INT((X39-1)/4)+1)))</f>
        <v/>
      </c>
      <c r="H39" s="7" t="str">
        <f t="array" ref="H39">IF(X39="","",INDEX('Inventory - P03'!$J$16:$J$27,(INT((X39-1)/4)+1)))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P03'!$B$16:$B$27,(INT((X40-1)/4)+1))&amp;IF(INDEX('Inventory - P03'!$C$16:$C$27,(INT((X40-1)/4)+1))="",""," ("&amp;INDEX('Inventory - P03'!$C$16:$C$27,(INT((X40-1)/4)+1))&amp;" mg)"))</f>
        <v/>
      </c>
      <c r="D40" s="7" t="str">
        <f t="array" ref="D40">IF(X40="","",INDEX('Inventory - P03'!$K$16:$K$27,(INT((X40-1)/4)+1))-SUMPRODUCT(($B$10:$B$61=B40)*(($I$10:$I$61&lt;&gt;"")+($K$10:$K$61&lt;&gt;"")+($M$10:$M$61&lt;&gt;"")+($O$10:$O$61&lt;&gt;"")+($Q$10:$Q$61&lt;&gt;"")+($S$10:$S$61&lt;&gt;"")+($U$10:$U$61&lt;&gt;""))))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P03'!$D$16:$D$27,(INT((X40-1)/4)+1)))</f>
        <v/>
      </c>
      <c r="F40" s="7" t="str">
        <f t="array" ref="F40">IF(X40="","",INDEX('Inventory - P03'!$E$16:$E$27,(INT((X40-1)/4)+1)))</f>
        <v/>
      </c>
      <c r="G40" s="7" t="str">
        <f t="array" ref="G40">IF(X40="","",INDEX('Inventory - P03'!$I$16:$I$27,(INT((X40-1)/4)+1)))</f>
        <v/>
      </c>
      <c r="H40" s="7" t="str">
        <f t="array" ref="H40">IF(X40="","",INDEX('Inventory - P03'!$J$16:$J$27,(INT((X40-1)/4)+1)))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P03'!$B$16:$B$27,(INT((X41-1)/4)+1))&amp;IF(INDEX('Inventory - P03'!$C$16:$C$27,(INT((X41-1)/4)+1))="",""," ("&amp;INDEX('Inventory - P03'!$C$16:$C$27,(INT((X41-1)/4)+1))&amp;" mg)"))</f>
        <v/>
      </c>
      <c r="D41" s="7" t="str">
        <f t="array" ref="D41">IF(X41="","",INDEX('Inventory - P03'!$K$16:$K$27,(INT((X41-1)/4)+1))-SUMPRODUCT(($B$10:$B$61=B41)*(($I$10:$I$61&lt;&gt;"")+($K$10:$K$61&lt;&gt;"")+($M$10:$M$61&lt;&gt;"")+($O$10:$O$61&lt;&gt;"")+($Q$10:$Q$61&lt;&gt;"")+($S$10:$S$61&lt;&gt;"")+($U$10:$U$61&lt;&gt;""))))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P03'!$D$16:$D$27,(INT((X41-1)/4)+1)))</f>
        <v/>
      </c>
      <c r="F41" s="7" t="str">
        <f t="array" ref="F41">IF(X41="","",INDEX('Inventory - P03'!$E$16:$E$27,(INT((X41-1)/4)+1)))</f>
        <v/>
      </c>
      <c r="G41" s="7" t="str">
        <f t="array" ref="G41">IF(X41="","",INDEX('Inventory - P03'!$I$16:$I$27,(INT((X41-1)/4)+1)))</f>
        <v/>
      </c>
      <c r="H41" s="7" t="str">
        <f t="array" ref="H41">IF(X41="","",INDEX('Inventory - P03'!$J$16:$J$27,(INT((X41-1)/4)+1)))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P03'!$B$16:$B$27,(INT((X42-1)/4)+1))&amp;IF(INDEX('Inventory - P03'!$C$16:$C$27,(INT((X42-1)/4)+1))="",""," ("&amp;INDEX('Inventory - P03'!$C$16:$C$27,(INT((X42-1)/4)+1))&amp;" mg)"))</f>
        <v/>
      </c>
      <c r="D42" s="7" t="str">
        <f t="array" ref="D42">IF(X42="","",INDEX('Inventory - P03'!$K$16:$K$27,(INT((X42-1)/4)+1))-SUMPRODUCT(($B$10:$B$61=B42)*(($I$10:$I$61&lt;&gt;"")+($K$10:$K$61&lt;&gt;"")+($M$10:$M$61&lt;&gt;"")+($O$10:$O$61&lt;&gt;"")+($Q$10:$Q$61&lt;&gt;"")+($S$10:$S$61&lt;&gt;"")+($U$10:$U$61&lt;&gt;""))))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P03'!$D$16:$D$27,(INT((X42-1)/4)+1)))</f>
        <v/>
      </c>
      <c r="F42" s="7" t="str">
        <f t="array" ref="F42">IF(X42="","",INDEX('Inventory - P03'!$E$16:$E$27,(INT((X42-1)/4)+1)))</f>
        <v/>
      </c>
      <c r="G42" s="7" t="str">
        <f t="array" ref="G42">IF(X42="","",INDEX('Inventory - P03'!$I$16:$I$27,(INT((X42-1)/4)+1)))</f>
        <v/>
      </c>
      <c r="H42" s="7" t="str">
        <f t="array" ref="H42">IF(X42="","",INDEX('Inventory - P03'!$J$16:$J$27,(INT((X42-1)/4)+1)))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P03'!$B$16:$B$27,(INT((X43-1)/4)+1))&amp;IF(INDEX('Inventory - P03'!$C$16:$C$27,(INT((X43-1)/4)+1))="",""," ("&amp;INDEX('Inventory - P03'!$C$16:$C$27,(INT((X43-1)/4)+1))&amp;" mg)"))</f>
        <v/>
      </c>
      <c r="D43" s="7" t="str">
        <f t="array" ref="D43">IF(X43="","",INDEX('Inventory - P03'!$K$16:$K$27,(INT((X43-1)/4)+1))-SUMPRODUCT(($B$10:$B$61=B43)*(($I$10:$I$61&lt;&gt;"")+($K$10:$K$61&lt;&gt;"")+($M$10:$M$61&lt;&gt;"")+($O$10:$O$61&lt;&gt;"")+($Q$10:$Q$61&lt;&gt;"")+($S$10:$S$61&lt;&gt;"")+($U$10:$U$61&lt;&gt;""))))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P03'!$D$16:$D$27,(INT((X43-1)/4)+1)))</f>
        <v/>
      </c>
      <c r="F43" s="7" t="str">
        <f t="array" ref="F43">IF(X43="","",INDEX('Inventory - P03'!$E$16:$E$27,(INT((X43-1)/4)+1)))</f>
        <v/>
      </c>
      <c r="G43" s="7" t="str">
        <f t="array" ref="G43">IF(X43="","",INDEX('Inventory - P03'!$I$16:$I$27,(INT((X43-1)/4)+1)))</f>
        <v/>
      </c>
      <c r="H43" s="7" t="str">
        <f t="array" ref="H43">IF(X43="","",INDEX('Inventory - P03'!$J$16:$J$27,(INT((X43-1)/4)+1)))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P03'!$B$16:$B$27,(INT((X44-1)/4)+1))&amp;IF(INDEX('Inventory - P03'!$C$16:$C$27,(INT((X44-1)/4)+1))="",""," ("&amp;INDEX('Inventory - P03'!$C$16:$C$27,(INT((X44-1)/4)+1))&amp;" mg)"))</f>
        <v/>
      </c>
      <c r="D44" s="7" t="str">
        <f t="array" ref="D44">IF(X44="","",INDEX('Inventory - P03'!$K$16:$K$27,(INT((X44-1)/4)+1))-SUMPRODUCT(($B$10:$B$61=B44)*(($I$10:$I$61&lt;&gt;"")+($K$10:$K$61&lt;&gt;"")+($M$10:$M$61&lt;&gt;"")+($O$10:$O$61&lt;&gt;"")+($Q$10:$Q$61&lt;&gt;"")+($S$10:$S$61&lt;&gt;"")+($U$10:$U$61&lt;&gt;""))))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P03'!$D$16:$D$27,(INT((X44-1)/4)+1)))</f>
        <v/>
      </c>
      <c r="F44" s="7" t="str">
        <f t="array" ref="F44">IF(X44="","",INDEX('Inventory - P03'!$E$16:$E$27,(INT((X44-1)/4)+1)))</f>
        <v/>
      </c>
      <c r="G44" s="7" t="str">
        <f t="array" ref="G44">IF(X44="","",INDEX('Inventory - P03'!$I$16:$I$27,(INT((X44-1)/4)+1)))</f>
        <v/>
      </c>
      <c r="H44" s="7" t="str">
        <f t="array" ref="H44">IF(X44="","",INDEX('Inventory - P03'!$J$16:$J$27,(INT((X44-1)/4)+1)))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P03'!$B$16:$B$27,(INT((X45-1)/4)+1))&amp;IF(INDEX('Inventory - P03'!$C$16:$C$27,(INT((X45-1)/4)+1))="",""," ("&amp;INDEX('Inventory - P03'!$C$16:$C$27,(INT((X45-1)/4)+1))&amp;" mg)"))</f>
        <v/>
      </c>
      <c r="D45" s="7" t="str">
        <f t="array" ref="D45">IF(X45="","",INDEX('Inventory - P03'!$K$16:$K$27,(INT((X45-1)/4)+1))-SUMPRODUCT(($B$10:$B$61=B45)*(($I$10:$I$61&lt;&gt;"")+($K$10:$K$61&lt;&gt;"")+($M$10:$M$61&lt;&gt;"")+($O$10:$O$61&lt;&gt;"")+($Q$10:$Q$61&lt;&gt;"")+($S$10:$S$61&lt;&gt;"")+($U$10:$U$61&lt;&gt;""))))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P03'!$D$16:$D$27,(INT((X45-1)/4)+1)))</f>
        <v/>
      </c>
      <c r="F45" s="7" t="str">
        <f t="array" ref="F45">IF(X45="","",INDEX('Inventory - P03'!$E$16:$E$27,(INT((X45-1)/4)+1)))</f>
        <v/>
      </c>
      <c r="G45" s="7" t="str">
        <f t="array" ref="G45">IF(X45="","",INDEX('Inventory - P03'!$I$16:$I$27,(INT((X45-1)/4)+1)))</f>
        <v/>
      </c>
      <c r="H45" s="7" t="str">
        <f t="array" ref="H45">IF(X45="","",INDEX('Inventory - P03'!$J$16:$J$27,(INT((X45-1)/4)+1)))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P03'!$B$16:$B$27,(INT((X46-1)/4)+1))&amp;IF(INDEX('Inventory - P03'!$C$16:$C$27,(INT((X46-1)/4)+1))="",""," ("&amp;INDEX('Inventory - P03'!$C$16:$C$27,(INT((X46-1)/4)+1))&amp;" mg)"))</f>
        <v/>
      </c>
      <c r="D46" s="7" t="str">
        <f t="array" ref="D46">IF(X46="","",INDEX('Inventory - P03'!$K$16:$K$27,(INT((X46-1)/4)+1))-SUMPRODUCT(($B$10:$B$61=B46)*(($I$10:$I$61&lt;&gt;"")+($K$10:$K$61&lt;&gt;"")+($M$10:$M$61&lt;&gt;"")+($O$10:$O$61&lt;&gt;"")+($Q$10:$Q$61&lt;&gt;"")+($S$10:$S$61&lt;&gt;"")+($U$10:$U$61&lt;&gt;""))))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P03'!$D$16:$D$27,(INT((X46-1)/4)+1)))</f>
        <v/>
      </c>
      <c r="F46" s="7" t="str">
        <f t="array" ref="F46">IF(X46="","",INDEX('Inventory - P03'!$E$16:$E$27,(INT((X46-1)/4)+1)))</f>
        <v/>
      </c>
      <c r="G46" s="7" t="str">
        <f t="array" ref="G46">IF(X46="","",INDEX('Inventory - P03'!$I$16:$I$27,(INT((X46-1)/4)+1)))</f>
        <v/>
      </c>
      <c r="H46" s="7" t="str">
        <f t="array" ref="H46">IF(X46="","",INDEX('Inventory - P03'!$J$16:$J$27,(INT((X46-1)/4)+1)))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P03'!$B$16:$B$27,(INT((X47-1)/4)+1))&amp;IF(INDEX('Inventory - P03'!$C$16:$C$27,(INT((X47-1)/4)+1))="",""," ("&amp;INDEX('Inventory - P03'!$C$16:$C$27,(INT((X47-1)/4)+1))&amp;" mg)"))</f>
        <v/>
      </c>
      <c r="D47" s="7" t="str">
        <f t="array" ref="D47">IF(X47="","",INDEX('Inventory - P03'!$K$16:$K$27,(INT((X47-1)/4)+1))-SUMPRODUCT(($B$10:$B$61=B47)*(($I$10:$I$61&lt;&gt;"")+($K$10:$K$61&lt;&gt;"")+($M$10:$M$61&lt;&gt;"")+($O$10:$O$61&lt;&gt;"")+($Q$10:$Q$61&lt;&gt;"")+($S$10:$S$61&lt;&gt;"")+($U$10:$U$61&lt;&gt;""))))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P03'!$D$16:$D$27,(INT((X47-1)/4)+1)))</f>
        <v/>
      </c>
      <c r="F47" s="7" t="str">
        <f t="array" ref="F47">IF(X47="","",INDEX('Inventory - P03'!$E$16:$E$27,(INT((X47-1)/4)+1)))</f>
        <v/>
      </c>
      <c r="G47" s="7" t="str">
        <f t="array" ref="G47">IF(X47="","",INDEX('Inventory - P03'!$I$16:$I$27,(INT((X47-1)/4)+1)))</f>
        <v/>
      </c>
      <c r="H47" s="7" t="str">
        <f t="array" ref="H47">IF(X47="","",INDEX('Inventory - P03'!$J$16:$J$27,(INT((X47-1)/4)+1)))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P03'!$B$16:$B$27,(INT((X48-1)/4)+1))&amp;IF(INDEX('Inventory - P03'!$C$16:$C$27,(INT((X48-1)/4)+1))="",""," ("&amp;INDEX('Inventory - P03'!$C$16:$C$27,(INT((X48-1)/4)+1))&amp;" mg)"))</f>
        <v/>
      </c>
      <c r="D48" s="7" t="str">
        <f t="array" ref="D48">IF(X48="","",INDEX('Inventory - P03'!$K$16:$K$27,(INT((X48-1)/4)+1))-SUMPRODUCT(($B$10:$B$61=B48)*(($I$10:$I$61&lt;&gt;"")+($K$10:$K$61&lt;&gt;"")+($M$10:$M$61&lt;&gt;"")+($O$10:$O$61&lt;&gt;"")+($Q$10:$Q$61&lt;&gt;"")+($S$10:$S$61&lt;&gt;"")+($U$10:$U$61&lt;&gt;""))))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P03'!$D$16:$D$27,(INT((X48-1)/4)+1)))</f>
        <v/>
      </c>
      <c r="F48" s="7" t="str">
        <f t="array" ref="F48">IF(X48="","",INDEX('Inventory - P03'!$E$16:$E$27,(INT((X48-1)/4)+1)))</f>
        <v/>
      </c>
      <c r="G48" s="7" t="str">
        <f t="array" ref="G48">IF(X48="","",INDEX('Inventory - P03'!$I$16:$I$27,(INT((X48-1)/4)+1)))</f>
        <v/>
      </c>
      <c r="H48" s="7" t="str">
        <f t="array" ref="H48">IF(X48="","",INDEX('Inventory - P03'!$J$16:$J$27,(INT((X48-1)/4)+1)))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P03'!$B$16:$B$27,(INT((X50-1)/4)+1))&amp;IF(INDEX('Inventory - P03'!$C$16:$C$27,(INT((X50-1)/4)+1))="",""," ("&amp;INDEX('Inventory - P03'!$C$16:$C$27,(INT((X50-1)/4)+1))&amp;" mg)"))</f>
        <v/>
      </c>
      <c r="D50" s="7" t="str">
        <f t="array" ref="D50">IF(X50="","",INDEX('Inventory - P03'!$K$16:$K$27,(INT((X50-1)/4)+1))-SUMPRODUCT(($B$10:$B$61=B50)*(($I$10:$I$61&lt;&gt;"")+($K$10:$K$61&lt;&gt;"")+($M$10:$M$61&lt;&gt;"")+($O$10:$O$61&lt;&gt;"")+($Q$10:$Q$61&lt;&gt;"")+($S$10:$S$61&lt;&gt;"")+($U$10:$U$61&lt;&gt;""))))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P03'!$D$16:$D$27,(INT((X50-1)/4)+1)))</f>
        <v/>
      </c>
      <c r="F50" s="7" t="str">
        <f t="array" ref="F50">IF(X50="","",INDEX('Inventory - P03'!$E$16:$E$27,(INT((X50-1)/4)+1)))</f>
        <v/>
      </c>
      <c r="G50" s="7" t="str">
        <f t="array" ref="G50">IF(X50="","",INDEX('Inventory - P03'!$I$16:$I$27,(INT((X50-1)/4)+1)))</f>
        <v/>
      </c>
      <c r="H50" s="7" t="str">
        <f t="array" ref="H50">IF(X50="","",INDEX('Inventory - P03'!$J$16:$J$27,(INT((X50-1)/4)+1)))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P03'!$B$16:$B$27,(INT((X51-1)/4)+1))&amp;IF(INDEX('Inventory - P03'!$C$16:$C$27,(INT((X51-1)/4)+1))="",""," ("&amp;INDEX('Inventory - P03'!$C$16:$C$27,(INT((X51-1)/4)+1))&amp;" mg)"))</f>
        <v/>
      </c>
      <c r="D51" s="7" t="str">
        <f t="array" ref="D51">IF(X51="","",INDEX('Inventory - P03'!$K$16:$K$27,(INT((X51-1)/4)+1))-SUMPRODUCT(($B$10:$B$61=B51)*(($I$10:$I$61&lt;&gt;"")+($K$10:$K$61&lt;&gt;"")+($M$10:$M$61&lt;&gt;"")+($O$10:$O$61&lt;&gt;"")+($Q$10:$Q$61&lt;&gt;"")+($S$10:$S$61&lt;&gt;"")+($U$10:$U$61&lt;&gt;""))))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P03'!$D$16:$D$27,(INT((X51-1)/4)+1)))</f>
        <v/>
      </c>
      <c r="F51" s="7" t="str">
        <f t="array" ref="F51">IF(X51="","",INDEX('Inventory - P03'!$E$16:$E$27,(INT((X51-1)/4)+1)))</f>
        <v/>
      </c>
      <c r="G51" s="7" t="str">
        <f t="array" ref="G51">IF(X51="","",INDEX('Inventory - P03'!$I$16:$I$27,(INT((X51-1)/4)+1)))</f>
        <v/>
      </c>
      <c r="H51" s="7" t="str">
        <f t="array" ref="H51">IF(X51="","",INDEX('Inventory - P03'!$J$16:$J$27,(INT((X51-1)/4)+1)))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P03'!$B$16:$B$27,(INT((X52-1)/4)+1))&amp;IF(INDEX('Inventory - P03'!$C$16:$C$27,(INT((X52-1)/4)+1))="",""," ("&amp;INDEX('Inventory - P03'!$C$16:$C$27,(INT((X52-1)/4)+1))&amp;" mg)"))</f>
        <v/>
      </c>
      <c r="D52" s="7" t="str">
        <f t="array" ref="D52">IF(X52="","",INDEX('Inventory - P03'!$K$16:$K$27,(INT((X52-1)/4)+1))-SUMPRODUCT(($B$10:$B$61=B52)*(($I$10:$I$61&lt;&gt;"")+($K$10:$K$61&lt;&gt;"")+($M$10:$M$61&lt;&gt;"")+($O$10:$O$61&lt;&gt;"")+($Q$10:$Q$61&lt;&gt;"")+($S$10:$S$61&lt;&gt;"")+($U$10:$U$61&lt;&gt;""))))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P03'!$D$16:$D$27,(INT((X52-1)/4)+1)))</f>
        <v/>
      </c>
      <c r="F52" s="7" t="str">
        <f t="array" ref="F52">IF(X52="","",INDEX('Inventory - P03'!$E$16:$E$27,(INT((X52-1)/4)+1)))</f>
        <v/>
      </c>
      <c r="G52" s="7" t="str">
        <f t="array" ref="G52">IF(X52="","",INDEX('Inventory - P03'!$I$16:$I$27,(INT((X52-1)/4)+1)))</f>
        <v/>
      </c>
      <c r="H52" s="7" t="str">
        <f t="array" ref="H52">IF(X52="","",INDEX('Inventory - P03'!$J$16:$J$27,(INT((X52-1)/4)+1)))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P03'!$B$16:$B$27,(INT((X53-1)/4)+1))&amp;IF(INDEX('Inventory - P03'!$C$16:$C$27,(INT((X53-1)/4)+1))="",""," ("&amp;INDEX('Inventory - P03'!$C$16:$C$27,(INT((X53-1)/4)+1))&amp;" mg)"))</f>
        <v/>
      </c>
      <c r="D53" s="7" t="str">
        <f t="array" ref="D53">IF(X53="","",INDEX('Inventory - P03'!$K$16:$K$27,(INT((X53-1)/4)+1))-SUMPRODUCT(($B$10:$B$61=B53)*(($I$10:$I$61&lt;&gt;"")+($K$10:$K$61&lt;&gt;"")+($M$10:$M$61&lt;&gt;"")+($O$10:$O$61&lt;&gt;"")+($Q$10:$Q$61&lt;&gt;"")+($S$10:$S$61&lt;&gt;"")+($U$10:$U$61&lt;&gt;""))))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P03'!$D$16:$D$27,(INT((X53-1)/4)+1)))</f>
        <v/>
      </c>
      <c r="F53" s="7" t="str">
        <f t="array" ref="F53">IF(X53="","",INDEX('Inventory - P03'!$E$16:$E$27,(INT((X53-1)/4)+1)))</f>
        <v/>
      </c>
      <c r="G53" s="7" t="str">
        <f t="array" ref="G53">IF(X53="","",INDEX('Inventory - P03'!$I$16:$I$27,(INT((X53-1)/4)+1)))</f>
        <v/>
      </c>
      <c r="H53" s="7" t="str">
        <f t="array" ref="H53">IF(X53="","",INDEX('Inventory - P03'!$J$16:$J$27,(INT((X53-1)/4)+1)))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P03'!$B$16:$B$27,(INT((X54-1)/4)+1))&amp;IF(INDEX('Inventory - P03'!$C$16:$C$27,(INT((X54-1)/4)+1))="",""," ("&amp;INDEX('Inventory - P03'!$C$16:$C$27,(INT((X54-1)/4)+1))&amp;" mg)"))</f>
        <v/>
      </c>
      <c r="D54" s="7" t="str">
        <f t="array" ref="D54">IF(X54="","",INDEX('Inventory - P03'!$K$16:$K$27,(INT((X54-1)/4)+1))-SUMPRODUCT(($B$10:$B$61=B54)*(($I$10:$I$61&lt;&gt;"")+($K$10:$K$61&lt;&gt;"")+($M$10:$M$61&lt;&gt;"")+($O$10:$O$61&lt;&gt;"")+($Q$10:$Q$61&lt;&gt;"")+($S$10:$S$61&lt;&gt;"")+($U$10:$U$61&lt;&gt;""))))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P03'!$D$16:$D$27,(INT((X54-1)/4)+1)))</f>
        <v/>
      </c>
      <c r="F54" s="7" t="str">
        <f t="array" ref="F54">IF(X54="","",INDEX('Inventory - P03'!$E$16:$E$27,(INT((X54-1)/4)+1)))</f>
        <v/>
      </c>
      <c r="G54" s="7" t="str">
        <f t="array" ref="G54">IF(X54="","",INDEX('Inventory - P03'!$I$16:$I$27,(INT((X54-1)/4)+1)))</f>
        <v/>
      </c>
      <c r="H54" s="7" t="str">
        <f t="array" ref="H54">IF(X54="","",INDEX('Inventory - P03'!$J$16:$J$27,(INT((X54-1)/4)+1)))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P03'!$B$16:$B$27,(INT((X55-1)/4)+1))&amp;IF(INDEX('Inventory - P03'!$C$16:$C$27,(INT((X55-1)/4)+1))="",""," ("&amp;INDEX('Inventory - P03'!$C$16:$C$27,(INT((X55-1)/4)+1))&amp;" mg)"))</f>
        <v/>
      </c>
      <c r="D55" s="7" t="str">
        <f t="array" ref="D55">IF(X55="","",INDEX('Inventory - P03'!$K$16:$K$27,(INT((X55-1)/4)+1))-SUMPRODUCT(($B$10:$B$61=B55)*(($I$10:$I$61&lt;&gt;"")+($K$10:$K$61&lt;&gt;"")+($M$10:$M$61&lt;&gt;"")+($O$10:$O$61&lt;&gt;"")+($Q$10:$Q$61&lt;&gt;"")+($S$10:$S$61&lt;&gt;"")+($U$10:$U$61&lt;&gt;""))))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P03'!$D$16:$D$27,(INT((X55-1)/4)+1)))</f>
        <v/>
      </c>
      <c r="F55" s="7" t="str">
        <f t="array" ref="F55">IF(X55="","",INDEX('Inventory - P03'!$E$16:$E$27,(INT((X55-1)/4)+1)))</f>
        <v/>
      </c>
      <c r="G55" s="7" t="str">
        <f t="array" ref="G55">IF(X55="","",INDEX('Inventory - P03'!$I$16:$I$27,(INT((X55-1)/4)+1)))</f>
        <v/>
      </c>
      <c r="H55" s="7" t="str">
        <f t="array" ref="H55">IF(X55="","",INDEX('Inventory - P03'!$J$16:$J$27,(INT((X55-1)/4)+1)))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P03'!$B$16:$B$27,(INT((X56-1)/4)+1))&amp;IF(INDEX('Inventory - P03'!$C$16:$C$27,(INT((X56-1)/4)+1))="",""," ("&amp;INDEX('Inventory - P03'!$C$16:$C$27,(INT((X56-1)/4)+1))&amp;" mg)"))</f>
        <v/>
      </c>
      <c r="D56" s="7" t="str">
        <f t="array" ref="D56">IF(X56="","",INDEX('Inventory - P03'!$K$16:$K$27,(INT((X56-1)/4)+1))-SUMPRODUCT(($B$10:$B$61=B56)*(($I$10:$I$61&lt;&gt;"")+($K$10:$K$61&lt;&gt;"")+($M$10:$M$61&lt;&gt;"")+($O$10:$O$61&lt;&gt;"")+($Q$10:$Q$61&lt;&gt;"")+($S$10:$S$61&lt;&gt;"")+($U$10:$U$61&lt;&gt;""))))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P03'!$D$16:$D$27,(INT((X56-1)/4)+1)))</f>
        <v/>
      </c>
      <c r="F56" s="7" t="str">
        <f t="array" ref="F56">IF(X56="","",INDEX('Inventory - P03'!$E$16:$E$27,(INT((X56-1)/4)+1)))</f>
        <v/>
      </c>
      <c r="G56" s="7" t="str">
        <f t="array" ref="G56">IF(X56="","",INDEX('Inventory - P03'!$I$16:$I$27,(INT((X56-1)/4)+1)))</f>
        <v/>
      </c>
      <c r="H56" s="7" t="str">
        <f t="array" ref="H56">IF(X56="","",INDEX('Inventory - P03'!$J$16:$J$27,(INT((X56-1)/4)+1)))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P03'!$B$16:$B$27,(INT((X57-1)/4)+1))&amp;IF(INDEX('Inventory - P03'!$C$16:$C$27,(INT((X57-1)/4)+1))="",""," ("&amp;INDEX('Inventory - P03'!$C$16:$C$27,(INT((X57-1)/4)+1))&amp;" mg)"))</f>
        <v/>
      </c>
      <c r="D57" s="7" t="str">
        <f t="array" ref="D57">IF(X57="","",INDEX('Inventory - P03'!$K$16:$K$27,(INT((X57-1)/4)+1))-SUMPRODUCT(($B$10:$B$61=B57)*(($I$10:$I$61&lt;&gt;"")+($K$10:$K$61&lt;&gt;"")+($M$10:$M$61&lt;&gt;"")+($O$10:$O$61&lt;&gt;"")+($Q$10:$Q$61&lt;&gt;"")+($S$10:$S$61&lt;&gt;"")+($U$10:$U$61&lt;&gt;""))))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P03'!$D$16:$D$27,(INT((X57-1)/4)+1)))</f>
        <v/>
      </c>
      <c r="F57" s="7" t="str">
        <f t="array" ref="F57">IF(X57="","",INDEX('Inventory - P03'!$E$16:$E$27,(INT((X57-1)/4)+1)))</f>
        <v/>
      </c>
      <c r="G57" s="7" t="str">
        <f t="array" ref="G57">IF(X57="","",INDEX('Inventory - P03'!$I$16:$I$27,(INT((X57-1)/4)+1)))</f>
        <v/>
      </c>
      <c r="H57" s="7" t="str">
        <f t="array" ref="H57">IF(X57="","",INDEX('Inventory - P03'!$J$16:$J$27,(INT((X57-1)/4)+1)))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P03'!$B$16:$B$27,(INT((X58-1)/4)+1))&amp;IF(INDEX('Inventory - P03'!$C$16:$C$27,(INT((X58-1)/4)+1))="",""," ("&amp;INDEX('Inventory - P03'!$C$16:$C$27,(INT((X58-1)/4)+1))&amp;" mg)"))</f>
        <v/>
      </c>
      <c r="D58" s="7" t="str">
        <f t="array" ref="D58">IF(X58="","",INDEX('Inventory - P03'!$K$16:$K$27,(INT((X58-1)/4)+1))-SUMPRODUCT(($B$10:$B$61=B58)*(($I$10:$I$61&lt;&gt;"")+($K$10:$K$61&lt;&gt;"")+($M$10:$M$61&lt;&gt;"")+($O$10:$O$61&lt;&gt;"")+($Q$10:$Q$61&lt;&gt;"")+($S$10:$S$61&lt;&gt;"")+($U$10:$U$61&lt;&gt;""))))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P03'!$D$16:$D$27,(INT((X58-1)/4)+1)))</f>
        <v/>
      </c>
      <c r="F58" s="7" t="str">
        <f t="array" ref="F58">IF(X58="","",INDEX('Inventory - P03'!$E$16:$E$27,(INT((X58-1)/4)+1)))</f>
        <v/>
      </c>
      <c r="G58" s="7" t="str">
        <f t="array" ref="G58">IF(X58="","",INDEX('Inventory - P03'!$I$16:$I$27,(INT((X58-1)/4)+1)))</f>
        <v/>
      </c>
      <c r="H58" s="7" t="str">
        <f t="array" ref="H58">IF(X58="","",INDEX('Inventory - P03'!$J$16:$J$27,(INT((X58-1)/4)+1)))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P03'!$B$16:$B$27,(INT((X59-1)/4)+1))&amp;IF(INDEX('Inventory - P03'!$C$16:$C$27,(INT((X59-1)/4)+1))="",""," ("&amp;INDEX('Inventory - P03'!$C$16:$C$27,(INT((X59-1)/4)+1))&amp;" mg)"))</f>
        <v/>
      </c>
      <c r="D59" s="7" t="str">
        <f t="array" ref="D59">IF(X59="","",INDEX('Inventory - P03'!$K$16:$K$27,(INT((X59-1)/4)+1))-SUMPRODUCT(($B$10:$B$61=B59)*(($I$10:$I$61&lt;&gt;"")+($K$10:$K$61&lt;&gt;"")+($M$10:$M$61&lt;&gt;"")+($O$10:$O$61&lt;&gt;"")+($Q$10:$Q$61&lt;&gt;"")+($S$10:$S$61&lt;&gt;"")+($U$10:$U$61&lt;&gt;""))))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P03'!$D$16:$D$27,(INT((X59-1)/4)+1)))</f>
        <v/>
      </c>
      <c r="F59" s="7" t="str">
        <f t="array" ref="F59">IF(X59="","",INDEX('Inventory - P03'!$E$16:$E$27,(INT((X59-1)/4)+1)))</f>
        <v/>
      </c>
      <c r="G59" s="7" t="str">
        <f t="array" ref="G59">IF(X59="","",INDEX('Inventory - P03'!$I$16:$I$27,(INT((X59-1)/4)+1)))</f>
        <v/>
      </c>
      <c r="H59" s="7" t="str">
        <f t="array" ref="H59">IF(X59="","",INDEX('Inventory - P03'!$J$16:$J$27,(INT((X59-1)/4)+1)))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P03'!$B$16:$B$27,(INT((X60-1)/4)+1))&amp;IF(INDEX('Inventory - P03'!$C$16:$C$27,(INT((X60-1)/4)+1))="",""," ("&amp;INDEX('Inventory - P03'!$C$16:$C$27,(INT((X60-1)/4)+1))&amp;" mg)"))</f>
        <v/>
      </c>
      <c r="D60" s="7" t="str">
        <f t="array" ref="D60">IF(X60="","",INDEX('Inventory - P03'!$K$16:$K$27,(INT((X60-1)/4)+1))-SUMPRODUCT(($B$10:$B$61=B60)*(($I$10:$I$61&lt;&gt;"")+($K$10:$K$61&lt;&gt;"")+($M$10:$M$61&lt;&gt;"")+($O$10:$O$61&lt;&gt;"")+($Q$10:$Q$61&lt;&gt;"")+($S$10:$S$61&lt;&gt;"")+($U$10:$U$61&lt;&gt;""))))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P03'!$D$16:$D$27,(INT((X60-1)/4)+1)))</f>
        <v/>
      </c>
      <c r="F60" s="7" t="str">
        <f t="array" ref="F60">IF(X60="","",INDEX('Inventory - P03'!$E$16:$E$27,(INT((X60-1)/4)+1)))</f>
        <v/>
      </c>
      <c r="G60" s="7" t="str">
        <f t="array" ref="G60">IF(X60="","",INDEX('Inventory - P03'!$I$16:$I$27,(INT((X60-1)/4)+1)))</f>
        <v/>
      </c>
      <c r="H60" s="7" t="str">
        <f t="array" ref="H60">IF(X60="","",INDEX('Inventory - P03'!$J$16:$J$27,(INT((X60-1)/4)+1)))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P03'!$B$16:$B$27,(INT((X61-1)/4)+1))&amp;IF(INDEX('Inventory - P03'!$C$16:$C$27,(INT((X61-1)/4)+1))="",""," ("&amp;INDEX('Inventory - P03'!$C$16:$C$27,(INT((X61-1)/4)+1))&amp;" mg)"))</f>
        <v/>
      </c>
      <c r="D61" s="7" t="str">
        <f t="array" ref="D61">IF(X61="","",INDEX('Inventory - P03'!$K$16:$K$27,(INT((X61-1)/4)+1))-SUMPRODUCT(($B$10:$B$61=B61)*(($I$10:$I$61&lt;&gt;"")+($K$10:$K$61&lt;&gt;"")+($M$10:$M$61&lt;&gt;"")+($O$10:$O$61&lt;&gt;"")+($Q$10:$Q$61&lt;&gt;"")+($S$10:$S$61&lt;&gt;"")+($U$10:$U$61&lt;&gt;""))))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P03'!$D$16:$D$27,(INT((X61-1)/4)+1)))</f>
        <v/>
      </c>
      <c r="F61" s="7" t="str">
        <f t="array" ref="F61">IF(X61="","",INDEX('Inventory - P03'!$E$16:$E$27,(INT((X61-1)/4)+1)))</f>
        <v/>
      </c>
      <c r="G61" s="7" t="str">
        <f t="array" ref="G61">IF(X61="","",INDEX('Inventory - P03'!$I$16:$I$27,(INT((X61-1)/4)+1)))</f>
        <v/>
      </c>
      <c r="H61" s="7" t="str">
        <f t="array" ref="H61">IF(X61="","",INDEX('Inventory - P03'!$J$16:$J$27,(INT((X61-1)/4)+1)))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P03'!E16&lt;1,'Inventory - P03'!F16="",'Inventory - P03'!G16=""),9,MOD('Inventory - P03'!F16+0*'Inventory - P03'!G16/24,1))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P03'!E16&lt;2,'Inventory - P03'!F16="",'Inventory - P03'!G16=""),9,MOD('Inventory - P03'!F16+1*'Inventory - P03'!G16/24,1))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P03'!E16&lt;3,'Inventory - P03'!F16="",'Inventory - P03'!G16=""),9,MOD('Inventory - P03'!F16+2*'Inventory - P03'!G16/24,1))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P03'!E16&lt;4,'Inventory - P03'!F16="",'Inventory - P03'!G16=""),9,MOD('Inventory - P03'!F16+3*'Inventory - P03'!G16/24,1))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P03'!E17&lt;1,'Inventory - P03'!F17="",'Inventory - P03'!G17=""),9,MOD('Inventory - P03'!F17+0*'Inventory - P03'!G17/24,1))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P03'!E17&lt;2,'Inventory - P03'!F17="",'Inventory - P03'!G17=""),9,MOD('Inventory - P03'!F17+1*'Inventory - P03'!G17/24,1))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P03'!E17&lt;3,'Inventory - P03'!F17="",'Inventory - P03'!G17=""),9,MOD('Inventory - P03'!F17+2*'Inventory - P03'!G17/24,1))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P03'!E17&lt;4,'Inventory - P03'!F17="",'Inventory - P03'!G17=""),9,MOD('Inventory - P03'!F17+3*'Inventory - P03'!G17/24,1))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P03'!E18&lt;1,'Inventory - P03'!F18="",'Inventory - P03'!G18=""),9,MOD('Inventory - P03'!F18+0*'Inventory - P03'!G18/24,1))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P03'!E18&lt;2,'Inventory - P03'!F18="",'Inventory - P03'!G18=""),9,MOD('Inventory - P03'!F18+1*'Inventory - P03'!G18/24,1))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P03'!E18&lt;3,'Inventory - P03'!F18="",'Inventory - P03'!G18=""),9,MOD('Inventory - P03'!F18+2*'Inventory - P03'!G18/24,1))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P03'!E18&lt;4,'Inventory - P03'!F18="",'Inventory - P03'!G18=""),9,MOD('Inventory - P03'!F18+3*'Inventory - P03'!G18/24,1))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P03'!E19&lt;1,'Inventory - P03'!F19="",'Inventory - P03'!G19=""),9,MOD('Inventory - P03'!F19+0*'Inventory - P03'!G19/24,1))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P03'!E19&lt;2,'Inventory - P03'!F19="",'Inventory - P03'!G19=""),9,MOD('Inventory - P03'!F19+1*'Inventory - P03'!G19/24,1))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P03'!E19&lt;3,'Inventory - P03'!F19="",'Inventory - P03'!G19=""),9,MOD('Inventory - P03'!F19+2*'Inventory - P03'!G19/24,1))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P03'!E19&lt;4,'Inventory - P03'!F19="",'Inventory - P03'!G19=""),9,MOD('Inventory - P03'!F19+3*'Inventory - P03'!G19/24,1))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P03'!E20&lt;1,'Inventory - P03'!F20="",'Inventory - P03'!G20=""),9,MOD('Inventory - P03'!F20+0*'Inventory - P03'!G20/24,1))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P03'!E20&lt;2,'Inventory - P03'!F20="",'Inventory - P03'!G20=""),9,MOD('Inventory - P03'!F20+1*'Inventory - P03'!G20/24,1))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P03'!E20&lt;3,'Inventory - P03'!F20="",'Inventory - P03'!G20=""),9,MOD('Inventory - P03'!F20+2*'Inventory - P03'!G20/24,1))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P03'!E20&lt;4,'Inventory - P03'!F20="",'Inventory - P03'!G20=""),9,MOD('Inventory - P03'!F20+3*'Inventory - P03'!G20/24,1))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P03'!E21&lt;1,'Inventory - P03'!F21="",'Inventory - P03'!G21=""),9,MOD('Inventory - P03'!F21+0*'Inventory - P03'!G21/24,1))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P03'!E21&lt;2,'Inventory - P03'!F21="",'Inventory - P03'!G21=""),9,MOD('Inventory - P03'!F21+1*'Inventory - P03'!G21/24,1))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P03'!E21&lt;3,'Inventory - P03'!F21="",'Inventory - P03'!G21=""),9,MOD('Inventory - P03'!F21+2*'Inventory - P03'!G21/24,1))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P03'!E21&lt;4,'Inventory - P03'!F21="",'Inventory - P03'!G21=""),9,MOD('Inventory - P03'!F21+3*'Inventory - P03'!G21/24,1))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P03'!E22&lt;1,'Inventory - P03'!F22="",'Inventory - P03'!G22=""),9,MOD('Inventory - P03'!F22+0*'Inventory - P03'!G22/24,1))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P03'!E22&lt;2,'Inventory - P03'!F22="",'Inventory - P03'!G22=""),9,MOD('Inventory - P03'!F22+1*'Inventory - P03'!G22/24,1))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P03'!E22&lt;3,'Inventory - P03'!F22="",'Inventory - P03'!G22=""),9,MOD('Inventory - P03'!F22+2*'Inventory - P03'!G22/24,1))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P03'!E22&lt;4,'Inventory - P03'!F22="",'Inventory - P03'!G22=""),9,MOD('Inventory - P03'!F22+3*'Inventory - P03'!G22/24,1))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P03'!E23&lt;1,'Inventory - P03'!F23="",'Inventory - P03'!G23=""),9,MOD('Inventory - P03'!F23+0*'Inventory - P03'!G23/24,1))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P03'!E23&lt;2,'Inventory - P03'!F23="",'Inventory - P03'!G23=""),9,MOD('Inventory - P03'!F23+1*'Inventory - P03'!G23/24,1))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P03'!E23&lt;3,'Inventory - P03'!F23="",'Inventory - P03'!G23=""),9,MOD('Inventory - P03'!F23+2*'Inventory - P03'!G23/24,1))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P03'!E23&lt;4,'Inventory - P03'!F23="",'Inventory - P03'!G23=""),9,MOD('Inventory - P03'!F23+3*'Inventory - P03'!G23/24,1))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P03'!E24&lt;1,'Inventory - P03'!F24="",'Inventory - P03'!G24=""),9,MOD('Inventory - P03'!F24+0*'Inventory - P03'!G24/24,1))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P03'!E24&lt;2,'Inventory - P03'!F24="",'Inventory - P03'!G24=""),9,MOD('Inventory - P03'!F24+1*'Inventory - P03'!G24/24,1))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P03'!E24&lt;3,'Inventory - P03'!F24="",'Inventory - P03'!G24=""),9,MOD('Inventory - P03'!F24+2*'Inventory - P03'!G24/24,1))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P03'!E24&lt;4,'Inventory - P03'!F24="",'Inventory - P03'!G24=""),9,MOD('Inventory - P03'!F24+3*'Inventory - P03'!G24/24,1))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P03'!E25&lt;1,'Inventory - P03'!F25="",'Inventory - P03'!G25=""),9,MOD('Inventory - P03'!F25+0*'Inventory - P03'!G25/24,1))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P03'!E25&lt;2,'Inventory - P03'!F25="",'Inventory - P03'!G25=""),9,MOD('Inventory - P03'!F25+1*'Inventory - P03'!G25/24,1))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P03'!E25&lt;3,'Inventory - P03'!F25="",'Inventory - P03'!G25=""),9,MOD('Inventory - P03'!F25+2*'Inventory - P03'!G25/24,1))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P03'!E25&lt;4,'Inventory - P03'!F25="",'Inventory - P03'!G25=""),9,MOD('Inventory - P03'!F25+3*'Inventory - P03'!G25/24,1))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P03'!E26&lt;1,'Inventory - P03'!F26="",'Inventory - P03'!G26=""),9,MOD('Inventory - P03'!F26+0*'Inventory - P03'!G26/24,1))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P03'!E26&lt;2,'Inventory - P03'!F26="",'Inventory - P03'!G26=""),9,MOD('Inventory - P03'!F26+1*'Inventory - P03'!G26/24,1))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P03'!E26&lt;3,'Inventory - P03'!F26="",'Inventory - P03'!G26=""),9,MOD('Inventory - P03'!F26+2*'Inventory - P03'!G26/24,1))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P03'!E26&lt;4,'Inventory - P03'!F26="",'Inventory - P03'!G26=""),9,MOD('Inventory - P03'!F26+3*'Inventory - P03'!G26/24,1))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P03'!E27&lt;1,'Inventory - P03'!F27="",'Inventory - P03'!G27=""),9,MOD('Inventory - P03'!F27+0*'Inventory - P03'!G27/24,1))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P03'!E27&lt;2,'Inventory - P03'!F27="",'Inventory - P03'!G27=""),9,MOD('Inventory - P03'!F27+1*'Inventory - P03'!G27/24,1))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P03'!E27&lt;3,'Inventory - P03'!F27="",'Inventory - P03'!G27=""),9,MOD('Inventory - P03'!F27+2*'Inventory - P03'!G27/24,1))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P03'!E27&lt;4,'Inventory - P03'!F27="",'Inventory - P03'!G27=""),9,MOD('Inventory - P03'!F27+3*'Inventory - P03'!G27/24,1))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789" priority="1">
      <formula>$W11&gt;=9</formula>
    </cfRule>
  </conditionalFormatting>
  <conditionalFormatting sqref="A12:V12">
    <cfRule type="expression" dxfId="788" priority="2">
      <formula>$W12&gt;=9</formula>
    </cfRule>
  </conditionalFormatting>
  <conditionalFormatting sqref="A13:V13">
    <cfRule type="expression" dxfId="787" priority="3">
      <formula>$W13&gt;=9</formula>
    </cfRule>
  </conditionalFormatting>
  <conditionalFormatting sqref="A14:V14">
    <cfRule type="expression" dxfId="786" priority="4">
      <formula>$W14&gt;=9</formula>
    </cfRule>
  </conditionalFormatting>
  <conditionalFormatting sqref="A15:V15">
    <cfRule type="expression" dxfId="785" priority="5">
      <formula>$W15&gt;=9</formula>
    </cfRule>
  </conditionalFormatting>
  <conditionalFormatting sqref="A16:V16">
    <cfRule type="expression" dxfId="784" priority="6">
      <formula>$W16&gt;=9</formula>
    </cfRule>
  </conditionalFormatting>
  <conditionalFormatting sqref="A17:V17">
    <cfRule type="expression" dxfId="783" priority="7">
      <formula>$W17&gt;=9</formula>
    </cfRule>
  </conditionalFormatting>
  <conditionalFormatting sqref="A18:V18">
    <cfRule type="expression" dxfId="782" priority="8">
      <formula>$W18&gt;=9</formula>
    </cfRule>
  </conditionalFormatting>
  <conditionalFormatting sqref="A19:V19">
    <cfRule type="expression" dxfId="781" priority="9">
      <formula>$W19&gt;=9</formula>
    </cfRule>
  </conditionalFormatting>
  <conditionalFormatting sqref="A20:V20">
    <cfRule type="expression" dxfId="780" priority="10">
      <formula>$W20&gt;=9</formula>
    </cfRule>
  </conditionalFormatting>
  <conditionalFormatting sqref="A21:V21">
    <cfRule type="expression" dxfId="779" priority="11">
      <formula>$W21&gt;=9</formula>
    </cfRule>
  </conditionalFormatting>
  <conditionalFormatting sqref="A22:V22">
    <cfRule type="expression" dxfId="778" priority="12">
      <formula>$W22&gt;=9</formula>
    </cfRule>
  </conditionalFormatting>
  <conditionalFormatting sqref="A24:V24">
    <cfRule type="expression" dxfId="777" priority="13">
      <formula>$W24&gt;=9</formula>
    </cfRule>
  </conditionalFormatting>
  <conditionalFormatting sqref="A25:V25">
    <cfRule type="expression" dxfId="776" priority="14">
      <formula>$W25&gt;=9</formula>
    </cfRule>
  </conditionalFormatting>
  <conditionalFormatting sqref="A26:V26">
    <cfRule type="expression" dxfId="775" priority="15">
      <formula>$W26&gt;=9</formula>
    </cfRule>
  </conditionalFormatting>
  <conditionalFormatting sqref="A27:V27">
    <cfRule type="expression" dxfId="774" priority="16">
      <formula>$W27&gt;=9</formula>
    </cfRule>
  </conditionalFormatting>
  <conditionalFormatting sqref="A28:V28">
    <cfRule type="expression" dxfId="773" priority="17">
      <formula>$W28&gt;=9</formula>
    </cfRule>
  </conditionalFormatting>
  <conditionalFormatting sqref="A29:V29">
    <cfRule type="expression" dxfId="772" priority="18">
      <formula>$W29&gt;=9</formula>
    </cfRule>
  </conditionalFormatting>
  <conditionalFormatting sqref="A30:V30">
    <cfRule type="expression" dxfId="771" priority="19">
      <formula>$W30&gt;=9</formula>
    </cfRule>
  </conditionalFormatting>
  <conditionalFormatting sqref="A31:V31">
    <cfRule type="expression" dxfId="770" priority="20">
      <formula>$W31&gt;=9</formula>
    </cfRule>
  </conditionalFormatting>
  <conditionalFormatting sqref="A32:V32">
    <cfRule type="expression" dxfId="769" priority="21">
      <formula>$W32&gt;=9</formula>
    </cfRule>
  </conditionalFormatting>
  <conditionalFormatting sqref="A33:V33">
    <cfRule type="expression" dxfId="768" priority="22">
      <formula>$W33&gt;=9</formula>
    </cfRule>
  </conditionalFormatting>
  <conditionalFormatting sqref="A34:V34">
    <cfRule type="expression" dxfId="767" priority="23">
      <formula>$W34&gt;=9</formula>
    </cfRule>
  </conditionalFormatting>
  <conditionalFormatting sqref="A35:V35">
    <cfRule type="expression" dxfId="766" priority="24">
      <formula>$W35&gt;=9</formula>
    </cfRule>
  </conditionalFormatting>
  <conditionalFormatting sqref="A37:V37">
    <cfRule type="expression" dxfId="765" priority="25">
      <formula>$W37&gt;=9</formula>
    </cfRule>
  </conditionalFormatting>
  <conditionalFormatting sqref="A38:V38">
    <cfRule type="expression" dxfId="764" priority="26">
      <formula>$W38&gt;=9</formula>
    </cfRule>
  </conditionalFormatting>
  <conditionalFormatting sqref="A39:V39">
    <cfRule type="expression" dxfId="763" priority="27">
      <formula>$W39&gt;=9</formula>
    </cfRule>
  </conditionalFormatting>
  <conditionalFormatting sqref="A40:V40">
    <cfRule type="expression" dxfId="762" priority="28">
      <formula>$W40&gt;=9</formula>
    </cfRule>
  </conditionalFormatting>
  <conditionalFormatting sqref="A41:V41">
    <cfRule type="expression" dxfId="761" priority="29">
      <formula>$W41&gt;=9</formula>
    </cfRule>
  </conditionalFormatting>
  <conditionalFormatting sqref="A42:V42">
    <cfRule type="expression" dxfId="760" priority="30">
      <formula>$W42&gt;=9</formula>
    </cfRule>
  </conditionalFormatting>
  <conditionalFormatting sqref="A43:V43">
    <cfRule type="expression" dxfId="759" priority="31">
      <formula>$W43&gt;=9</formula>
    </cfRule>
  </conditionalFormatting>
  <conditionalFormatting sqref="A44:V44">
    <cfRule type="expression" dxfId="758" priority="32">
      <formula>$W44&gt;=9</formula>
    </cfRule>
  </conditionalFormatting>
  <conditionalFormatting sqref="A45:V45">
    <cfRule type="expression" dxfId="757" priority="33">
      <formula>$W45&gt;=9</formula>
    </cfRule>
  </conditionalFormatting>
  <conditionalFormatting sqref="A46:V46">
    <cfRule type="expression" dxfId="756" priority="34">
      <formula>$W46&gt;=9</formula>
    </cfRule>
  </conditionalFormatting>
  <conditionalFormatting sqref="A47:V47">
    <cfRule type="expression" dxfId="755" priority="35">
      <formula>$W47&gt;=9</formula>
    </cfRule>
  </conditionalFormatting>
  <conditionalFormatting sqref="A48:V48">
    <cfRule type="expression" dxfId="754" priority="36">
      <formula>$W48&gt;=9</formula>
    </cfRule>
  </conditionalFormatting>
  <conditionalFormatting sqref="A50:V50">
    <cfRule type="expression" dxfId="753" priority="37">
      <formula>$W50&gt;=9</formula>
    </cfRule>
  </conditionalFormatting>
  <conditionalFormatting sqref="A51:V51">
    <cfRule type="expression" dxfId="752" priority="38">
      <formula>$W51&gt;=9</formula>
    </cfRule>
  </conditionalFormatting>
  <conditionalFormatting sqref="A52:V52">
    <cfRule type="expression" dxfId="751" priority="39">
      <formula>$W52&gt;=9</formula>
    </cfRule>
  </conditionalFormatting>
  <conditionalFormatting sqref="A53:V53">
    <cfRule type="expression" dxfId="750" priority="40">
      <formula>$W53&gt;=9</formula>
    </cfRule>
  </conditionalFormatting>
  <conditionalFormatting sqref="A54:V54">
    <cfRule type="expression" dxfId="749" priority="41">
      <formula>$W54&gt;=9</formula>
    </cfRule>
  </conditionalFormatting>
  <conditionalFormatting sqref="A55:V55">
    <cfRule type="expression" dxfId="748" priority="42">
      <formula>$W55&gt;=9</formula>
    </cfRule>
  </conditionalFormatting>
  <conditionalFormatting sqref="A56:V56">
    <cfRule type="expression" dxfId="747" priority="43">
      <formula>$W56&gt;=9</formula>
    </cfRule>
  </conditionalFormatting>
  <conditionalFormatting sqref="A57:V57">
    <cfRule type="expression" dxfId="746" priority="44">
      <formula>$W57&gt;=9</formula>
    </cfRule>
  </conditionalFormatting>
  <conditionalFormatting sqref="A58:V58">
    <cfRule type="expression" dxfId="745" priority="45">
      <formula>$W58&gt;=9</formula>
    </cfRule>
  </conditionalFormatting>
  <conditionalFormatting sqref="A59:V59">
    <cfRule type="expression" dxfId="744" priority="46">
      <formula>$W59&gt;=9</formula>
    </cfRule>
  </conditionalFormatting>
  <conditionalFormatting sqref="A60:V60">
    <cfRule type="expression" dxfId="743" priority="47">
      <formula>$W60&gt;=9</formula>
    </cfRule>
  </conditionalFormatting>
  <conditionalFormatting sqref="A61:V61">
    <cfRule type="expression" dxfId="742" priority="48">
      <formula>$W61&gt;=9</formula>
    </cfRule>
  </conditionalFormatting>
  <conditionalFormatting sqref="H10:H61">
    <cfRule type="cellIs" dxfId="741" priority="49" operator="equal">
      <formula>"Physical"</formula>
    </cfRule>
  </conditionalFormatting>
  <conditionalFormatting sqref="H10:H61">
    <cfRule type="cellIs" dxfId="740" priority="50" operator="equal">
      <formula>"Psychological"</formula>
    </cfRule>
  </conditionalFormatting>
  <conditionalFormatting sqref="G10:G61">
    <cfRule type="cellIs" dxfId="739" priority="51" operator="equal">
      <formula>"Y"</formula>
    </cfRule>
  </conditionalFormatting>
  <conditionalFormatting sqref="G10:G61">
    <cfRule type="cellIs" dxfId="738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Tracker'!B8="","",UPPER(LEFT(TRIM('Client Needs Tracker'!B8),1))&amp;UPPER(MID('Client Needs Tracker'!B8,FIND("@",SUBSTITUTE('Client Needs Tracker'!B8," ","@",LEN('Client Needs Tracker'!B8)-LEN(SUBSTITUTE('Client Needs Tracker'!B8," ",""))))+1,1))&amp;"-"&amp;SUBSTITUTE('Client Needs Tracker'!S8,"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Tracker'!S8="","","INV-"&amp;SUBSTITUTE('Client Needs Tracker'!S8," ",""))</f>
        <v>INV-M-2B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Tracker'!B8="","(Add client on Client Needs Tracker, row 8)",'Client Needs Tracker'!B8)</f>
        <v>(Add client on Client Needs Tracker, row 8)</v>
      </c>
      <c r="B6" s="134"/>
      <c r="C6" s="134"/>
      <c r="D6" s="134"/>
      <c r="E6" s="134"/>
      <c r="F6" s="93">
        <f>'Client Needs Tracker'!A8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Tracker'!C8="","",'Client Needs Tracker'!C8)</f>
        <v/>
      </c>
      <c r="B8" s="134"/>
      <c r="C8" s="134"/>
      <c r="D8" s="134"/>
      <c r="E8" s="134"/>
      <c r="F8" s="95">
        <f>'Client Needs Tracker'!E8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Tracker'!F8="","",'Client Needs Tracker'!F8)</f>
        <v/>
      </c>
      <c r="B10" s="134"/>
      <c r="C10" s="134"/>
      <c r="D10" s="134"/>
      <c r="E10" s="134"/>
      <c r="F10" s="89" t="str">
        <f>IF('Client Status Board'!G8="","",'Client Status Board'!G8)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Board'!L8="","",'Client Status Board'!L8)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P04'!$B$10:$B$61=1)*(('MAR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P04'!$B$10:$B$61=2)*(('MAR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P04'!$B$10:$B$61=3)*(('MAR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P04'!$B$10:$B$61=4)*(('MAR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P04'!$B$10:$B$61=5)*(('MAR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P04'!$B$10:$B$61=6)*(('MAR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P04'!$B$10:$B$61=7)*(('MAR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P04'!$B$10:$B$61=8)*(('MAR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P04'!$B$10:$B$61=9)*(('MAR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P04'!$B$10:$B$61=10)*(('MAR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P04'!$B$10:$B$61=11)*(('MAR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P04'!$B$10:$B$61=12)*(('MAR - P04'!$I$10:$I$61&lt;&gt;"")+('MAR - P04'!$K$10:$K$61&lt;&gt;"")+('MAR - P04'!$M$10:$M$61&lt;&gt;"")+('MAR - P04'!$O$10:$O$61&lt;&gt;"")+('MAR - P04'!$Q$10:$Q$61&lt;&gt;"")+('MAR - P04'!$S$10:$S$61&lt;&gt;"")+('MAR - P04'!$U$10:$U$61&lt;&gt;""))))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737" priority="1" operator="equal">
      <formula>"Physical"</formula>
    </cfRule>
  </conditionalFormatting>
  <conditionalFormatting sqref="J16:J27">
    <cfRule type="cellIs" dxfId="736" priority="2" operator="equal">
      <formula>"Psychological"</formula>
    </cfRule>
  </conditionalFormatting>
  <conditionalFormatting sqref="I16:I27">
    <cfRule type="cellIs" dxfId="735" priority="3" operator="equal">
      <formula>"Y"</formula>
    </cfRule>
  </conditionalFormatting>
  <conditionalFormatting sqref="I16:I27">
    <cfRule type="cellIs" dxfId="734" priority="4" operator="equal">
      <formula>"N"</formula>
    </cfRule>
  </conditionalFormatting>
  <dataValidations count="5">
    <dataValidation type="list" allowBlank="1" sqref="I16:I27" xr:uid="{00000000-0002-0000-0B00-000001000000}">
      <formula1>"Y,N"</formula1>
    </dataValidation>
    <dataValidation type="list" allowBlank="1" sqref="J16:J27" xr:uid="{00000000-0002-0000-0B00-000002000000}">
      <formula1>"Physical,Psychological"</formula1>
    </dataValidation>
    <dataValidation type="list" allowBlank="1" sqref="C16:C27" xr:uid="{00000000-0002-0000-0B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0B00-000004000000}">
      <formula1>"PO,IM,IV,SubQ,Topical,Inhaled,Sublingual,Rectal,Other"</formula1>
    </dataValidation>
    <dataValidation type="list" allowBlank="1" sqref="G16:G27" xr:uid="{00000000-0002-0000-0B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Tracker'!B8="","",UPPER(LEFT(TRIM('Client Needs Tracker'!B8),1))&amp;UPPER(MID('Client Needs Tracker'!B8,FIND("@",SUBSTITUTE('Client Needs Tracker'!B8," ","@",LEN('Client Needs Tracker'!B8)-LEN(SUBSTITUTE('Client Needs Tracker'!B8," ",""))))+1,1))&amp;"-"&amp;SUBSTITUTE('Client Needs Tracker'!S8," ",""))</f>
        <v/>
      </c>
    </row>
    <row r="3" spans="1:33" ht="15" customHeight="1">
      <c r="A3" s="103" t="str">
        <f>IF('Inventory - P04'!A6="","(Enter name in Inventory - P04)",'Inventory - P04'!A6)</f>
        <v>(Add client on Client Needs Tracker, row 8)</v>
      </c>
      <c r="B3" s="145"/>
      <c r="C3" s="145"/>
      <c r="D3" s="145"/>
      <c r="E3" s="145"/>
      <c r="F3" s="104" t="str">
        <f>IF('Inventory - P04'!F6="","(Enter ID in Inventory - P04)","Member ID: "&amp;'Inventory - P04'!F6)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Tracker'!S8="","","INV-"&amp;SUBSTITUTE('Client Needs Tracker'!S8," ",""))</f>
        <v>INV-M-2B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P04'!F8="","-",'Inventory - P04'!F8)</f>
        <v>LOC: 0</v>
      </c>
      <c r="B5" s="106"/>
      <c r="C5" s="2"/>
      <c r="D5" s="102" t="str">
        <f>"Case Manager: "&amp;IF('Inventory - P04'!A10="","-",'Inventory - P04'!A10)</f>
        <v>Case Manager: -</v>
      </c>
      <c r="E5" s="106"/>
      <c r="F5" s="2"/>
      <c r="G5" s="102" t="str">
        <f>"Doctor: "&amp;IF('Inventory - P04'!F10="","-",'Inventory - P04'!F10)</f>
        <v>Doctor: -</v>
      </c>
      <c r="H5" s="106"/>
      <c r="I5" s="2"/>
      <c r="J5" s="102" t="str">
        <f>"Pharmacy: "&amp;IF('Inventory - P04'!A12="","-",'Inventory - P04'!A12)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P04'!A14="","",'Inventory - P04'!A14)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P04'!A14="","",'Inventory - P04'!A14+0)</f>
        <v/>
      </c>
      <c r="J8" s="134"/>
      <c r="K8" s="101" t="str">
        <f>IF('Inventory - P04'!A14="","",'Inventory - P04'!A14+1)</f>
        <v/>
      </c>
      <c r="L8" s="134"/>
      <c r="M8" s="101" t="str">
        <f>IF('Inventory - P04'!A14="","",'Inventory - P04'!A14+2)</f>
        <v/>
      </c>
      <c r="N8" s="134"/>
      <c r="O8" s="101" t="str">
        <f>IF('Inventory - P04'!A14="","",'Inventory - P04'!A14+3)</f>
        <v/>
      </c>
      <c r="P8" s="134"/>
      <c r="Q8" s="101" t="str">
        <f>IF('Inventory - P04'!A14="","",'Inventory - P04'!A14+4)</f>
        <v/>
      </c>
      <c r="R8" s="134"/>
      <c r="S8" s="101" t="str">
        <f>IF('Inventory - P04'!A14="","",'Inventory - P04'!A14+5)</f>
        <v/>
      </c>
      <c r="T8" s="134"/>
      <c r="U8" s="101" t="str">
        <f>IF('Inventory - P04'!A14="","",'Inventory - P04'!A14+6)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P04'!$B$16:$B$27,(INT((X11-1)/4)+1))&amp;IF(INDEX('Inventory - P04'!$C$16:$C$27,(INT((X11-1)/4)+1))="",""," ("&amp;INDEX('Inventory - P04'!$C$16:$C$27,(INT((X11-1)/4)+1))&amp;" mg)"))</f>
        <v/>
      </c>
      <c r="D11" s="7" t="str">
        <f t="array" ref="D11">IF(X11="","",INDEX('Inventory - P04'!$K$16:$K$27,(INT((X11-1)/4)+1))-SUMPRODUCT(($B$10:$B$61=B11)*(($I$10:$I$61&lt;&gt;"")+($K$10:$K$61&lt;&gt;"")+($M$10:$M$61&lt;&gt;"")+($O$10:$O$61&lt;&gt;"")+($Q$10:$Q$61&lt;&gt;"")+($S$10:$S$61&lt;&gt;"")+($U$10:$U$61&lt;&gt;""))))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P04'!$D$16:$D$27,(INT((X11-1)/4)+1)))</f>
        <v/>
      </c>
      <c r="F11" s="7" t="str">
        <f t="array" ref="F11">IF(X11="","",INDEX('Inventory - P04'!$E$16:$E$27,(INT((X11-1)/4)+1)))</f>
        <v/>
      </c>
      <c r="G11" s="7" t="str">
        <f t="array" ref="G11">IF(X11="","",INDEX('Inventory - P04'!$I$16:$I$27,(INT((X11-1)/4)+1)))</f>
        <v/>
      </c>
      <c r="H11" s="7" t="str">
        <f t="array" ref="H11">IF(X11="","",INDEX('Inventory - P04'!$J$16:$J$27,(INT((X11-1)/4)+1)))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P04'!$B$16:$B$27,(INT((X12-1)/4)+1))&amp;IF(INDEX('Inventory - P04'!$C$16:$C$27,(INT((X12-1)/4)+1))="",""," ("&amp;INDEX('Inventory - P04'!$C$16:$C$27,(INT((X12-1)/4)+1))&amp;" mg)"))</f>
        <v/>
      </c>
      <c r="D12" s="7" t="str">
        <f t="array" ref="D12">IF(X12="","",INDEX('Inventory - P04'!$K$16:$K$27,(INT((X12-1)/4)+1))-SUMPRODUCT(($B$10:$B$61=B12)*(($I$10:$I$61&lt;&gt;"")+($K$10:$K$61&lt;&gt;"")+($M$10:$M$61&lt;&gt;"")+($O$10:$O$61&lt;&gt;"")+($Q$10:$Q$61&lt;&gt;"")+($S$10:$S$61&lt;&gt;"")+($U$10:$U$61&lt;&gt;""))))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P04'!$D$16:$D$27,(INT((X12-1)/4)+1)))</f>
        <v/>
      </c>
      <c r="F12" s="7" t="str">
        <f t="array" ref="F12">IF(X12="","",INDEX('Inventory - P04'!$E$16:$E$27,(INT((X12-1)/4)+1)))</f>
        <v/>
      </c>
      <c r="G12" s="7" t="str">
        <f t="array" ref="G12">IF(X12="","",INDEX('Inventory - P04'!$I$16:$I$27,(INT((X12-1)/4)+1)))</f>
        <v/>
      </c>
      <c r="H12" s="7" t="str">
        <f t="array" ref="H12">IF(X12="","",INDEX('Inventory - P04'!$J$16:$J$27,(INT((X12-1)/4)+1)))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P04'!$B$16:$B$27,(INT((X13-1)/4)+1))&amp;IF(INDEX('Inventory - P04'!$C$16:$C$27,(INT((X13-1)/4)+1))="",""," ("&amp;INDEX('Inventory - P04'!$C$16:$C$27,(INT((X13-1)/4)+1))&amp;" mg)"))</f>
        <v/>
      </c>
      <c r="D13" s="7" t="str">
        <f t="array" ref="D13">IF(X13="","",INDEX('Inventory - P04'!$K$16:$K$27,(INT((X13-1)/4)+1))-SUMPRODUCT(($B$10:$B$61=B13)*(($I$10:$I$61&lt;&gt;"")+($K$10:$K$61&lt;&gt;"")+($M$10:$M$61&lt;&gt;"")+($O$10:$O$61&lt;&gt;"")+($Q$10:$Q$61&lt;&gt;"")+($S$10:$S$61&lt;&gt;"")+($U$10:$U$61&lt;&gt;""))))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P04'!$D$16:$D$27,(INT((X13-1)/4)+1)))</f>
        <v/>
      </c>
      <c r="F13" s="7" t="str">
        <f t="array" ref="F13">IF(X13="","",INDEX('Inventory - P04'!$E$16:$E$27,(INT((X13-1)/4)+1)))</f>
        <v/>
      </c>
      <c r="G13" s="7" t="str">
        <f t="array" ref="G13">IF(X13="","",INDEX('Inventory - P04'!$I$16:$I$27,(INT((X13-1)/4)+1)))</f>
        <v/>
      </c>
      <c r="H13" s="7" t="str">
        <f t="array" ref="H13">IF(X13="","",INDEX('Inventory - P04'!$J$16:$J$27,(INT((X13-1)/4)+1)))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P04'!$B$16:$B$27,(INT((X14-1)/4)+1))&amp;IF(INDEX('Inventory - P04'!$C$16:$C$27,(INT((X14-1)/4)+1))="",""," ("&amp;INDEX('Inventory - P04'!$C$16:$C$27,(INT((X14-1)/4)+1))&amp;" mg)"))</f>
        <v/>
      </c>
      <c r="D14" s="7" t="str">
        <f t="array" ref="D14">IF(X14="","",INDEX('Inventory - P04'!$K$16:$K$27,(INT((X14-1)/4)+1))-SUMPRODUCT(($B$10:$B$61=B14)*(($I$10:$I$61&lt;&gt;"")+($K$10:$K$61&lt;&gt;"")+($M$10:$M$61&lt;&gt;"")+($O$10:$O$61&lt;&gt;"")+($Q$10:$Q$61&lt;&gt;"")+($S$10:$S$61&lt;&gt;"")+($U$10:$U$61&lt;&gt;""))))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P04'!$D$16:$D$27,(INT((X14-1)/4)+1)))</f>
        <v/>
      </c>
      <c r="F14" s="7" t="str">
        <f t="array" ref="F14">IF(X14="","",INDEX('Inventory - P04'!$E$16:$E$27,(INT((X14-1)/4)+1)))</f>
        <v/>
      </c>
      <c r="G14" s="7" t="str">
        <f t="array" ref="G14">IF(X14="","",INDEX('Inventory - P04'!$I$16:$I$27,(INT((X14-1)/4)+1)))</f>
        <v/>
      </c>
      <c r="H14" s="7" t="str">
        <f t="array" ref="H14">IF(X14="","",INDEX('Inventory - P04'!$J$16:$J$27,(INT((X14-1)/4)+1)))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P04'!$B$16:$B$27,(INT((X15-1)/4)+1))&amp;IF(INDEX('Inventory - P04'!$C$16:$C$27,(INT((X15-1)/4)+1))="",""," ("&amp;INDEX('Inventory - P04'!$C$16:$C$27,(INT((X15-1)/4)+1))&amp;" mg)"))</f>
        <v/>
      </c>
      <c r="D15" s="7" t="str">
        <f t="array" ref="D15">IF(X15="","",INDEX('Inventory - P04'!$K$16:$K$27,(INT((X15-1)/4)+1))-SUMPRODUCT(($B$10:$B$61=B15)*(($I$10:$I$61&lt;&gt;"")+($K$10:$K$61&lt;&gt;"")+($M$10:$M$61&lt;&gt;"")+($O$10:$O$61&lt;&gt;"")+($Q$10:$Q$61&lt;&gt;"")+($S$10:$S$61&lt;&gt;"")+($U$10:$U$61&lt;&gt;""))))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P04'!$D$16:$D$27,(INT((X15-1)/4)+1)))</f>
        <v/>
      </c>
      <c r="F15" s="7" t="str">
        <f t="array" ref="F15">IF(X15="","",INDEX('Inventory - P04'!$E$16:$E$27,(INT((X15-1)/4)+1)))</f>
        <v/>
      </c>
      <c r="G15" s="7" t="str">
        <f t="array" ref="G15">IF(X15="","",INDEX('Inventory - P04'!$I$16:$I$27,(INT((X15-1)/4)+1)))</f>
        <v/>
      </c>
      <c r="H15" s="7" t="str">
        <f t="array" ref="H15">IF(X15="","",INDEX('Inventory - P04'!$J$16:$J$27,(INT((X15-1)/4)+1)))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P04'!$B$16:$B$27,(INT((X16-1)/4)+1))&amp;IF(INDEX('Inventory - P04'!$C$16:$C$27,(INT((X16-1)/4)+1))="",""," ("&amp;INDEX('Inventory - P04'!$C$16:$C$27,(INT((X16-1)/4)+1))&amp;" mg)"))</f>
        <v/>
      </c>
      <c r="D16" s="7" t="str">
        <f t="array" ref="D16">IF(X16="","",INDEX('Inventory - P04'!$K$16:$K$27,(INT((X16-1)/4)+1))-SUMPRODUCT(($B$10:$B$61=B16)*(($I$10:$I$61&lt;&gt;"")+($K$10:$K$61&lt;&gt;"")+($M$10:$M$61&lt;&gt;"")+($O$10:$O$61&lt;&gt;"")+($Q$10:$Q$61&lt;&gt;"")+($S$10:$S$61&lt;&gt;"")+($U$10:$U$61&lt;&gt;""))))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P04'!$D$16:$D$27,(INT((X16-1)/4)+1)))</f>
        <v/>
      </c>
      <c r="F16" s="7" t="str">
        <f t="array" ref="F16">IF(X16="","",INDEX('Inventory - P04'!$E$16:$E$27,(INT((X16-1)/4)+1)))</f>
        <v/>
      </c>
      <c r="G16" s="7" t="str">
        <f t="array" ref="G16">IF(X16="","",INDEX('Inventory - P04'!$I$16:$I$27,(INT((X16-1)/4)+1)))</f>
        <v/>
      </c>
      <c r="H16" s="7" t="str">
        <f t="array" ref="H16">IF(X16="","",INDEX('Inventory - P04'!$J$16:$J$27,(INT((X16-1)/4)+1)))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P04'!$B$16:$B$27,(INT((X17-1)/4)+1))&amp;IF(INDEX('Inventory - P04'!$C$16:$C$27,(INT((X17-1)/4)+1))="",""," ("&amp;INDEX('Inventory - P04'!$C$16:$C$27,(INT((X17-1)/4)+1))&amp;" mg)"))</f>
        <v/>
      </c>
      <c r="D17" s="7" t="str">
        <f t="array" ref="D17">IF(X17="","",INDEX('Inventory - P04'!$K$16:$K$27,(INT((X17-1)/4)+1))-SUMPRODUCT(($B$10:$B$61=B17)*(($I$10:$I$61&lt;&gt;"")+($K$10:$K$61&lt;&gt;"")+($M$10:$M$61&lt;&gt;"")+($O$10:$O$61&lt;&gt;"")+($Q$10:$Q$61&lt;&gt;"")+($S$10:$S$61&lt;&gt;"")+($U$10:$U$61&lt;&gt;""))))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P04'!$D$16:$D$27,(INT((X17-1)/4)+1)))</f>
        <v/>
      </c>
      <c r="F17" s="7" t="str">
        <f t="array" ref="F17">IF(X17="","",INDEX('Inventory - P04'!$E$16:$E$27,(INT((X17-1)/4)+1)))</f>
        <v/>
      </c>
      <c r="G17" s="7" t="str">
        <f t="array" ref="G17">IF(X17="","",INDEX('Inventory - P04'!$I$16:$I$27,(INT((X17-1)/4)+1)))</f>
        <v/>
      </c>
      <c r="H17" s="7" t="str">
        <f t="array" ref="H17">IF(X17="","",INDEX('Inventory - P04'!$J$16:$J$27,(INT((X17-1)/4)+1)))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P04'!$B$16:$B$27,(INT((X18-1)/4)+1))&amp;IF(INDEX('Inventory - P04'!$C$16:$C$27,(INT((X18-1)/4)+1))="",""," ("&amp;INDEX('Inventory - P04'!$C$16:$C$27,(INT((X18-1)/4)+1))&amp;" mg)"))</f>
        <v/>
      </c>
      <c r="D18" s="7" t="str">
        <f t="array" ref="D18">IF(X18="","",INDEX('Inventory - P04'!$K$16:$K$27,(INT((X18-1)/4)+1))-SUMPRODUCT(($B$10:$B$61=B18)*(($I$10:$I$61&lt;&gt;"")+($K$10:$K$61&lt;&gt;"")+($M$10:$M$61&lt;&gt;"")+($O$10:$O$61&lt;&gt;"")+($Q$10:$Q$61&lt;&gt;"")+($S$10:$S$61&lt;&gt;"")+($U$10:$U$61&lt;&gt;""))))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P04'!$D$16:$D$27,(INT((X18-1)/4)+1)))</f>
        <v/>
      </c>
      <c r="F18" s="7" t="str">
        <f t="array" ref="F18">IF(X18="","",INDEX('Inventory - P04'!$E$16:$E$27,(INT((X18-1)/4)+1)))</f>
        <v/>
      </c>
      <c r="G18" s="7" t="str">
        <f t="array" ref="G18">IF(X18="","",INDEX('Inventory - P04'!$I$16:$I$27,(INT((X18-1)/4)+1)))</f>
        <v/>
      </c>
      <c r="H18" s="7" t="str">
        <f t="array" ref="H18">IF(X18="","",INDEX('Inventory - P04'!$J$16:$J$27,(INT((X18-1)/4)+1)))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P04'!$B$16:$B$27,(INT((X19-1)/4)+1))&amp;IF(INDEX('Inventory - P04'!$C$16:$C$27,(INT((X19-1)/4)+1))="",""," ("&amp;INDEX('Inventory - P04'!$C$16:$C$27,(INT((X19-1)/4)+1))&amp;" mg)"))</f>
        <v/>
      </c>
      <c r="D19" s="7" t="str">
        <f t="array" ref="D19">IF(X19="","",INDEX('Inventory - P04'!$K$16:$K$27,(INT((X19-1)/4)+1))-SUMPRODUCT(($B$10:$B$61=B19)*(($I$10:$I$61&lt;&gt;"")+($K$10:$K$61&lt;&gt;"")+($M$10:$M$61&lt;&gt;"")+($O$10:$O$61&lt;&gt;"")+($Q$10:$Q$61&lt;&gt;"")+($S$10:$S$61&lt;&gt;"")+($U$10:$U$61&lt;&gt;""))))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P04'!$D$16:$D$27,(INT((X19-1)/4)+1)))</f>
        <v/>
      </c>
      <c r="F19" s="7" t="str">
        <f t="array" ref="F19">IF(X19="","",INDEX('Inventory - P04'!$E$16:$E$27,(INT((X19-1)/4)+1)))</f>
        <v/>
      </c>
      <c r="G19" s="7" t="str">
        <f t="array" ref="G19">IF(X19="","",INDEX('Inventory - P04'!$I$16:$I$27,(INT((X19-1)/4)+1)))</f>
        <v/>
      </c>
      <c r="H19" s="7" t="str">
        <f t="array" ref="H19">IF(X19="","",INDEX('Inventory - P04'!$J$16:$J$27,(INT((X19-1)/4)+1)))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P04'!$B$16:$B$27,(INT((X20-1)/4)+1))&amp;IF(INDEX('Inventory - P04'!$C$16:$C$27,(INT((X20-1)/4)+1))="",""," ("&amp;INDEX('Inventory - P04'!$C$16:$C$27,(INT((X20-1)/4)+1))&amp;" mg)"))</f>
        <v/>
      </c>
      <c r="D20" s="7" t="str">
        <f t="array" ref="D20">IF(X20="","",INDEX('Inventory - P04'!$K$16:$K$27,(INT((X20-1)/4)+1))-SUMPRODUCT(($B$10:$B$61=B20)*(($I$10:$I$61&lt;&gt;"")+($K$10:$K$61&lt;&gt;"")+($M$10:$M$61&lt;&gt;"")+($O$10:$O$61&lt;&gt;"")+($Q$10:$Q$61&lt;&gt;"")+($S$10:$S$61&lt;&gt;"")+($U$10:$U$61&lt;&gt;""))))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P04'!$D$16:$D$27,(INT((X20-1)/4)+1)))</f>
        <v/>
      </c>
      <c r="F20" s="7" t="str">
        <f t="array" ref="F20">IF(X20="","",INDEX('Inventory - P04'!$E$16:$E$27,(INT((X20-1)/4)+1)))</f>
        <v/>
      </c>
      <c r="G20" s="7" t="str">
        <f t="array" ref="G20">IF(X20="","",INDEX('Inventory - P04'!$I$16:$I$27,(INT((X20-1)/4)+1)))</f>
        <v/>
      </c>
      <c r="H20" s="7" t="str">
        <f t="array" ref="H20">IF(X20="","",INDEX('Inventory - P04'!$J$16:$J$27,(INT((X20-1)/4)+1)))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P04'!$B$16:$B$27,(INT((X21-1)/4)+1))&amp;IF(INDEX('Inventory - P04'!$C$16:$C$27,(INT((X21-1)/4)+1))="",""," ("&amp;INDEX('Inventory - P04'!$C$16:$C$27,(INT((X21-1)/4)+1))&amp;" mg)"))</f>
        <v/>
      </c>
      <c r="D21" s="7" t="str">
        <f t="array" ref="D21">IF(X21="","",INDEX('Inventory - P04'!$K$16:$K$27,(INT((X21-1)/4)+1))-SUMPRODUCT(($B$10:$B$61=B21)*(($I$10:$I$61&lt;&gt;"")+($K$10:$K$61&lt;&gt;"")+($M$10:$M$61&lt;&gt;"")+($O$10:$O$61&lt;&gt;"")+($Q$10:$Q$61&lt;&gt;"")+($S$10:$S$61&lt;&gt;"")+($U$10:$U$61&lt;&gt;""))))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P04'!$D$16:$D$27,(INT((X21-1)/4)+1)))</f>
        <v/>
      </c>
      <c r="F21" s="7" t="str">
        <f t="array" ref="F21">IF(X21="","",INDEX('Inventory - P04'!$E$16:$E$27,(INT((X21-1)/4)+1)))</f>
        <v/>
      </c>
      <c r="G21" s="7" t="str">
        <f t="array" ref="G21">IF(X21="","",INDEX('Inventory - P04'!$I$16:$I$27,(INT((X21-1)/4)+1)))</f>
        <v/>
      </c>
      <c r="H21" s="7" t="str">
        <f t="array" ref="H21">IF(X21="","",INDEX('Inventory - P04'!$J$16:$J$27,(INT((X21-1)/4)+1)))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P04'!$B$16:$B$27,(INT((X22-1)/4)+1))&amp;IF(INDEX('Inventory - P04'!$C$16:$C$27,(INT((X22-1)/4)+1))="",""," ("&amp;INDEX('Inventory - P04'!$C$16:$C$27,(INT((X22-1)/4)+1))&amp;" mg)"))</f>
        <v/>
      </c>
      <c r="D22" s="7" t="str">
        <f t="array" ref="D22">IF(X22="","",INDEX('Inventory - P04'!$K$16:$K$27,(INT((X22-1)/4)+1))-SUMPRODUCT(($B$10:$B$61=B22)*(($I$10:$I$61&lt;&gt;"")+($K$10:$K$61&lt;&gt;"")+($M$10:$M$61&lt;&gt;"")+($O$10:$O$61&lt;&gt;"")+($Q$10:$Q$61&lt;&gt;"")+($S$10:$S$61&lt;&gt;"")+($U$10:$U$61&lt;&gt;""))))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P04'!$D$16:$D$27,(INT((X22-1)/4)+1)))</f>
        <v/>
      </c>
      <c r="F22" s="7" t="str">
        <f t="array" ref="F22">IF(X22="","",INDEX('Inventory - P04'!$E$16:$E$27,(INT((X22-1)/4)+1)))</f>
        <v/>
      </c>
      <c r="G22" s="7" t="str">
        <f t="array" ref="G22">IF(X22="","",INDEX('Inventory - P04'!$I$16:$I$27,(INT((X22-1)/4)+1)))</f>
        <v/>
      </c>
      <c r="H22" s="7" t="str">
        <f t="array" ref="H22">IF(X22="","",INDEX('Inventory - P04'!$J$16:$J$27,(INT((X22-1)/4)+1)))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P04'!$B$16:$B$27,(INT((X24-1)/4)+1))&amp;IF(INDEX('Inventory - P04'!$C$16:$C$27,(INT((X24-1)/4)+1))="",""," ("&amp;INDEX('Inventory - P04'!$C$16:$C$27,(INT((X24-1)/4)+1))&amp;" mg)"))</f>
        <v/>
      </c>
      <c r="D24" s="7" t="str">
        <f t="array" ref="D24">IF(X24="","",INDEX('Inventory - P04'!$K$16:$K$27,(INT((X24-1)/4)+1))-SUMPRODUCT(($B$10:$B$61=B24)*(($I$10:$I$61&lt;&gt;"")+($K$10:$K$61&lt;&gt;"")+($M$10:$M$61&lt;&gt;"")+($O$10:$O$61&lt;&gt;"")+($Q$10:$Q$61&lt;&gt;"")+($S$10:$S$61&lt;&gt;"")+($U$10:$U$61&lt;&gt;""))))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P04'!$D$16:$D$27,(INT((X24-1)/4)+1)))</f>
        <v/>
      </c>
      <c r="F24" s="7" t="str">
        <f t="array" ref="F24">IF(X24="","",INDEX('Inventory - P04'!$E$16:$E$27,(INT((X24-1)/4)+1)))</f>
        <v/>
      </c>
      <c r="G24" s="7" t="str">
        <f t="array" ref="G24">IF(X24="","",INDEX('Inventory - P04'!$I$16:$I$27,(INT((X24-1)/4)+1)))</f>
        <v/>
      </c>
      <c r="H24" s="7" t="str">
        <f t="array" ref="H24">IF(X24="","",INDEX('Inventory - P04'!$J$16:$J$27,(INT((X24-1)/4)+1)))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P04'!$B$16:$B$27,(INT((X25-1)/4)+1))&amp;IF(INDEX('Inventory - P04'!$C$16:$C$27,(INT((X25-1)/4)+1))="",""," ("&amp;INDEX('Inventory - P04'!$C$16:$C$27,(INT((X25-1)/4)+1))&amp;" mg)"))</f>
        <v/>
      </c>
      <c r="D25" s="7" t="str">
        <f t="array" ref="D25">IF(X25="","",INDEX('Inventory - P04'!$K$16:$K$27,(INT((X25-1)/4)+1))-SUMPRODUCT(($B$10:$B$61=B25)*(($I$10:$I$61&lt;&gt;"")+($K$10:$K$61&lt;&gt;"")+($M$10:$M$61&lt;&gt;"")+($O$10:$O$61&lt;&gt;"")+($Q$10:$Q$61&lt;&gt;"")+($S$10:$S$61&lt;&gt;"")+($U$10:$U$61&lt;&gt;""))))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P04'!$D$16:$D$27,(INT((X25-1)/4)+1)))</f>
        <v/>
      </c>
      <c r="F25" s="7" t="str">
        <f t="array" ref="F25">IF(X25="","",INDEX('Inventory - P04'!$E$16:$E$27,(INT((X25-1)/4)+1)))</f>
        <v/>
      </c>
      <c r="G25" s="7" t="str">
        <f t="array" ref="G25">IF(X25="","",INDEX('Inventory - P04'!$I$16:$I$27,(INT((X25-1)/4)+1)))</f>
        <v/>
      </c>
      <c r="H25" s="7" t="str">
        <f t="array" ref="H25">IF(X25="","",INDEX('Inventory - P04'!$J$16:$J$27,(INT((X25-1)/4)+1)))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P04'!$B$16:$B$27,(INT((X26-1)/4)+1))&amp;IF(INDEX('Inventory - P04'!$C$16:$C$27,(INT((X26-1)/4)+1))="",""," ("&amp;INDEX('Inventory - P04'!$C$16:$C$27,(INT((X26-1)/4)+1))&amp;" mg)"))</f>
        <v/>
      </c>
      <c r="D26" s="7" t="str">
        <f t="array" ref="D26">IF(X26="","",INDEX('Inventory - P04'!$K$16:$K$27,(INT((X26-1)/4)+1))-SUMPRODUCT(($B$10:$B$61=B26)*(($I$10:$I$61&lt;&gt;"")+($K$10:$K$61&lt;&gt;"")+($M$10:$M$61&lt;&gt;"")+($O$10:$O$61&lt;&gt;"")+($Q$10:$Q$61&lt;&gt;"")+($S$10:$S$61&lt;&gt;"")+($U$10:$U$61&lt;&gt;""))))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P04'!$D$16:$D$27,(INT((X26-1)/4)+1)))</f>
        <v/>
      </c>
      <c r="F26" s="7" t="str">
        <f t="array" ref="F26">IF(X26="","",INDEX('Inventory - P04'!$E$16:$E$27,(INT((X26-1)/4)+1)))</f>
        <v/>
      </c>
      <c r="G26" s="7" t="str">
        <f t="array" ref="G26">IF(X26="","",INDEX('Inventory - P04'!$I$16:$I$27,(INT((X26-1)/4)+1)))</f>
        <v/>
      </c>
      <c r="H26" s="7" t="str">
        <f t="array" ref="H26">IF(X26="","",INDEX('Inventory - P04'!$J$16:$J$27,(INT((X26-1)/4)+1)))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P04'!$B$16:$B$27,(INT((X27-1)/4)+1))&amp;IF(INDEX('Inventory - P04'!$C$16:$C$27,(INT((X27-1)/4)+1))="",""," ("&amp;INDEX('Inventory - P04'!$C$16:$C$27,(INT((X27-1)/4)+1))&amp;" mg)"))</f>
        <v/>
      </c>
      <c r="D27" s="7" t="str">
        <f t="array" ref="D27">IF(X27="","",INDEX('Inventory - P04'!$K$16:$K$27,(INT((X27-1)/4)+1))-SUMPRODUCT(($B$10:$B$61=B27)*(($I$10:$I$61&lt;&gt;"")+($K$10:$K$61&lt;&gt;"")+($M$10:$M$61&lt;&gt;"")+($O$10:$O$61&lt;&gt;"")+($Q$10:$Q$61&lt;&gt;"")+($S$10:$S$61&lt;&gt;"")+($U$10:$U$61&lt;&gt;""))))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P04'!$D$16:$D$27,(INT((X27-1)/4)+1)))</f>
        <v/>
      </c>
      <c r="F27" s="7" t="str">
        <f t="array" ref="F27">IF(X27="","",INDEX('Inventory - P04'!$E$16:$E$27,(INT((X27-1)/4)+1)))</f>
        <v/>
      </c>
      <c r="G27" s="7" t="str">
        <f t="array" ref="G27">IF(X27="","",INDEX('Inventory - P04'!$I$16:$I$27,(INT((X27-1)/4)+1)))</f>
        <v/>
      </c>
      <c r="H27" s="7" t="str">
        <f t="array" ref="H27">IF(X27="","",INDEX('Inventory - P04'!$J$16:$J$27,(INT((X27-1)/4)+1)))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P04'!$B$16:$B$27,(INT((X28-1)/4)+1))&amp;IF(INDEX('Inventory - P04'!$C$16:$C$27,(INT((X28-1)/4)+1))="",""," ("&amp;INDEX('Inventory - P04'!$C$16:$C$27,(INT((X28-1)/4)+1))&amp;" mg)"))</f>
        <v/>
      </c>
      <c r="D28" s="7" t="str">
        <f t="array" ref="D28">IF(X28="","",INDEX('Inventory - P04'!$K$16:$K$27,(INT((X28-1)/4)+1))-SUMPRODUCT(($B$10:$B$61=B28)*(($I$10:$I$61&lt;&gt;"")+($K$10:$K$61&lt;&gt;"")+($M$10:$M$61&lt;&gt;"")+($O$10:$O$61&lt;&gt;"")+($Q$10:$Q$61&lt;&gt;"")+($S$10:$S$61&lt;&gt;"")+($U$10:$U$61&lt;&gt;""))))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P04'!$D$16:$D$27,(INT((X28-1)/4)+1)))</f>
        <v/>
      </c>
      <c r="F28" s="7" t="str">
        <f t="array" ref="F28">IF(X28="","",INDEX('Inventory - P04'!$E$16:$E$27,(INT((X28-1)/4)+1)))</f>
        <v/>
      </c>
      <c r="G28" s="7" t="str">
        <f t="array" ref="G28">IF(X28="","",INDEX('Inventory - P04'!$I$16:$I$27,(INT((X28-1)/4)+1)))</f>
        <v/>
      </c>
      <c r="H28" s="7" t="str">
        <f t="array" ref="H28">IF(X28="","",INDEX('Inventory - P04'!$J$16:$J$27,(INT((X28-1)/4)+1)))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P04'!$B$16:$B$27,(INT((X29-1)/4)+1))&amp;IF(INDEX('Inventory - P04'!$C$16:$C$27,(INT((X29-1)/4)+1))="",""," ("&amp;INDEX('Inventory - P04'!$C$16:$C$27,(INT((X29-1)/4)+1))&amp;" mg)"))</f>
        <v/>
      </c>
      <c r="D29" s="7" t="str">
        <f t="array" ref="D29">IF(X29="","",INDEX('Inventory - P04'!$K$16:$K$27,(INT((X29-1)/4)+1))-SUMPRODUCT(($B$10:$B$61=B29)*(($I$10:$I$61&lt;&gt;"")+($K$10:$K$61&lt;&gt;"")+($M$10:$M$61&lt;&gt;"")+($O$10:$O$61&lt;&gt;"")+($Q$10:$Q$61&lt;&gt;"")+($S$10:$S$61&lt;&gt;"")+($U$10:$U$61&lt;&gt;""))))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P04'!$D$16:$D$27,(INT((X29-1)/4)+1)))</f>
        <v/>
      </c>
      <c r="F29" s="7" t="str">
        <f t="array" ref="F29">IF(X29="","",INDEX('Inventory - P04'!$E$16:$E$27,(INT((X29-1)/4)+1)))</f>
        <v/>
      </c>
      <c r="G29" s="7" t="str">
        <f t="array" ref="G29">IF(X29="","",INDEX('Inventory - P04'!$I$16:$I$27,(INT((X29-1)/4)+1)))</f>
        <v/>
      </c>
      <c r="H29" s="7" t="str">
        <f t="array" ref="H29">IF(X29="","",INDEX('Inventory - P04'!$J$16:$J$27,(INT((X29-1)/4)+1)))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P04'!$B$16:$B$27,(INT((X30-1)/4)+1))&amp;IF(INDEX('Inventory - P04'!$C$16:$C$27,(INT((X30-1)/4)+1))="",""," ("&amp;INDEX('Inventory - P04'!$C$16:$C$27,(INT((X30-1)/4)+1))&amp;" mg)"))</f>
        <v/>
      </c>
      <c r="D30" s="7" t="str">
        <f t="array" ref="D30">IF(X30="","",INDEX('Inventory - P04'!$K$16:$K$27,(INT((X30-1)/4)+1))-SUMPRODUCT(($B$10:$B$61=B30)*(($I$10:$I$61&lt;&gt;"")+($K$10:$K$61&lt;&gt;"")+($M$10:$M$61&lt;&gt;"")+($O$10:$O$61&lt;&gt;"")+($Q$10:$Q$61&lt;&gt;"")+($S$10:$S$61&lt;&gt;"")+($U$10:$U$61&lt;&gt;""))))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P04'!$D$16:$D$27,(INT((X30-1)/4)+1)))</f>
        <v/>
      </c>
      <c r="F30" s="7" t="str">
        <f t="array" ref="F30">IF(X30="","",INDEX('Inventory - P04'!$E$16:$E$27,(INT((X30-1)/4)+1)))</f>
        <v/>
      </c>
      <c r="G30" s="7" t="str">
        <f t="array" ref="G30">IF(X30="","",INDEX('Inventory - P04'!$I$16:$I$27,(INT((X30-1)/4)+1)))</f>
        <v/>
      </c>
      <c r="H30" s="7" t="str">
        <f t="array" ref="H30">IF(X30="","",INDEX('Inventory - P04'!$J$16:$J$27,(INT((X30-1)/4)+1)))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P04'!$B$16:$B$27,(INT((X31-1)/4)+1))&amp;IF(INDEX('Inventory - P04'!$C$16:$C$27,(INT((X31-1)/4)+1))="",""," ("&amp;INDEX('Inventory - P04'!$C$16:$C$27,(INT((X31-1)/4)+1))&amp;" mg)"))</f>
        <v/>
      </c>
      <c r="D31" s="7" t="str">
        <f t="array" ref="D31">IF(X31="","",INDEX('Inventory - P04'!$K$16:$K$27,(INT((X31-1)/4)+1))-SUMPRODUCT(($B$10:$B$61=B31)*(($I$10:$I$61&lt;&gt;"")+($K$10:$K$61&lt;&gt;"")+($M$10:$M$61&lt;&gt;"")+($O$10:$O$61&lt;&gt;"")+($Q$10:$Q$61&lt;&gt;"")+($S$10:$S$61&lt;&gt;"")+($U$10:$U$61&lt;&gt;""))))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P04'!$D$16:$D$27,(INT((X31-1)/4)+1)))</f>
        <v/>
      </c>
      <c r="F31" s="7" t="str">
        <f t="array" ref="F31">IF(X31="","",INDEX('Inventory - P04'!$E$16:$E$27,(INT((X31-1)/4)+1)))</f>
        <v/>
      </c>
      <c r="G31" s="7" t="str">
        <f t="array" ref="G31">IF(X31="","",INDEX('Inventory - P04'!$I$16:$I$27,(INT((X31-1)/4)+1)))</f>
        <v/>
      </c>
      <c r="H31" s="7" t="str">
        <f t="array" ref="H31">IF(X31="","",INDEX('Inventory - P04'!$J$16:$J$27,(INT((X31-1)/4)+1)))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P04'!$B$16:$B$27,(INT((X32-1)/4)+1))&amp;IF(INDEX('Inventory - P04'!$C$16:$C$27,(INT((X32-1)/4)+1))="",""," ("&amp;INDEX('Inventory - P04'!$C$16:$C$27,(INT((X32-1)/4)+1))&amp;" mg)"))</f>
        <v/>
      </c>
      <c r="D32" s="7" t="str">
        <f t="array" ref="D32">IF(X32="","",INDEX('Inventory - P04'!$K$16:$K$27,(INT((X32-1)/4)+1))-SUMPRODUCT(($B$10:$B$61=B32)*(($I$10:$I$61&lt;&gt;"")+($K$10:$K$61&lt;&gt;"")+($M$10:$M$61&lt;&gt;"")+($O$10:$O$61&lt;&gt;"")+($Q$10:$Q$61&lt;&gt;"")+($S$10:$S$61&lt;&gt;"")+($U$10:$U$61&lt;&gt;""))))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P04'!$D$16:$D$27,(INT((X32-1)/4)+1)))</f>
        <v/>
      </c>
      <c r="F32" s="7" t="str">
        <f t="array" ref="F32">IF(X32="","",INDEX('Inventory - P04'!$E$16:$E$27,(INT((X32-1)/4)+1)))</f>
        <v/>
      </c>
      <c r="G32" s="7" t="str">
        <f t="array" ref="G32">IF(X32="","",INDEX('Inventory - P04'!$I$16:$I$27,(INT((X32-1)/4)+1)))</f>
        <v/>
      </c>
      <c r="H32" s="7" t="str">
        <f t="array" ref="H32">IF(X32="","",INDEX('Inventory - P04'!$J$16:$J$27,(INT((X32-1)/4)+1)))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P04'!$B$16:$B$27,(INT((X33-1)/4)+1))&amp;IF(INDEX('Inventory - P04'!$C$16:$C$27,(INT((X33-1)/4)+1))="",""," ("&amp;INDEX('Inventory - P04'!$C$16:$C$27,(INT((X33-1)/4)+1))&amp;" mg)"))</f>
        <v/>
      </c>
      <c r="D33" s="7" t="str">
        <f t="array" ref="D33">IF(X33="","",INDEX('Inventory - P04'!$K$16:$K$27,(INT((X33-1)/4)+1))-SUMPRODUCT(($B$10:$B$61=B33)*(($I$10:$I$61&lt;&gt;"")+($K$10:$K$61&lt;&gt;"")+($M$10:$M$61&lt;&gt;"")+($O$10:$O$61&lt;&gt;"")+($Q$10:$Q$61&lt;&gt;"")+($S$10:$S$61&lt;&gt;"")+($U$10:$U$61&lt;&gt;""))))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P04'!$D$16:$D$27,(INT((X33-1)/4)+1)))</f>
        <v/>
      </c>
      <c r="F33" s="7" t="str">
        <f t="array" ref="F33">IF(X33="","",INDEX('Inventory - P04'!$E$16:$E$27,(INT((X33-1)/4)+1)))</f>
        <v/>
      </c>
      <c r="G33" s="7" t="str">
        <f t="array" ref="G33">IF(X33="","",INDEX('Inventory - P04'!$I$16:$I$27,(INT((X33-1)/4)+1)))</f>
        <v/>
      </c>
      <c r="H33" s="7" t="str">
        <f t="array" ref="H33">IF(X33="","",INDEX('Inventory - P04'!$J$16:$J$27,(INT((X33-1)/4)+1)))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P04'!$B$16:$B$27,(INT((X34-1)/4)+1))&amp;IF(INDEX('Inventory - P04'!$C$16:$C$27,(INT((X34-1)/4)+1))="",""," ("&amp;INDEX('Inventory - P04'!$C$16:$C$27,(INT((X34-1)/4)+1))&amp;" mg)"))</f>
        <v/>
      </c>
      <c r="D34" s="7" t="str">
        <f t="array" ref="D34">IF(X34="","",INDEX('Inventory - P04'!$K$16:$K$27,(INT((X34-1)/4)+1))-SUMPRODUCT(($B$10:$B$61=B34)*(($I$10:$I$61&lt;&gt;"")+($K$10:$K$61&lt;&gt;"")+($M$10:$M$61&lt;&gt;"")+($O$10:$O$61&lt;&gt;"")+($Q$10:$Q$61&lt;&gt;"")+($S$10:$S$61&lt;&gt;"")+($U$10:$U$61&lt;&gt;""))))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P04'!$D$16:$D$27,(INT((X34-1)/4)+1)))</f>
        <v/>
      </c>
      <c r="F34" s="7" t="str">
        <f t="array" ref="F34">IF(X34="","",INDEX('Inventory - P04'!$E$16:$E$27,(INT((X34-1)/4)+1)))</f>
        <v/>
      </c>
      <c r="G34" s="7" t="str">
        <f t="array" ref="G34">IF(X34="","",INDEX('Inventory - P04'!$I$16:$I$27,(INT((X34-1)/4)+1)))</f>
        <v/>
      </c>
      <c r="H34" s="7" t="str">
        <f t="array" ref="H34">IF(X34="","",INDEX('Inventory - P04'!$J$16:$J$27,(INT((X34-1)/4)+1)))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P04'!$B$16:$B$27,(INT((X35-1)/4)+1))&amp;IF(INDEX('Inventory - P04'!$C$16:$C$27,(INT((X35-1)/4)+1))="",""," ("&amp;INDEX('Inventory - P04'!$C$16:$C$27,(INT((X35-1)/4)+1))&amp;" mg)"))</f>
        <v/>
      </c>
      <c r="D35" s="7" t="str">
        <f t="array" ref="D35">IF(X35="","",INDEX('Inventory - P04'!$K$16:$K$27,(INT((X35-1)/4)+1))-SUMPRODUCT(($B$10:$B$61=B35)*(($I$10:$I$61&lt;&gt;"")+($K$10:$K$61&lt;&gt;"")+($M$10:$M$61&lt;&gt;"")+($O$10:$O$61&lt;&gt;"")+($Q$10:$Q$61&lt;&gt;"")+($S$10:$S$61&lt;&gt;"")+($U$10:$U$61&lt;&gt;""))))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P04'!$D$16:$D$27,(INT((X35-1)/4)+1)))</f>
        <v/>
      </c>
      <c r="F35" s="7" t="str">
        <f t="array" ref="F35">IF(X35="","",INDEX('Inventory - P04'!$E$16:$E$27,(INT((X35-1)/4)+1)))</f>
        <v/>
      </c>
      <c r="G35" s="7" t="str">
        <f t="array" ref="G35">IF(X35="","",INDEX('Inventory - P04'!$I$16:$I$27,(INT((X35-1)/4)+1)))</f>
        <v/>
      </c>
      <c r="H35" s="7" t="str">
        <f t="array" ref="H35">IF(X35="","",INDEX('Inventory - P04'!$J$16:$J$27,(INT((X35-1)/4)+1)))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P04'!$B$16:$B$27,(INT((X37-1)/4)+1))&amp;IF(INDEX('Inventory - P04'!$C$16:$C$27,(INT((X37-1)/4)+1))="",""," ("&amp;INDEX('Inventory - P04'!$C$16:$C$27,(INT((X37-1)/4)+1))&amp;" mg)"))</f>
        <v/>
      </c>
      <c r="D37" s="7" t="str">
        <f t="array" ref="D37">IF(X37="","",INDEX('Inventory - P04'!$K$16:$K$27,(INT((X37-1)/4)+1))-SUMPRODUCT(($B$10:$B$61=B37)*(($I$10:$I$61&lt;&gt;"")+($K$10:$K$61&lt;&gt;"")+($M$10:$M$61&lt;&gt;"")+($O$10:$O$61&lt;&gt;"")+($Q$10:$Q$61&lt;&gt;"")+($S$10:$S$61&lt;&gt;"")+($U$10:$U$61&lt;&gt;""))))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P04'!$D$16:$D$27,(INT((X37-1)/4)+1)))</f>
        <v/>
      </c>
      <c r="F37" s="7" t="str">
        <f t="array" ref="F37">IF(X37="","",INDEX('Inventory - P04'!$E$16:$E$27,(INT((X37-1)/4)+1)))</f>
        <v/>
      </c>
      <c r="G37" s="7" t="str">
        <f t="array" ref="G37">IF(X37="","",INDEX('Inventory - P04'!$I$16:$I$27,(INT((X37-1)/4)+1)))</f>
        <v/>
      </c>
      <c r="H37" s="7" t="str">
        <f t="array" ref="H37">IF(X37="","",INDEX('Inventory - P04'!$J$16:$J$27,(INT((X37-1)/4)+1)))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P04'!$B$16:$B$27,(INT((X38-1)/4)+1))&amp;IF(INDEX('Inventory - P04'!$C$16:$C$27,(INT((X38-1)/4)+1))="",""," ("&amp;INDEX('Inventory - P04'!$C$16:$C$27,(INT((X38-1)/4)+1))&amp;" mg)"))</f>
        <v/>
      </c>
      <c r="D38" s="7" t="str">
        <f t="array" ref="D38">IF(X38="","",INDEX('Inventory - P04'!$K$16:$K$27,(INT((X38-1)/4)+1))-SUMPRODUCT(($B$10:$B$61=B38)*(($I$10:$I$61&lt;&gt;"")+($K$10:$K$61&lt;&gt;"")+($M$10:$M$61&lt;&gt;"")+($O$10:$O$61&lt;&gt;"")+($Q$10:$Q$61&lt;&gt;"")+($S$10:$S$61&lt;&gt;"")+($U$10:$U$61&lt;&gt;""))))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P04'!$D$16:$D$27,(INT((X38-1)/4)+1)))</f>
        <v/>
      </c>
      <c r="F38" s="7" t="str">
        <f t="array" ref="F38">IF(X38="","",INDEX('Inventory - P04'!$E$16:$E$27,(INT((X38-1)/4)+1)))</f>
        <v/>
      </c>
      <c r="G38" s="7" t="str">
        <f t="array" ref="G38">IF(X38="","",INDEX('Inventory - P04'!$I$16:$I$27,(INT((X38-1)/4)+1)))</f>
        <v/>
      </c>
      <c r="H38" s="7" t="str">
        <f t="array" ref="H38">IF(X38="","",INDEX('Inventory - P04'!$J$16:$J$27,(INT((X38-1)/4)+1)))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P04'!$B$16:$B$27,(INT((X39-1)/4)+1))&amp;IF(INDEX('Inventory - P04'!$C$16:$C$27,(INT((X39-1)/4)+1))="",""," ("&amp;INDEX('Inventory - P04'!$C$16:$C$27,(INT((X39-1)/4)+1))&amp;" mg)"))</f>
        <v/>
      </c>
      <c r="D39" s="7" t="str">
        <f t="array" ref="D39">IF(X39="","",INDEX('Inventory - P04'!$K$16:$K$27,(INT((X39-1)/4)+1))-SUMPRODUCT(($B$10:$B$61=B39)*(($I$10:$I$61&lt;&gt;"")+($K$10:$K$61&lt;&gt;"")+($M$10:$M$61&lt;&gt;"")+($O$10:$O$61&lt;&gt;"")+($Q$10:$Q$61&lt;&gt;"")+($S$10:$S$61&lt;&gt;"")+($U$10:$U$61&lt;&gt;""))))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P04'!$D$16:$D$27,(INT((X39-1)/4)+1)))</f>
        <v/>
      </c>
      <c r="F39" s="7" t="str">
        <f t="array" ref="F39">IF(X39="","",INDEX('Inventory - P04'!$E$16:$E$27,(INT((X39-1)/4)+1)))</f>
        <v/>
      </c>
      <c r="G39" s="7" t="str">
        <f t="array" ref="G39">IF(X39="","",INDEX('Inventory - P04'!$I$16:$I$27,(INT((X39-1)/4)+1)))</f>
        <v/>
      </c>
      <c r="H39" s="7" t="str">
        <f t="array" ref="H39">IF(X39="","",INDEX('Inventory - P04'!$J$16:$J$27,(INT((X39-1)/4)+1)))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P04'!$B$16:$B$27,(INT((X40-1)/4)+1))&amp;IF(INDEX('Inventory - P04'!$C$16:$C$27,(INT((X40-1)/4)+1))="",""," ("&amp;INDEX('Inventory - P04'!$C$16:$C$27,(INT((X40-1)/4)+1))&amp;" mg)"))</f>
        <v/>
      </c>
      <c r="D40" s="7" t="str">
        <f t="array" ref="D40">IF(X40="","",INDEX('Inventory - P04'!$K$16:$K$27,(INT((X40-1)/4)+1))-SUMPRODUCT(($B$10:$B$61=B40)*(($I$10:$I$61&lt;&gt;"")+($K$10:$K$61&lt;&gt;"")+($M$10:$M$61&lt;&gt;"")+($O$10:$O$61&lt;&gt;"")+($Q$10:$Q$61&lt;&gt;"")+($S$10:$S$61&lt;&gt;"")+($U$10:$U$61&lt;&gt;""))))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P04'!$D$16:$D$27,(INT((X40-1)/4)+1)))</f>
        <v/>
      </c>
      <c r="F40" s="7" t="str">
        <f t="array" ref="F40">IF(X40="","",INDEX('Inventory - P04'!$E$16:$E$27,(INT((X40-1)/4)+1)))</f>
        <v/>
      </c>
      <c r="G40" s="7" t="str">
        <f t="array" ref="G40">IF(X40="","",INDEX('Inventory - P04'!$I$16:$I$27,(INT((X40-1)/4)+1)))</f>
        <v/>
      </c>
      <c r="H40" s="7" t="str">
        <f t="array" ref="H40">IF(X40="","",INDEX('Inventory - P04'!$J$16:$J$27,(INT((X40-1)/4)+1)))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P04'!$B$16:$B$27,(INT((X41-1)/4)+1))&amp;IF(INDEX('Inventory - P04'!$C$16:$C$27,(INT((X41-1)/4)+1))="",""," ("&amp;INDEX('Inventory - P04'!$C$16:$C$27,(INT((X41-1)/4)+1))&amp;" mg)"))</f>
        <v/>
      </c>
      <c r="D41" s="7" t="str">
        <f t="array" ref="D41">IF(X41="","",INDEX('Inventory - P04'!$K$16:$K$27,(INT((X41-1)/4)+1))-SUMPRODUCT(($B$10:$B$61=B41)*(($I$10:$I$61&lt;&gt;"")+($K$10:$K$61&lt;&gt;"")+($M$10:$M$61&lt;&gt;"")+($O$10:$O$61&lt;&gt;"")+($Q$10:$Q$61&lt;&gt;"")+($S$10:$S$61&lt;&gt;"")+($U$10:$U$61&lt;&gt;""))))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P04'!$D$16:$D$27,(INT((X41-1)/4)+1)))</f>
        <v/>
      </c>
      <c r="F41" s="7" t="str">
        <f t="array" ref="F41">IF(X41="","",INDEX('Inventory - P04'!$E$16:$E$27,(INT((X41-1)/4)+1)))</f>
        <v/>
      </c>
      <c r="G41" s="7" t="str">
        <f t="array" ref="G41">IF(X41="","",INDEX('Inventory - P04'!$I$16:$I$27,(INT((X41-1)/4)+1)))</f>
        <v/>
      </c>
      <c r="H41" s="7" t="str">
        <f t="array" ref="H41">IF(X41="","",INDEX('Inventory - P04'!$J$16:$J$27,(INT((X41-1)/4)+1)))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P04'!$B$16:$B$27,(INT((X42-1)/4)+1))&amp;IF(INDEX('Inventory - P04'!$C$16:$C$27,(INT((X42-1)/4)+1))="",""," ("&amp;INDEX('Inventory - P04'!$C$16:$C$27,(INT((X42-1)/4)+1))&amp;" mg)"))</f>
        <v/>
      </c>
      <c r="D42" s="7" t="str">
        <f t="array" ref="D42">IF(X42="","",INDEX('Inventory - P04'!$K$16:$K$27,(INT((X42-1)/4)+1))-SUMPRODUCT(($B$10:$B$61=B42)*(($I$10:$I$61&lt;&gt;"")+($K$10:$K$61&lt;&gt;"")+($M$10:$M$61&lt;&gt;"")+($O$10:$O$61&lt;&gt;"")+($Q$10:$Q$61&lt;&gt;"")+($S$10:$S$61&lt;&gt;"")+($U$10:$U$61&lt;&gt;""))))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P04'!$D$16:$D$27,(INT((X42-1)/4)+1)))</f>
        <v/>
      </c>
      <c r="F42" s="7" t="str">
        <f t="array" ref="F42">IF(X42="","",INDEX('Inventory - P04'!$E$16:$E$27,(INT((X42-1)/4)+1)))</f>
        <v/>
      </c>
      <c r="G42" s="7" t="str">
        <f t="array" ref="G42">IF(X42="","",INDEX('Inventory - P04'!$I$16:$I$27,(INT((X42-1)/4)+1)))</f>
        <v/>
      </c>
      <c r="H42" s="7" t="str">
        <f t="array" ref="H42">IF(X42="","",INDEX('Inventory - P04'!$J$16:$J$27,(INT((X42-1)/4)+1)))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P04'!$B$16:$B$27,(INT((X43-1)/4)+1))&amp;IF(INDEX('Inventory - P04'!$C$16:$C$27,(INT((X43-1)/4)+1))="",""," ("&amp;INDEX('Inventory - P04'!$C$16:$C$27,(INT((X43-1)/4)+1))&amp;" mg)"))</f>
        <v/>
      </c>
      <c r="D43" s="7" t="str">
        <f t="array" ref="D43">IF(X43="","",INDEX('Inventory - P04'!$K$16:$K$27,(INT((X43-1)/4)+1))-SUMPRODUCT(($B$10:$B$61=B43)*(($I$10:$I$61&lt;&gt;"")+($K$10:$K$61&lt;&gt;"")+($M$10:$M$61&lt;&gt;"")+($O$10:$O$61&lt;&gt;"")+($Q$10:$Q$61&lt;&gt;"")+($S$10:$S$61&lt;&gt;"")+($U$10:$U$61&lt;&gt;""))))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P04'!$D$16:$D$27,(INT((X43-1)/4)+1)))</f>
        <v/>
      </c>
      <c r="F43" s="7" t="str">
        <f t="array" ref="F43">IF(X43="","",INDEX('Inventory - P04'!$E$16:$E$27,(INT((X43-1)/4)+1)))</f>
        <v/>
      </c>
      <c r="G43" s="7" t="str">
        <f t="array" ref="G43">IF(X43="","",INDEX('Inventory - P04'!$I$16:$I$27,(INT((X43-1)/4)+1)))</f>
        <v/>
      </c>
      <c r="H43" s="7" t="str">
        <f t="array" ref="H43">IF(X43="","",INDEX('Inventory - P04'!$J$16:$J$27,(INT((X43-1)/4)+1)))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P04'!$B$16:$B$27,(INT((X44-1)/4)+1))&amp;IF(INDEX('Inventory - P04'!$C$16:$C$27,(INT((X44-1)/4)+1))="",""," ("&amp;INDEX('Inventory - P04'!$C$16:$C$27,(INT((X44-1)/4)+1))&amp;" mg)"))</f>
        <v/>
      </c>
      <c r="D44" s="7" t="str">
        <f t="array" ref="D44">IF(X44="","",INDEX('Inventory - P04'!$K$16:$K$27,(INT((X44-1)/4)+1))-SUMPRODUCT(($B$10:$B$61=B44)*(($I$10:$I$61&lt;&gt;"")+($K$10:$K$61&lt;&gt;"")+($M$10:$M$61&lt;&gt;"")+($O$10:$O$61&lt;&gt;"")+($Q$10:$Q$61&lt;&gt;"")+($S$10:$S$61&lt;&gt;"")+($U$10:$U$61&lt;&gt;""))))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P04'!$D$16:$D$27,(INT((X44-1)/4)+1)))</f>
        <v/>
      </c>
      <c r="F44" s="7" t="str">
        <f t="array" ref="F44">IF(X44="","",INDEX('Inventory - P04'!$E$16:$E$27,(INT((X44-1)/4)+1)))</f>
        <v/>
      </c>
      <c r="G44" s="7" t="str">
        <f t="array" ref="G44">IF(X44="","",INDEX('Inventory - P04'!$I$16:$I$27,(INT((X44-1)/4)+1)))</f>
        <v/>
      </c>
      <c r="H44" s="7" t="str">
        <f t="array" ref="H44">IF(X44="","",INDEX('Inventory - P04'!$J$16:$J$27,(INT((X44-1)/4)+1)))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P04'!$B$16:$B$27,(INT((X45-1)/4)+1))&amp;IF(INDEX('Inventory - P04'!$C$16:$C$27,(INT((X45-1)/4)+1))="",""," ("&amp;INDEX('Inventory - P04'!$C$16:$C$27,(INT((X45-1)/4)+1))&amp;" mg)"))</f>
        <v/>
      </c>
      <c r="D45" s="7" t="str">
        <f t="array" ref="D45">IF(X45="","",INDEX('Inventory - P04'!$K$16:$K$27,(INT((X45-1)/4)+1))-SUMPRODUCT(($B$10:$B$61=B45)*(($I$10:$I$61&lt;&gt;"")+($K$10:$K$61&lt;&gt;"")+($M$10:$M$61&lt;&gt;"")+($O$10:$O$61&lt;&gt;"")+($Q$10:$Q$61&lt;&gt;"")+($S$10:$S$61&lt;&gt;"")+($U$10:$U$61&lt;&gt;""))))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P04'!$D$16:$D$27,(INT((X45-1)/4)+1)))</f>
        <v/>
      </c>
      <c r="F45" s="7" t="str">
        <f t="array" ref="F45">IF(X45="","",INDEX('Inventory - P04'!$E$16:$E$27,(INT((X45-1)/4)+1)))</f>
        <v/>
      </c>
      <c r="G45" s="7" t="str">
        <f t="array" ref="G45">IF(X45="","",INDEX('Inventory - P04'!$I$16:$I$27,(INT((X45-1)/4)+1)))</f>
        <v/>
      </c>
      <c r="H45" s="7" t="str">
        <f t="array" ref="H45">IF(X45="","",INDEX('Inventory - P04'!$J$16:$J$27,(INT((X45-1)/4)+1)))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P04'!$B$16:$B$27,(INT((X46-1)/4)+1))&amp;IF(INDEX('Inventory - P04'!$C$16:$C$27,(INT((X46-1)/4)+1))="",""," ("&amp;INDEX('Inventory - P04'!$C$16:$C$27,(INT((X46-1)/4)+1))&amp;" mg)"))</f>
        <v/>
      </c>
      <c r="D46" s="7" t="str">
        <f t="array" ref="D46">IF(X46="","",INDEX('Inventory - P04'!$K$16:$K$27,(INT((X46-1)/4)+1))-SUMPRODUCT(($B$10:$B$61=B46)*(($I$10:$I$61&lt;&gt;"")+($K$10:$K$61&lt;&gt;"")+($M$10:$M$61&lt;&gt;"")+($O$10:$O$61&lt;&gt;"")+($Q$10:$Q$61&lt;&gt;"")+($S$10:$S$61&lt;&gt;"")+($U$10:$U$61&lt;&gt;""))))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P04'!$D$16:$D$27,(INT((X46-1)/4)+1)))</f>
        <v/>
      </c>
      <c r="F46" s="7" t="str">
        <f t="array" ref="F46">IF(X46="","",INDEX('Inventory - P04'!$E$16:$E$27,(INT((X46-1)/4)+1)))</f>
        <v/>
      </c>
      <c r="G46" s="7" t="str">
        <f t="array" ref="G46">IF(X46="","",INDEX('Inventory - P04'!$I$16:$I$27,(INT((X46-1)/4)+1)))</f>
        <v/>
      </c>
      <c r="H46" s="7" t="str">
        <f t="array" ref="H46">IF(X46="","",INDEX('Inventory - P04'!$J$16:$J$27,(INT((X46-1)/4)+1)))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P04'!$B$16:$B$27,(INT((X47-1)/4)+1))&amp;IF(INDEX('Inventory - P04'!$C$16:$C$27,(INT((X47-1)/4)+1))="",""," ("&amp;INDEX('Inventory - P04'!$C$16:$C$27,(INT((X47-1)/4)+1))&amp;" mg)"))</f>
        <v/>
      </c>
      <c r="D47" s="7" t="str">
        <f t="array" ref="D47">IF(X47="","",INDEX('Inventory - P04'!$K$16:$K$27,(INT((X47-1)/4)+1))-SUMPRODUCT(($B$10:$B$61=B47)*(($I$10:$I$61&lt;&gt;"")+($K$10:$K$61&lt;&gt;"")+($M$10:$M$61&lt;&gt;"")+($O$10:$O$61&lt;&gt;"")+($Q$10:$Q$61&lt;&gt;"")+($S$10:$S$61&lt;&gt;"")+($U$10:$U$61&lt;&gt;""))))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P04'!$D$16:$D$27,(INT((X47-1)/4)+1)))</f>
        <v/>
      </c>
      <c r="F47" s="7" t="str">
        <f t="array" ref="F47">IF(X47="","",INDEX('Inventory - P04'!$E$16:$E$27,(INT((X47-1)/4)+1)))</f>
        <v/>
      </c>
      <c r="G47" s="7" t="str">
        <f t="array" ref="G47">IF(X47="","",INDEX('Inventory - P04'!$I$16:$I$27,(INT((X47-1)/4)+1)))</f>
        <v/>
      </c>
      <c r="H47" s="7" t="str">
        <f t="array" ref="H47">IF(X47="","",INDEX('Inventory - P04'!$J$16:$J$27,(INT((X47-1)/4)+1)))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P04'!$B$16:$B$27,(INT((X48-1)/4)+1))&amp;IF(INDEX('Inventory - P04'!$C$16:$C$27,(INT((X48-1)/4)+1))="",""," ("&amp;INDEX('Inventory - P04'!$C$16:$C$27,(INT((X48-1)/4)+1))&amp;" mg)"))</f>
        <v/>
      </c>
      <c r="D48" s="7" t="str">
        <f t="array" ref="D48">IF(X48="","",INDEX('Inventory - P04'!$K$16:$K$27,(INT((X48-1)/4)+1))-SUMPRODUCT(($B$10:$B$61=B48)*(($I$10:$I$61&lt;&gt;"")+($K$10:$K$61&lt;&gt;"")+($M$10:$M$61&lt;&gt;"")+($O$10:$O$61&lt;&gt;"")+($Q$10:$Q$61&lt;&gt;"")+($S$10:$S$61&lt;&gt;"")+($U$10:$U$61&lt;&gt;""))))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P04'!$D$16:$D$27,(INT((X48-1)/4)+1)))</f>
        <v/>
      </c>
      <c r="F48" s="7" t="str">
        <f t="array" ref="F48">IF(X48="","",INDEX('Inventory - P04'!$E$16:$E$27,(INT((X48-1)/4)+1)))</f>
        <v/>
      </c>
      <c r="G48" s="7" t="str">
        <f t="array" ref="G48">IF(X48="","",INDEX('Inventory - P04'!$I$16:$I$27,(INT((X48-1)/4)+1)))</f>
        <v/>
      </c>
      <c r="H48" s="7" t="str">
        <f t="array" ref="H48">IF(X48="","",INDEX('Inventory - P04'!$J$16:$J$27,(INT((X48-1)/4)+1)))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P04'!$B$16:$B$27,(INT((X50-1)/4)+1))&amp;IF(INDEX('Inventory - P04'!$C$16:$C$27,(INT((X50-1)/4)+1))="",""," ("&amp;INDEX('Inventory - P04'!$C$16:$C$27,(INT((X50-1)/4)+1))&amp;" mg)"))</f>
        <v/>
      </c>
      <c r="D50" s="7" t="str">
        <f t="array" ref="D50">IF(X50="","",INDEX('Inventory - P04'!$K$16:$K$27,(INT((X50-1)/4)+1))-SUMPRODUCT(($B$10:$B$61=B50)*(($I$10:$I$61&lt;&gt;"")+($K$10:$K$61&lt;&gt;"")+($M$10:$M$61&lt;&gt;"")+($O$10:$O$61&lt;&gt;"")+($Q$10:$Q$61&lt;&gt;"")+($S$10:$S$61&lt;&gt;"")+($U$10:$U$61&lt;&gt;""))))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P04'!$D$16:$D$27,(INT((X50-1)/4)+1)))</f>
        <v/>
      </c>
      <c r="F50" s="7" t="str">
        <f t="array" ref="F50">IF(X50="","",INDEX('Inventory - P04'!$E$16:$E$27,(INT((X50-1)/4)+1)))</f>
        <v/>
      </c>
      <c r="G50" s="7" t="str">
        <f t="array" ref="G50">IF(X50="","",INDEX('Inventory - P04'!$I$16:$I$27,(INT((X50-1)/4)+1)))</f>
        <v/>
      </c>
      <c r="H50" s="7" t="str">
        <f t="array" ref="H50">IF(X50="","",INDEX('Inventory - P04'!$J$16:$J$27,(INT((X50-1)/4)+1)))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P04'!$B$16:$B$27,(INT((X51-1)/4)+1))&amp;IF(INDEX('Inventory - P04'!$C$16:$C$27,(INT((X51-1)/4)+1))="",""," ("&amp;INDEX('Inventory - P04'!$C$16:$C$27,(INT((X51-1)/4)+1))&amp;" mg)"))</f>
        <v/>
      </c>
      <c r="D51" s="7" t="str">
        <f t="array" ref="D51">IF(X51="","",INDEX('Inventory - P04'!$K$16:$K$27,(INT((X51-1)/4)+1))-SUMPRODUCT(($B$10:$B$61=B51)*(($I$10:$I$61&lt;&gt;"")+($K$10:$K$61&lt;&gt;"")+($M$10:$M$61&lt;&gt;"")+($O$10:$O$61&lt;&gt;"")+($Q$10:$Q$61&lt;&gt;"")+($S$10:$S$61&lt;&gt;"")+($U$10:$U$61&lt;&gt;""))))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P04'!$D$16:$D$27,(INT((X51-1)/4)+1)))</f>
        <v/>
      </c>
      <c r="F51" s="7" t="str">
        <f t="array" ref="F51">IF(X51="","",INDEX('Inventory - P04'!$E$16:$E$27,(INT((X51-1)/4)+1)))</f>
        <v/>
      </c>
      <c r="G51" s="7" t="str">
        <f t="array" ref="G51">IF(X51="","",INDEX('Inventory - P04'!$I$16:$I$27,(INT((X51-1)/4)+1)))</f>
        <v/>
      </c>
      <c r="H51" s="7" t="str">
        <f t="array" ref="H51">IF(X51="","",INDEX('Inventory - P04'!$J$16:$J$27,(INT((X51-1)/4)+1)))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P04'!$B$16:$B$27,(INT((X52-1)/4)+1))&amp;IF(INDEX('Inventory - P04'!$C$16:$C$27,(INT((X52-1)/4)+1))="",""," ("&amp;INDEX('Inventory - P04'!$C$16:$C$27,(INT((X52-1)/4)+1))&amp;" mg)"))</f>
        <v/>
      </c>
      <c r="D52" s="7" t="str">
        <f t="array" ref="D52">IF(X52="","",INDEX('Inventory - P04'!$K$16:$K$27,(INT((X52-1)/4)+1))-SUMPRODUCT(($B$10:$B$61=B52)*(($I$10:$I$61&lt;&gt;"")+($K$10:$K$61&lt;&gt;"")+($M$10:$M$61&lt;&gt;"")+($O$10:$O$61&lt;&gt;"")+($Q$10:$Q$61&lt;&gt;"")+($S$10:$S$61&lt;&gt;"")+($U$10:$U$61&lt;&gt;""))))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P04'!$D$16:$D$27,(INT((X52-1)/4)+1)))</f>
        <v/>
      </c>
      <c r="F52" s="7" t="str">
        <f t="array" ref="F52">IF(X52="","",INDEX('Inventory - P04'!$E$16:$E$27,(INT((X52-1)/4)+1)))</f>
        <v/>
      </c>
      <c r="G52" s="7" t="str">
        <f t="array" ref="G52">IF(X52="","",INDEX('Inventory - P04'!$I$16:$I$27,(INT((X52-1)/4)+1)))</f>
        <v/>
      </c>
      <c r="H52" s="7" t="str">
        <f t="array" ref="H52">IF(X52="","",INDEX('Inventory - P04'!$J$16:$J$27,(INT((X52-1)/4)+1)))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P04'!$B$16:$B$27,(INT((X53-1)/4)+1))&amp;IF(INDEX('Inventory - P04'!$C$16:$C$27,(INT((X53-1)/4)+1))="",""," ("&amp;INDEX('Inventory - P04'!$C$16:$C$27,(INT((X53-1)/4)+1))&amp;" mg)"))</f>
        <v/>
      </c>
      <c r="D53" s="7" t="str">
        <f t="array" ref="D53">IF(X53="","",INDEX('Inventory - P04'!$K$16:$K$27,(INT((X53-1)/4)+1))-SUMPRODUCT(($B$10:$B$61=B53)*(($I$10:$I$61&lt;&gt;"")+($K$10:$K$61&lt;&gt;"")+($M$10:$M$61&lt;&gt;"")+($O$10:$O$61&lt;&gt;"")+($Q$10:$Q$61&lt;&gt;"")+($S$10:$S$61&lt;&gt;"")+($U$10:$U$61&lt;&gt;""))))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P04'!$D$16:$D$27,(INT((X53-1)/4)+1)))</f>
        <v/>
      </c>
      <c r="F53" s="7" t="str">
        <f t="array" ref="F53">IF(X53="","",INDEX('Inventory - P04'!$E$16:$E$27,(INT((X53-1)/4)+1)))</f>
        <v/>
      </c>
      <c r="G53" s="7" t="str">
        <f t="array" ref="G53">IF(X53="","",INDEX('Inventory - P04'!$I$16:$I$27,(INT((X53-1)/4)+1)))</f>
        <v/>
      </c>
      <c r="H53" s="7" t="str">
        <f t="array" ref="H53">IF(X53="","",INDEX('Inventory - P04'!$J$16:$J$27,(INT((X53-1)/4)+1)))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P04'!$B$16:$B$27,(INT((X54-1)/4)+1))&amp;IF(INDEX('Inventory - P04'!$C$16:$C$27,(INT((X54-1)/4)+1))="",""," ("&amp;INDEX('Inventory - P04'!$C$16:$C$27,(INT((X54-1)/4)+1))&amp;" mg)"))</f>
        <v/>
      </c>
      <c r="D54" s="7" t="str">
        <f t="array" ref="D54">IF(X54="","",INDEX('Inventory - P04'!$K$16:$K$27,(INT((X54-1)/4)+1))-SUMPRODUCT(($B$10:$B$61=B54)*(($I$10:$I$61&lt;&gt;"")+($K$10:$K$61&lt;&gt;"")+($M$10:$M$61&lt;&gt;"")+($O$10:$O$61&lt;&gt;"")+($Q$10:$Q$61&lt;&gt;"")+($S$10:$S$61&lt;&gt;"")+($U$10:$U$61&lt;&gt;""))))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P04'!$D$16:$D$27,(INT((X54-1)/4)+1)))</f>
        <v/>
      </c>
      <c r="F54" s="7" t="str">
        <f t="array" ref="F54">IF(X54="","",INDEX('Inventory - P04'!$E$16:$E$27,(INT((X54-1)/4)+1)))</f>
        <v/>
      </c>
      <c r="G54" s="7" t="str">
        <f t="array" ref="G54">IF(X54="","",INDEX('Inventory - P04'!$I$16:$I$27,(INT((X54-1)/4)+1)))</f>
        <v/>
      </c>
      <c r="H54" s="7" t="str">
        <f t="array" ref="H54">IF(X54="","",INDEX('Inventory - P04'!$J$16:$J$27,(INT((X54-1)/4)+1)))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P04'!$B$16:$B$27,(INT((X55-1)/4)+1))&amp;IF(INDEX('Inventory - P04'!$C$16:$C$27,(INT((X55-1)/4)+1))="",""," ("&amp;INDEX('Inventory - P04'!$C$16:$C$27,(INT((X55-1)/4)+1))&amp;" mg)"))</f>
        <v/>
      </c>
      <c r="D55" s="7" t="str">
        <f t="array" ref="D55">IF(X55="","",INDEX('Inventory - P04'!$K$16:$K$27,(INT((X55-1)/4)+1))-SUMPRODUCT(($B$10:$B$61=B55)*(($I$10:$I$61&lt;&gt;"")+($K$10:$K$61&lt;&gt;"")+($M$10:$M$61&lt;&gt;"")+($O$10:$O$61&lt;&gt;"")+($Q$10:$Q$61&lt;&gt;"")+($S$10:$S$61&lt;&gt;"")+($U$10:$U$61&lt;&gt;""))))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P04'!$D$16:$D$27,(INT((X55-1)/4)+1)))</f>
        <v/>
      </c>
      <c r="F55" s="7" t="str">
        <f t="array" ref="F55">IF(X55="","",INDEX('Inventory - P04'!$E$16:$E$27,(INT((X55-1)/4)+1)))</f>
        <v/>
      </c>
      <c r="G55" s="7" t="str">
        <f t="array" ref="G55">IF(X55="","",INDEX('Inventory - P04'!$I$16:$I$27,(INT((X55-1)/4)+1)))</f>
        <v/>
      </c>
      <c r="H55" s="7" t="str">
        <f t="array" ref="H55">IF(X55="","",INDEX('Inventory - P04'!$J$16:$J$27,(INT((X55-1)/4)+1)))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P04'!$B$16:$B$27,(INT((X56-1)/4)+1))&amp;IF(INDEX('Inventory - P04'!$C$16:$C$27,(INT((X56-1)/4)+1))="",""," ("&amp;INDEX('Inventory - P04'!$C$16:$C$27,(INT((X56-1)/4)+1))&amp;" mg)"))</f>
        <v/>
      </c>
      <c r="D56" s="7" t="str">
        <f t="array" ref="D56">IF(X56="","",INDEX('Inventory - P04'!$K$16:$K$27,(INT((X56-1)/4)+1))-SUMPRODUCT(($B$10:$B$61=B56)*(($I$10:$I$61&lt;&gt;"")+($K$10:$K$61&lt;&gt;"")+($M$10:$M$61&lt;&gt;"")+($O$10:$O$61&lt;&gt;"")+($Q$10:$Q$61&lt;&gt;"")+($S$10:$S$61&lt;&gt;"")+($U$10:$U$61&lt;&gt;""))))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P04'!$D$16:$D$27,(INT((X56-1)/4)+1)))</f>
        <v/>
      </c>
      <c r="F56" s="7" t="str">
        <f t="array" ref="F56">IF(X56="","",INDEX('Inventory - P04'!$E$16:$E$27,(INT((X56-1)/4)+1)))</f>
        <v/>
      </c>
      <c r="G56" s="7" t="str">
        <f t="array" ref="G56">IF(X56="","",INDEX('Inventory - P04'!$I$16:$I$27,(INT((X56-1)/4)+1)))</f>
        <v/>
      </c>
      <c r="H56" s="7" t="str">
        <f t="array" ref="H56">IF(X56="","",INDEX('Inventory - P04'!$J$16:$J$27,(INT((X56-1)/4)+1)))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P04'!$B$16:$B$27,(INT((X57-1)/4)+1))&amp;IF(INDEX('Inventory - P04'!$C$16:$C$27,(INT((X57-1)/4)+1))="",""," ("&amp;INDEX('Inventory - P04'!$C$16:$C$27,(INT((X57-1)/4)+1))&amp;" mg)"))</f>
        <v/>
      </c>
      <c r="D57" s="7" t="str">
        <f t="array" ref="D57">IF(X57="","",INDEX('Inventory - P04'!$K$16:$K$27,(INT((X57-1)/4)+1))-SUMPRODUCT(($B$10:$B$61=B57)*(($I$10:$I$61&lt;&gt;"")+($K$10:$K$61&lt;&gt;"")+($M$10:$M$61&lt;&gt;"")+($O$10:$O$61&lt;&gt;"")+($Q$10:$Q$61&lt;&gt;"")+($S$10:$S$61&lt;&gt;"")+($U$10:$U$61&lt;&gt;""))))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P04'!$D$16:$D$27,(INT((X57-1)/4)+1)))</f>
        <v/>
      </c>
      <c r="F57" s="7" t="str">
        <f t="array" ref="F57">IF(X57="","",INDEX('Inventory - P04'!$E$16:$E$27,(INT((X57-1)/4)+1)))</f>
        <v/>
      </c>
      <c r="G57" s="7" t="str">
        <f t="array" ref="G57">IF(X57="","",INDEX('Inventory - P04'!$I$16:$I$27,(INT((X57-1)/4)+1)))</f>
        <v/>
      </c>
      <c r="H57" s="7" t="str">
        <f t="array" ref="H57">IF(X57="","",INDEX('Inventory - P04'!$J$16:$J$27,(INT((X57-1)/4)+1)))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P04'!$B$16:$B$27,(INT((X58-1)/4)+1))&amp;IF(INDEX('Inventory - P04'!$C$16:$C$27,(INT((X58-1)/4)+1))="",""," ("&amp;INDEX('Inventory - P04'!$C$16:$C$27,(INT((X58-1)/4)+1))&amp;" mg)"))</f>
        <v/>
      </c>
      <c r="D58" s="7" t="str">
        <f t="array" ref="D58">IF(X58="","",INDEX('Inventory - P04'!$K$16:$K$27,(INT((X58-1)/4)+1))-SUMPRODUCT(($B$10:$B$61=B58)*(($I$10:$I$61&lt;&gt;"")+($K$10:$K$61&lt;&gt;"")+($M$10:$M$61&lt;&gt;"")+($O$10:$O$61&lt;&gt;"")+($Q$10:$Q$61&lt;&gt;"")+($S$10:$S$61&lt;&gt;"")+($U$10:$U$61&lt;&gt;""))))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P04'!$D$16:$D$27,(INT((X58-1)/4)+1)))</f>
        <v/>
      </c>
      <c r="F58" s="7" t="str">
        <f t="array" ref="F58">IF(X58="","",INDEX('Inventory - P04'!$E$16:$E$27,(INT((X58-1)/4)+1)))</f>
        <v/>
      </c>
      <c r="G58" s="7" t="str">
        <f t="array" ref="G58">IF(X58="","",INDEX('Inventory - P04'!$I$16:$I$27,(INT((X58-1)/4)+1)))</f>
        <v/>
      </c>
      <c r="H58" s="7" t="str">
        <f t="array" ref="H58">IF(X58="","",INDEX('Inventory - P04'!$J$16:$J$27,(INT((X58-1)/4)+1)))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P04'!$B$16:$B$27,(INT((X59-1)/4)+1))&amp;IF(INDEX('Inventory - P04'!$C$16:$C$27,(INT((X59-1)/4)+1))="",""," ("&amp;INDEX('Inventory - P04'!$C$16:$C$27,(INT((X59-1)/4)+1))&amp;" mg)"))</f>
        <v/>
      </c>
      <c r="D59" s="7" t="str">
        <f t="array" ref="D59">IF(X59="","",INDEX('Inventory - P04'!$K$16:$K$27,(INT((X59-1)/4)+1))-SUMPRODUCT(($B$10:$B$61=B59)*(($I$10:$I$61&lt;&gt;"")+($K$10:$K$61&lt;&gt;"")+($M$10:$M$61&lt;&gt;"")+($O$10:$O$61&lt;&gt;"")+($Q$10:$Q$61&lt;&gt;"")+($S$10:$S$61&lt;&gt;"")+($U$10:$U$61&lt;&gt;""))))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P04'!$D$16:$D$27,(INT((X59-1)/4)+1)))</f>
        <v/>
      </c>
      <c r="F59" s="7" t="str">
        <f t="array" ref="F59">IF(X59="","",INDEX('Inventory - P04'!$E$16:$E$27,(INT((X59-1)/4)+1)))</f>
        <v/>
      </c>
      <c r="G59" s="7" t="str">
        <f t="array" ref="G59">IF(X59="","",INDEX('Inventory - P04'!$I$16:$I$27,(INT((X59-1)/4)+1)))</f>
        <v/>
      </c>
      <c r="H59" s="7" t="str">
        <f t="array" ref="H59">IF(X59="","",INDEX('Inventory - P04'!$J$16:$J$27,(INT((X59-1)/4)+1)))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P04'!$B$16:$B$27,(INT((X60-1)/4)+1))&amp;IF(INDEX('Inventory - P04'!$C$16:$C$27,(INT((X60-1)/4)+1))="",""," ("&amp;INDEX('Inventory - P04'!$C$16:$C$27,(INT((X60-1)/4)+1))&amp;" mg)"))</f>
        <v/>
      </c>
      <c r="D60" s="7" t="str">
        <f t="array" ref="D60">IF(X60="","",INDEX('Inventory - P04'!$K$16:$K$27,(INT((X60-1)/4)+1))-SUMPRODUCT(($B$10:$B$61=B60)*(($I$10:$I$61&lt;&gt;"")+($K$10:$K$61&lt;&gt;"")+($M$10:$M$61&lt;&gt;"")+($O$10:$O$61&lt;&gt;"")+($Q$10:$Q$61&lt;&gt;"")+($S$10:$S$61&lt;&gt;"")+($U$10:$U$61&lt;&gt;""))))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P04'!$D$16:$D$27,(INT((X60-1)/4)+1)))</f>
        <v/>
      </c>
      <c r="F60" s="7" t="str">
        <f t="array" ref="F60">IF(X60="","",INDEX('Inventory - P04'!$E$16:$E$27,(INT((X60-1)/4)+1)))</f>
        <v/>
      </c>
      <c r="G60" s="7" t="str">
        <f t="array" ref="G60">IF(X60="","",INDEX('Inventory - P04'!$I$16:$I$27,(INT((X60-1)/4)+1)))</f>
        <v/>
      </c>
      <c r="H60" s="7" t="str">
        <f t="array" ref="H60">IF(X60="","",INDEX('Inventory - P04'!$J$16:$J$27,(INT((X60-1)/4)+1)))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P04'!$B$16:$B$27,(INT((X61-1)/4)+1))&amp;IF(INDEX('Inventory - P04'!$C$16:$C$27,(INT((X61-1)/4)+1))="",""," ("&amp;INDEX('Inventory - P04'!$C$16:$C$27,(INT((X61-1)/4)+1))&amp;" mg)"))</f>
        <v/>
      </c>
      <c r="D61" s="7" t="str">
        <f t="array" ref="D61">IF(X61="","",INDEX('Inventory - P04'!$K$16:$K$27,(INT((X61-1)/4)+1))-SUMPRODUCT(($B$10:$B$61=B61)*(($I$10:$I$61&lt;&gt;"")+($K$10:$K$61&lt;&gt;"")+($M$10:$M$61&lt;&gt;"")+($O$10:$O$61&lt;&gt;"")+($Q$10:$Q$61&lt;&gt;"")+($S$10:$S$61&lt;&gt;"")+($U$10:$U$61&lt;&gt;""))))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P04'!$D$16:$D$27,(INT((X61-1)/4)+1)))</f>
        <v/>
      </c>
      <c r="F61" s="7" t="str">
        <f t="array" ref="F61">IF(X61="","",INDEX('Inventory - P04'!$E$16:$E$27,(INT((X61-1)/4)+1)))</f>
        <v/>
      </c>
      <c r="G61" s="7" t="str">
        <f t="array" ref="G61">IF(X61="","",INDEX('Inventory - P04'!$I$16:$I$27,(INT((X61-1)/4)+1)))</f>
        <v/>
      </c>
      <c r="H61" s="7" t="str">
        <f t="array" ref="H61">IF(X61="","",INDEX('Inventory - P04'!$J$16:$J$27,(INT((X61-1)/4)+1)))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P04'!E16&lt;1,'Inventory - P04'!F16="",'Inventory - P04'!G16=""),9,MOD('Inventory - P04'!F16+0*'Inventory - P04'!G16/24,1))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P04'!E16&lt;2,'Inventory - P04'!F16="",'Inventory - P04'!G16=""),9,MOD('Inventory - P04'!F16+1*'Inventory - P04'!G16/24,1))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P04'!E16&lt;3,'Inventory - P04'!F16="",'Inventory - P04'!G16=""),9,MOD('Inventory - P04'!F16+2*'Inventory - P04'!G16/24,1))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P04'!E16&lt;4,'Inventory - P04'!F16="",'Inventory - P04'!G16=""),9,MOD('Inventory - P04'!F16+3*'Inventory - P04'!G16/24,1))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P04'!E17&lt;1,'Inventory - P04'!F17="",'Inventory - P04'!G17=""),9,MOD('Inventory - P04'!F17+0*'Inventory - P04'!G17/24,1))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P04'!E17&lt;2,'Inventory - P04'!F17="",'Inventory - P04'!G17=""),9,MOD('Inventory - P04'!F17+1*'Inventory - P04'!G17/24,1))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P04'!E17&lt;3,'Inventory - P04'!F17="",'Inventory - P04'!G17=""),9,MOD('Inventory - P04'!F17+2*'Inventory - P04'!G17/24,1))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P04'!E17&lt;4,'Inventory - P04'!F17="",'Inventory - P04'!G17=""),9,MOD('Inventory - P04'!F17+3*'Inventory - P04'!G17/24,1))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P04'!E18&lt;1,'Inventory - P04'!F18="",'Inventory - P04'!G18=""),9,MOD('Inventory - P04'!F18+0*'Inventory - P04'!G18/24,1))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P04'!E18&lt;2,'Inventory - P04'!F18="",'Inventory - P04'!G18=""),9,MOD('Inventory - P04'!F18+1*'Inventory - P04'!G18/24,1))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P04'!E18&lt;3,'Inventory - P04'!F18="",'Inventory - P04'!G18=""),9,MOD('Inventory - P04'!F18+2*'Inventory - P04'!G18/24,1))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P04'!E18&lt;4,'Inventory - P04'!F18="",'Inventory - P04'!G18=""),9,MOD('Inventory - P04'!F18+3*'Inventory - P04'!G18/24,1))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P04'!E19&lt;1,'Inventory - P04'!F19="",'Inventory - P04'!G19=""),9,MOD('Inventory - P04'!F19+0*'Inventory - P04'!G19/24,1))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P04'!E19&lt;2,'Inventory - P04'!F19="",'Inventory - P04'!G19=""),9,MOD('Inventory - P04'!F19+1*'Inventory - P04'!G19/24,1))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P04'!E19&lt;3,'Inventory - P04'!F19="",'Inventory - P04'!G19=""),9,MOD('Inventory - P04'!F19+2*'Inventory - P04'!G19/24,1))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P04'!E19&lt;4,'Inventory - P04'!F19="",'Inventory - P04'!G19=""),9,MOD('Inventory - P04'!F19+3*'Inventory - P04'!G19/24,1))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P04'!E20&lt;1,'Inventory - P04'!F20="",'Inventory - P04'!G20=""),9,MOD('Inventory - P04'!F20+0*'Inventory - P04'!G20/24,1))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P04'!E20&lt;2,'Inventory - P04'!F20="",'Inventory - P04'!G20=""),9,MOD('Inventory - P04'!F20+1*'Inventory - P04'!G20/24,1))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P04'!E20&lt;3,'Inventory - P04'!F20="",'Inventory - P04'!G20=""),9,MOD('Inventory - P04'!F20+2*'Inventory - P04'!G20/24,1))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P04'!E20&lt;4,'Inventory - P04'!F20="",'Inventory - P04'!G20=""),9,MOD('Inventory - P04'!F20+3*'Inventory - P04'!G20/24,1))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P04'!E21&lt;1,'Inventory - P04'!F21="",'Inventory - P04'!G21=""),9,MOD('Inventory - P04'!F21+0*'Inventory - P04'!G21/24,1))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P04'!E21&lt;2,'Inventory - P04'!F21="",'Inventory - P04'!G21=""),9,MOD('Inventory - P04'!F21+1*'Inventory - P04'!G21/24,1))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P04'!E21&lt;3,'Inventory - P04'!F21="",'Inventory - P04'!G21=""),9,MOD('Inventory - P04'!F21+2*'Inventory - P04'!G21/24,1))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P04'!E21&lt;4,'Inventory - P04'!F21="",'Inventory - P04'!G21=""),9,MOD('Inventory - P04'!F21+3*'Inventory - P04'!G21/24,1))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P04'!E22&lt;1,'Inventory - P04'!F22="",'Inventory - P04'!G22=""),9,MOD('Inventory - P04'!F22+0*'Inventory - P04'!G22/24,1))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P04'!E22&lt;2,'Inventory - P04'!F22="",'Inventory - P04'!G22=""),9,MOD('Inventory - P04'!F22+1*'Inventory - P04'!G22/24,1))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P04'!E22&lt;3,'Inventory - P04'!F22="",'Inventory - P04'!G22=""),9,MOD('Inventory - P04'!F22+2*'Inventory - P04'!G22/24,1))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P04'!E22&lt;4,'Inventory - P04'!F22="",'Inventory - P04'!G22=""),9,MOD('Inventory - P04'!F22+3*'Inventory - P04'!G22/24,1))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P04'!E23&lt;1,'Inventory - P04'!F23="",'Inventory - P04'!G23=""),9,MOD('Inventory - P04'!F23+0*'Inventory - P04'!G23/24,1))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P04'!E23&lt;2,'Inventory - P04'!F23="",'Inventory - P04'!G23=""),9,MOD('Inventory - P04'!F23+1*'Inventory - P04'!G23/24,1))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P04'!E23&lt;3,'Inventory - P04'!F23="",'Inventory - P04'!G23=""),9,MOD('Inventory - P04'!F23+2*'Inventory - P04'!G23/24,1))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P04'!E23&lt;4,'Inventory - P04'!F23="",'Inventory - P04'!G23=""),9,MOD('Inventory - P04'!F23+3*'Inventory - P04'!G23/24,1))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P04'!E24&lt;1,'Inventory - P04'!F24="",'Inventory - P04'!G24=""),9,MOD('Inventory - P04'!F24+0*'Inventory - P04'!G24/24,1))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P04'!E24&lt;2,'Inventory - P04'!F24="",'Inventory - P04'!G24=""),9,MOD('Inventory - P04'!F24+1*'Inventory - P04'!G24/24,1))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P04'!E24&lt;3,'Inventory - P04'!F24="",'Inventory - P04'!G24=""),9,MOD('Inventory - P04'!F24+2*'Inventory - P04'!G24/24,1))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P04'!E24&lt;4,'Inventory - P04'!F24="",'Inventory - P04'!G24=""),9,MOD('Inventory - P04'!F24+3*'Inventory - P04'!G24/24,1))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P04'!E25&lt;1,'Inventory - P04'!F25="",'Inventory - P04'!G25=""),9,MOD('Inventory - P04'!F25+0*'Inventory - P04'!G25/24,1))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P04'!E25&lt;2,'Inventory - P04'!F25="",'Inventory - P04'!G25=""),9,MOD('Inventory - P04'!F25+1*'Inventory - P04'!G25/24,1))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P04'!E25&lt;3,'Inventory - P04'!F25="",'Inventory - P04'!G25=""),9,MOD('Inventory - P04'!F25+2*'Inventory - P04'!G25/24,1))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P04'!E25&lt;4,'Inventory - P04'!F25="",'Inventory - P04'!G25=""),9,MOD('Inventory - P04'!F25+3*'Inventory - P04'!G25/24,1))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P04'!E26&lt;1,'Inventory - P04'!F26="",'Inventory - P04'!G26=""),9,MOD('Inventory - P04'!F26+0*'Inventory - P04'!G26/24,1))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P04'!E26&lt;2,'Inventory - P04'!F26="",'Inventory - P04'!G26=""),9,MOD('Inventory - P04'!F26+1*'Inventory - P04'!G26/24,1))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P04'!E26&lt;3,'Inventory - P04'!F26="",'Inventory - P04'!G26=""),9,MOD('Inventory - P04'!F26+2*'Inventory - P04'!G26/24,1))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P04'!E26&lt;4,'Inventory - P04'!F26="",'Inventory - P04'!G26=""),9,MOD('Inventory - P04'!F26+3*'Inventory - P04'!G26/24,1))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P04'!E27&lt;1,'Inventory - P04'!F27="",'Inventory - P04'!G27=""),9,MOD('Inventory - P04'!F27+0*'Inventory - P04'!G27/24,1))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P04'!E27&lt;2,'Inventory - P04'!F27="",'Inventory - P04'!G27=""),9,MOD('Inventory - P04'!F27+1*'Inventory - P04'!G27/24,1))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P04'!E27&lt;3,'Inventory - P04'!F27="",'Inventory - P04'!G27=""),9,MOD('Inventory - P04'!F27+2*'Inventory - P04'!G27/24,1))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P04'!E27&lt;4,'Inventory - P04'!F27="",'Inventory - P04'!G27=""),9,MOD('Inventory - P04'!F27+3*'Inventory - P04'!G27/24,1))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733" priority="1">
      <formula>$W11&gt;=9</formula>
    </cfRule>
  </conditionalFormatting>
  <conditionalFormatting sqref="A12:V12">
    <cfRule type="expression" dxfId="732" priority="2">
      <formula>$W12&gt;=9</formula>
    </cfRule>
  </conditionalFormatting>
  <conditionalFormatting sqref="A13:V13">
    <cfRule type="expression" dxfId="731" priority="3">
      <formula>$W13&gt;=9</formula>
    </cfRule>
  </conditionalFormatting>
  <conditionalFormatting sqref="A14:V14">
    <cfRule type="expression" dxfId="730" priority="4">
      <formula>$W14&gt;=9</formula>
    </cfRule>
  </conditionalFormatting>
  <conditionalFormatting sqref="A15:V15">
    <cfRule type="expression" dxfId="729" priority="5">
      <formula>$W15&gt;=9</formula>
    </cfRule>
  </conditionalFormatting>
  <conditionalFormatting sqref="A16:V16">
    <cfRule type="expression" dxfId="728" priority="6">
      <formula>$W16&gt;=9</formula>
    </cfRule>
  </conditionalFormatting>
  <conditionalFormatting sqref="A17:V17">
    <cfRule type="expression" dxfId="727" priority="7">
      <formula>$W17&gt;=9</formula>
    </cfRule>
  </conditionalFormatting>
  <conditionalFormatting sqref="A18:V18">
    <cfRule type="expression" dxfId="726" priority="8">
      <formula>$W18&gt;=9</formula>
    </cfRule>
  </conditionalFormatting>
  <conditionalFormatting sqref="A19:V19">
    <cfRule type="expression" dxfId="725" priority="9">
      <formula>$W19&gt;=9</formula>
    </cfRule>
  </conditionalFormatting>
  <conditionalFormatting sqref="A20:V20">
    <cfRule type="expression" dxfId="724" priority="10">
      <formula>$W20&gt;=9</formula>
    </cfRule>
  </conditionalFormatting>
  <conditionalFormatting sqref="A21:V21">
    <cfRule type="expression" dxfId="723" priority="11">
      <formula>$W21&gt;=9</formula>
    </cfRule>
  </conditionalFormatting>
  <conditionalFormatting sqref="A22:V22">
    <cfRule type="expression" dxfId="722" priority="12">
      <formula>$W22&gt;=9</formula>
    </cfRule>
  </conditionalFormatting>
  <conditionalFormatting sqref="A24:V24">
    <cfRule type="expression" dxfId="721" priority="13">
      <formula>$W24&gt;=9</formula>
    </cfRule>
  </conditionalFormatting>
  <conditionalFormatting sqref="A25:V25">
    <cfRule type="expression" dxfId="720" priority="14">
      <formula>$W25&gt;=9</formula>
    </cfRule>
  </conditionalFormatting>
  <conditionalFormatting sqref="A26:V26">
    <cfRule type="expression" dxfId="719" priority="15">
      <formula>$W26&gt;=9</formula>
    </cfRule>
  </conditionalFormatting>
  <conditionalFormatting sqref="A27:V27">
    <cfRule type="expression" dxfId="718" priority="16">
      <formula>$W27&gt;=9</formula>
    </cfRule>
  </conditionalFormatting>
  <conditionalFormatting sqref="A28:V28">
    <cfRule type="expression" dxfId="717" priority="17">
      <formula>$W28&gt;=9</formula>
    </cfRule>
  </conditionalFormatting>
  <conditionalFormatting sqref="A29:V29">
    <cfRule type="expression" dxfId="716" priority="18">
      <formula>$W29&gt;=9</formula>
    </cfRule>
  </conditionalFormatting>
  <conditionalFormatting sqref="A30:V30">
    <cfRule type="expression" dxfId="715" priority="19">
      <formula>$W30&gt;=9</formula>
    </cfRule>
  </conditionalFormatting>
  <conditionalFormatting sqref="A31:V31">
    <cfRule type="expression" dxfId="714" priority="20">
      <formula>$W31&gt;=9</formula>
    </cfRule>
  </conditionalFormatting>
  <conditionalFormatting sqref="A32:V32">
    <cfRule type="expression" dxfId="713" priority="21">
      <formula>$W32&gt;=9</formula>
    </cfRule>
  </conditionalFormatting>
  <conditionalFormatting sqref="A33:V33">
    <cfRule type="expression" dxfId="712" priority="22">
      <formula>$W33&gt;=9</formula>
    </cfRule>
  </conditionalFormatting>
  <conditionalFormatting sqref="A34:V34">
    <cfRule type="expression" dxfId="711" priority="23">
      <formula>$W34&gt;=9</formula>
    </cfRule>
  </conditionalFormatting>
  <conditionalFormatting sqref="A35:V35">
    <cfRule type="expression" dxfId="710" priority="24">
      <formula>$W35&gt;=9</formula>
    </cfRule>
  </conditionalFormatting>
  <conditionalFormatting sqref="A37:V37">
    <cfRule type="expression" dxfId="709" priority="25">
      <formula>$W37&gt;=9</formula>
    </cfRule>
  </conditionalFormatting>
  <conditionalFormatting sqref="A38:V38">
    <cfRule type="expression" dxfId="708" priority="26">
      <formula>$W38&gt;=9</formula>
    </cfRule>
  </conditionalFormatting>
  <conditionalFormatting sqref="A39:V39">
    <cfRule type="expression" dxfId="707" priority="27">
      <formula>$W39&gt;=9</formula>
    </cfRule>
  </conditionalFormatting>
  <conditionalFormatting sqref="A40:V40">
    <cfRule type="expression" dxfId="706" priority="28">
      <formula>$W40&gt;=9</formula>
    </cfRule>
  </conditionalFormatting>
  <conditionalFormatting sqref="A41:V41">
    <cfRule type="expression" dxfId="705" priority="29">
      <formula>$W41&gt;=9</formula>
    </cfRule>
  </conditionalFormatting>
  <conditionalFormatting sqref="A42:V42">
    <cfRule type="expression" dxfId="704" priority="30">
      <formula>$W42&gt;=9</formula>
    </cfRule>
  </conditionalFormatting>
  <conditionalFormatting sqref="A43:V43">
    <cfRule type="expression" dxfId="703" priority="31">
      <formula>$W43&gt;=9</formula>
    </cfRule>
  </conditionalFormatting>
  <conditionalFormatting sqref="A44:V44">
    <cfRule type="expression" dxfId="702" priority="32">
      <formula>$W44&gt;=9</formula>
    </cfRule>
  </conditionalFormatting>
  <conditionalFormatting sqref="A45:V45">
    <cfRule type="expression" dxfId="701" priority="33">
      <formula>$W45&gt;=9</formula>
    </cfRule>
  </conditionalFormatting>
  <conditionalFormatting sqref="A46:V46">
    <cfRule type="expression" dxfId="700" priority="34">
      <formula>$W46&gt;=9</formula>
    </cfRule>
  </conditionalFormatting>
  <conditionalFormatting sqref="A47:V47">
    <cfRule type="expression" dxfId="699" priority="35">
      <formula>$W47&gt;=9</formula>
    </cfRule>
  </conditionalFormatting>
  <conditionalFormatting sqref="A48:V48">
    <cfRule type="expression" dxfId="698" priority="36">
      <formula>$W48&gt;=9</formula>
    </cfRule>
  </conditionalFormatting>
  <conditionalFormatting sqref="A50:V50">
    <cfRule type="expression" dxfId="697" priority="37">
      <formula>$W50&gt;=9</formula>
    </cfRule>
  </conditionalFormatting>
  <conditionalFormatting sqref="A51:V51">
    <cfRule type="expression" dxfId="696" priority="38">
      <formula>$W51&gt;=9</formula>
    </cfRule>
  </conditionalFormatting>
  <conditionalFormatting sqref="A52:V52">
    <cfRule type="expression" dxfId="695" priority="39">
      <formula>$W52&gt;=9</formula>
    </cfRule>
  </conditionalFormatting>
  <conditionalFormatting sqref="A53:V53">
    <cfRule type="expression" dxfId="694" priority="40">
      <formula>$W53&gt;=9</formula>
    </cfRule>
  </conditionalFormatting>
  <conditionalFormatting sqref="A54:V54">
    <cfRule type="expression" dxfId="693" priority="41">
      <formula>$W54&gt;=9</formula>
    </cfRule>
  </conditionalFormatting>
  <conditionalFormatting sqref="A55:V55">
    <cfRule type="expression" dxfId="692" priority="42">
      <formula>$W55&gt;=9</formula>
    </cfRule>
  </conditionalFormatting>
  <conditionalFormatting sqref="A56:V56">
    <cfRule type="expression" dxfId="691" priority="43">
      <formula>$W56&gt;=9</formula>
    </cfRule>
  </conditionalFormatting>
  <conditionalFormatting sqref="A57:V57">
    <cfRule type="expression" dxfId="690" priority="44">
      <formula>$W57&gt;=9</formula>
    </cfRule>
  </conditionalFormatting>
  <conditionalFormatting sqref="A58:V58">
    <cfRule type="expression" dxfId="689" priority="45">
      <formula>$W58&gt;=9</formula>
    </cfRule>
  </conditionalFormatting>
  <conditionalFormatting sqref="A59:V59">
    <cfRule type="expression" dxfId="688" priority="46">
      <formula>$W59&gt;=9</formula>
    </cfRule>
  </conditionalFormatting>
  <conditionalFormatting sqref="A60:V60">
    <cfRule type="expression" dxfId="687" priority="47">
      <formula>$W60&gt;=9</formula>
    </cfRule>
  </conditionalFormatting>
  <conditionalFormatting sqref="A61:V61">
    <cfRule type="expression" dxfId="686" priority="48">
      <formula>$W61&gt;=9</formula>
    </cfRule>
  </conditionalFormatting>
  <conditionalFormatting sqref="H10:H61">
    <cfRule type="cellIs" dxfId="685" priority="49" operator="equal">
      <formula>"Physical"</formula>
    </cfRule>
  </conditionalFormatting>
  <conditionalFormatting sqref="H10:H61">
    <cfRule type="cellIs" dxfId="684" priority="50" operator="equal">
      <formula>"Psychological"</formula>
    </cfRule>
  </conditionalFormatting>
  <conditionalFormatting sqref="G10:G61">
    <cfRule type="cellIs" dxfId="683" priority="51" operator="equal">
      <formula>"Y"</formula>
    </cfRule>
  </conditionalFormatting>
  <conditionalFormatting sqref="G10:G61">
    <cfRule type="cellIs" dxfId="682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Tracker'!B9="","",UPPER(LEFT(TRIM('Client Needs Tracker'!B9),1))&amp;UPPER(MID('Client Needs Tracker'!B9,FIND("@",SUBSTITUTE('Client Needs Tracker'!B9," ","@",LEN('Client Needs Tracker'!B9)-LEN(SUBSTITUTE('Client Needs Tracker'!B9," ",""))))+1,1))&amp;"-"&amp;SUBSTITUTE('Client Needs Tracker'!S9,"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Tracker'!S9="","","INV-"&amp;SUBSTITUTE('Client Needs Tracker'!S9," ",""))</f>
        <v>INV-M-3A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Tracker'!B9="","(Add client on Client Needs Tracker, row 9)",'Client Needs Tracker'!B9)</f>
        <v>(Add client on Client Needs Tracker, row 9)</v>
      </c>
      <c r="B6" s="134"/>
      <c r="C6" s="134"/>
      <c r="D6" s="134"/>
      <c r="E6" s="134"/>
      <c r="F6" s="93">
        <f>'Client Needs Tracker'!A9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Tracker'!C9="","",'Client Needs Tracker'!C9)</f>
        <v/>
      </c>
      <c r="B8" s="134"/>
      <c r="C8" s="134"/>
      <c r="D8" s="134"/>
      <c r="E8" s="134"/>
      <c r="F8" s="95">
        <f>'Client Needs Tracker'!E9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Tracker'!F9="","",'Client Needs Tracker'!F9)</f>
        <v/>
      </c>
      <c r="B10" s="134"/>
      <c r="C10" s="134"/>
      <c r="D10" s="134"/>
      <c r="E10" s="134"/>
      <c r="F10" s="89" t="str">
        <f>IF('Client Status Board'!G9="","",'Client Status Board'!G9)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Board'!L9="","",'Client Status Board'!L9)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P05'!$B$10:$B$61=1)*(('MAR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P05'!$B$10:$B$61=2)*(('MAR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P05'!$B$10:$B$61=3)*(('MAR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P05'!$B$10:$B$61=4)*(('MAR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P05'!$B$10:$B$61=5)*(('MAR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P05'!$B$10:$B$61=6)*(('MAR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P05'!$B$10:$B$61=7)*(('MAR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P05'!$B$10:$B$61=8)*(('MAR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P05'!$B$10:$B$61=9)*(('MAR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P05'!$B$10:$B$61=10)*(('MAR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P05'!$B$10:$B$61=11)*(('MAR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P05'!$B$10:$B$61=12)*(('MAR - P05'!$I$10:$I$61&lt;&gt;"")+('MAR - P05'!$K$10:$K$61&lt;&gt;"")+('MAR - P05'!$M$10:$M$61&lt;&gt;"")+('MAR - P05'!$O$10:$O$61&lt;&gt;"")+('MAR - P05'!$Q$10:$Q$61&lt;&gt;"")+('MAR - P05'!$S$10:$S$61&lt;&gt;"")+('MAR - P05'!$U$10:$U$61&lt;&gt;""))))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681" priority="1" operator="equal">
      <formula>"Physical"</formula>
    </cfRule>
  </conditionalFormatting>
  <conditionalFormatting sqref="J16:J27">
    <cfRule type="cellIs" dxfId="680" priority="2" operator="equal">
      <formula>"Psychological"</formula>
    </cfRule>
  </conditionalFormatting>
  <conditionalFormatting sqref="I16:I27">
    <cfRule type="cellIs" dxfId="679" priority="3" operator="equal">
      <formula>"Y"</formula>
    </cfRule>
  </conditionalFormatting>
  <conditionalFormatting sqref="I16:I27">
    <cfRule type="cellIs" dxfId="678" priority="4" operator="equal">
      <formula>"N"</formula>
    </cfRule>
  </conditionalFormatting>
  <dataValidations count="5">
    <dataValidation type="list" allowBlank="1" sqref="I16:I27" xr:uid="{00000000-0002-0000-0D00-000001000000}">
      <formula1>"Y,N"</formula1>
    </dataValidation>
    <dataValidation type="list" allowBlank="1" sqref="J16:J27" xr:uid="{00000000-0002-0000-0D00-000002000000}">
      <formula1>"Physical,Psychological"</formula1>
    </dataValidation>
    <dataValidation type="list" allowBlank="1" sqref="C16:C27" xr:uid="{00000000-0002-0000-0D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0D00-000004000000}">
      <formula1>"PO,IM,IV,SubQ,Topical,Inhaled,Sublingual,Rectal,Other"</formula1>
    </dataValidation>
    <dataValidation type="list" allowBlank="1" sqref="G16:G27" xr:uid="{00000000-0002-0000-0D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Tracker'!B9="","",UPPER(LEFT(TRIM('Client Needs Tracker'!B9),1))&amp;UPPER(MID('Client Needs Tracker'!B9,FIND("@",SUBSTITUTE('Client Needs Tracker'!B9," ","@",LEN('Client Needs Tracker'!B9)-LEN(SUBSTITUTE('Client Needs Tracker'!B9," ",""))))+1,1))&amp;"-"&amp;SUBSTITUTE('Client Needs Tracker'!S9," ",""))</f>
        <v/>
      </c>
    </row>
    <row r="3" spans="1:33" ht="15" customHeight="1">
      <c r="A3" s="103" t="str">
        <f>IF('Inventory - P05'!A6="","(Enter name in Inventory - P05)",'Inventory - P05'!A6)</f>
        <v>(Add client on Client Needs Tracker, row 9)</v>
      </c>
      <c r="B3" s="145"/>
      <c r="C3" s="145"/>
      <c r="D3" s="145"/>
      <c r="E3" s="145"/>
      <c r="F3" s="104" t="str">
        <f>IF('Inventory - P05'!F6="","(Enter ID in Inventory - P05)","Member ID: "&amp;'Inventory - P05'!F6)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Tracker'!S9="","","INV-"&amp;SUBSTITUTE('Client Needs Tracker'!S9," ",""))</f>
        <v>INV-M-3A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P05'!F8="","-",'Inventory - P05'!F8)</f>
        <v>LOC: 0</v>
      </c>
      <c r="B5" s="106"/>
      <c r="C5" s="2"/>
      <c r="D5" s="102" t="str">
        <f>"Case Manager: "&amp;IF('Inventory - P05'!A10="","-",'Inventory - P05'!A10)</f>
        <v>Case Manager: -</v>
      </c>
      <c r="E5" s="106"/>
      <c r="F5" s="2"/>
      <c r="G5" s="102" t="str">
        <f>"Doctor: "&amp;IF('Inventory - P05'!F10="","-",'Inventory - P05'!F10)</f>
        <v>Doctor: -</v>
      </c>
      <c r="H5" s="106"/>
      <c r="I5" s="2"/>
      <c r="J5" s="102" t="str">
        <f>"Pharmacy: "&amp;IF('Inventory - P05'!A12="","-",'Inventory - P05'!A12)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P05'!A14="","",'Inventory - P05'!A14)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P05'!A14="","",'Inventory - P05'!A14+0)</f>
        <v/>
      </c>
      <c r="J8" s="134"/>
      <c r="K8" s="101" t="str">
        <f>IF('Inventory - P05'!A14="","",'Inventory - P05'!A14+1)</f>
        <v/>
      </c>
      <c r="L8" s="134"/>
      <c r="M8" s="101" t="str">
        <f>IF('Inventory - P05'!A14="","",'Inventory - P05'!A14+2)</f>
        <v/>
      </c>
      <c r="N8" s="134"/>
      <c r="O8" s="101" t="str">
        <f>IF('Inventory - P05'!A14="","",'Inventory - P05'!A14+3)</f>
        <v/>
      </c>
      <c r="P8" s="134"/>
      <c r="Q8" s="101" t="str">
        <f>IF('Inventory - P05'!A14="","",'Inventory - P05'!A14+4)</f>
        <v/>
      </c>
      <c r="R8" s="134"/>
      <c r="S8" s="101" t="str">
        <f>IF('Inventory - P05'!A14="","",'Inventory - P05'!A14+5)</f>
        <v/>
      </c>
      <c r="T8" s="134"/>
      <c r="U8" s="101" t="str">
        <f>IF('Inventory - P05'!A14="","",'Inventory - P05'!A14+6)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P05'!$B$16:$B$27,(INT((X11-1)/4)+1))&amp;IF(INDEX('Inventory - P05'!$C$16:$C$27,(INT((X11-1)/4)+1))="",""," ("&amp;INDEX('Inventory - P05'!$C$16:$C$27,(INT((X11-1)/4)+1))&amp;" mg)"))</f>
        <v/>
      </c>
      <c r="D11" s="7" t="str">
        <f t="array" ref="D11">IF(X11="","",INDEX('Inventory - P05'!$K$16:$K$27,(INT((X11-1)/4)+1))-SUMPRODUCT(($B$10:$B$61=B11)*(($I$10:$I$61&lt;&gt;"")+($K$10:$K$61&lt;&gt;"")+($M$10:$M$61&lt;&gt;"")+($O$10:$O$61&lt;&gt;"")+($Q$10:$Q$61&lt;&gt;"")+($S$10:$S$61&lt;&gt;"")+($U$10:$U$61&lt;&gt;""))))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P05'!$D$16:$D$27,(INT((X11-1)/4)+1)))</f>
        <v/>
      </c>
      <c r="F11" s="7" t="str">
        <f t="array" ref="F11">IF(X11="","",INDEX('Inventory - P05'!$E$16:$E$27,(INT((X11-1)/4)+1)))</f>
        <v/>
      </c>
      <c r="G11" s="7" t="str">
        <f t="array" ref="G11">IF(X11="","",INDEX('Inventory - P05'!$I$16:$I$27,(INT((X11-1)/4)+1)))</f>
        <v/>
      </c>
      <c r="H11" s="7" t="str">
        <f t="array" ref="H11">IF(X11="","",INDEX('Inventory - P05'!$J$16:$J$27,(INT((X11-1)/4)+1)))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P05'!$B$16:$B$27,(INT((X12-1)/4)+1))&amp;IF(INDEX('Inventory - P05'!$C$16:$C$27,(INT((X12-1)/4)+1))="",""," ("&amp;INDEX('Inventory - P05'!$C$16:$C$27,(INT((X12-1)/4)+1))&amp;" mg)"))</f>
        <v/>
      </c>
      <c r="D12" s="7" t="str">
        <f t="array" ref="D12">IF(X12="","",INDEX('Inventory - P05'!$K$16:$K$27,(INT((X12-1)/4)+1))-SUMPRODUCT(($B$10:$B$61=B12)*(($I$10:$I$61&lt;&gt;"")+($K$10:$K$61&lt;&gt;"")+($M$10:$M$61&lt;&gt;"")+($O$10:$O$61&lt;&gt;"")+($Q$10:$Q$61&lt;&gt;"")+($S$10:$S$61&lt;&gt;"")+($U$10:$U$61&lt;&gt;""))))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P05'!$D$16:$D$27,(INT((X12-1)/4)+1)))</f>
        <v/>
      </c>
      <c r="F12" s="7" t="str">
        <f t="array" ref="F12">IF(X12="","",INDEX('Inventory - P05'!$E$16:$E$27,(INT((X12-1)/4)+1)))</f>
        <v/>
      </c>
      <c r="G12" s="7" t="str">
        <f t="array" ref="G12">IF(X12="","",INDEX('Inventory - P05'!$I$16:$I$27,(INT((X12-1)/4)+1)))</f>
        <v/>
      </c>
      <c r="H12" s="7" t="str">
        <f t="array" ref="H12">IF(X12="","",INDEX('Inventory - P05'!$J$16:$J$27,(INT((X12-1)/4)+1)))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P05'!$B$16:$B$27,(INT((X13-1)/4)+1))&amp;IF(INDEX('Inventory - P05'!$C$16:$C$27,(INT((X13-1)/4)+1))="",""," ("&amp;INDEX('Inventory - P05'!$C$16:$C$27,(INT((X13-1)/4)+1))&amp;" mg)"))</f>
        <v/>
      </c>
      <c r="D13" s="7" t="str">
        <f t="array" ref="D13">IF(X13="","",INDEX('Inventory - P05'!$K$16:$K$27,(INT((X13-1)/4)+1))-SUMPRODUCT(($B$10:$B$61=B13)*(($I$10:$I$61&lt;&gt;"")+($K$10:$K$61&lt;&gt;"")+($M$10:$M$61&lt;&gt;"")+($O$10:$O$61&lt;&gt;"")+($Q$10:$Q$61&lt;&gt;"")+($S$10:$S$61&lt;&gt;"")+($U$10:$U$61&lt;&gt;""))))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P05'!$D$16:$D$27,(INT((X13-1)/4)+1)))</f>
        <v/>
      </c>
      <c r="F13" s="7" t="str">
        <f t="array" ref="F13">IF(X13="","",INDEX('Inventory - P05'!$E$16:$E$27,(INT((X13-1)/4)+1)))</f>
        <v/>
      </c>
      <c r="G13" s="7" t="str">
        <f t="array" ref="G13">IF(X13="","",INDEX('Inventory - P05'!$I$16:$I$27,(INT((X13-1)/4)+1)))</f>
        <v/>
      </c>
      <c r="H13" s="7" t="str">
        <f t="array" ref="H13">IF(X13="","",INDEX('Inventory - P05'!$J$16:$J$27,(INT((X13-1)/4)+1)))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P05'!$B$16:$B$27,(INT((X14-1)/4)+1))&amp;IF(INDEX('Inventory - P05'!$C$16:$C$27,(INT((X14-1)/4)+1))="",""," ("&amp;INDEX('Inventory - P05'!$C$16:$C$27,(INT((X14-1)/4)+1))&amp;" mg)"))</f>
        <v/>
      </c>
      <c r="D14" s="7" t="str">
        <f t="array" ref="D14">IF(X14="","",INDEX('Inventory - P05'!$K$16:$K$27,(INT((X14-1)/4)+1))-SUMPRODUCT(($B$10:$B$61=B14)*(($I$10:$I$61&lt;&gt;"")+($K$10:$K$61&lt;&gt;"")+($M$10:$M$61&lt;&gt;"")+($O$10:$O$61&lt;&gt;"")+($Q$10:$Q$61&lt;&gt;"")+($S$10:$S$61&lt;&gt;"")+($U$10:$U$61&lt;&gt;""))))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P05'!$D$16:$D$27,(INT((X14-1)/4)+1)))</f>
        <v/>
      </c>
      <c r="F14" s="7" t="str">
        <f t="array" ref="F14">IF(X14="","",INDEX('Inventory - P05'!$E$16:$E$27,(INT((X14-1)/4)+1)))</f>
        <v/>
      </c>
      <c r="G14" s="7" t="str">
        <f t="array" ref="G14">IF(X14="","",INDEX('Inventory - P05'!$I$16:$I$27,(INT((X14-1)/4)+1)))</f>
        <v/>
      </c>
      <c r="H14" s="7" t="str">
        <f t="array" ref="H14">IF(X14="","",INDEX('Inventory - P05'!$J$16:$J$27,(INT((X14-1)/4)+1)))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P05'!$B$16:$B$27,(INT((X15-1)/4)+1))&amp;IF(INDEX('Inventory - P05'!$C$16:$C$27,(INT((X15-1)/4)+1))="",""," ("&amp;INDEX('Inventory - P05'!$C$16:$C$27,(INT((X15-1)/4)+1))&amp;" mg)"))</f>
        <v/>
      </c>
      <c r="D15" s="7" t="str">
        <f t="array" ref="D15">IF(X15="","",INDEX('Inventory - P05'!$K$16:$K$27,(INT((X15-1)/4)+1))-SUMPRODUCT(($B$10:$B$61=B15)*(($I$10:$I$61&lt;&gt;"")+($K$10:$K$61&lt;&gt;"")+($M$10:$M$61&lt;&gt;"")+($O$10:$O$61&lt;&gt;"")+($Q$10:$Q$61&lt;&gt;"")+($S$10:$S$61&lt;&gt;"")+($U$10:$U$61&lt;&gt;""))))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P05'!$D$16:$D$27,(INT((X15-1)/4)+1)))</f>
        <v/>
      </c>
      <c r="F15" s="7" t="str">
        <f t="array" ref="F15">IF(X15="","",INDEX('Inventory - P05'!$E$16:$E$27,(INT((X15-1)/4)+1)))</f>
        <v/>
      </c>
      <c r="G15" s="7" t="str">
        <f t="array" ref="G15">IF(X15="","",INDEX('Inventory - P05'!$I$16:$I$27,(INT((X15-1)/4)+1)))</f>
        <v/>
      </c>
      <c r="H15" s="7" t="str">
        <f t="array" ref="H15">IF(X15="","",INDEX('Inventory - P05'!$J$16:$J$27,(INT((X15-1)/4)+1)))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P05'!$B$16:$B$27,(INT((X16-1)/4)+1))&amp;IF(INDEX('Inventory - P05'!$C$16:$C$27,(INT((X16-1)/4)+1))="",""," ("&amp;INDEX('Inventory - P05'!$C$16:$C$27,(INT((X16-1)/4)+1))&amp;" mg)"))</f>
        <v/>
      </c>
      <c r="D16" s="7" t="str">
        <f t="array" ref="D16">IF(X16="","",INDEX('Inventory - P05'!$K$16:$K$27,(INT((X16-1)/4)+1))-SUMPRODUCT(($B$10:$B$61=B16)*(($I$10:$I$61&lt;&gt;"")+($K$10:$K$61&lt;&gt;"")+($M$10:$M$61&lt;&gt;"")+($O$10:$O$61&lt;&gt;"")+($Q$10:$Q$61&lt;&gt;"")+($S$10:$S$61&lt;&gt;"")+($U$10:$U$61&lt;&gt;""))))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P05'!$D$16:$D$27,(INT((X16-1)/4)+1)))</f>
        <v/>
      </c>
      <c r="F16" s="7" t="str">
        <f t="array" ref="F16">IF(X16="","",INDEX('Inventory - P05'!$E$16:$E$27,(INT((X16-1)/4)+1)))</f>
        <v/>
      </c>
      <c r="G16" s="7" t="str">
        <f t="array" ref="G16">IF(X16="","",INDEX('Inventory - P05'!$I$16:$I$27,(INT((X16-1)/4)+1)))</f>
        <v/>
      </c>
      <c r="H16" s="7" t="str">
        <f t="array" ref="H16">IF(X16="","",INDEX('Inventory - P05'!$J$16:$J$27,(INT((X16-1)/4)+1)))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P05'!$B$16:$B$27,(INT((X17-1)/4)+1))&amp;IF(INDEX('Inventory - P05'!$C$16:$C$27,(INT((X17-1)/4)+1))="",""," ("&amp;INDEX('Inventory - P05'!$C$16:$C$27,(INT((X17-1)/4)+1))&amp;" mg)"))</f>
        <v/>
      </c>
      <c r="D17" s="7" t="str">
        <f t="array" ref="D17">IF(X17="","",INDEX('Inventory - P05'!$K$16:$K$27,(INT((X17-1)/4)+1))-SUMPRODUCT(($B$10:$B$61=B17)*(($I$10:$I$61&lt;&gt;"")+($K$10:$K$61&lt;&gt;"")+($M$10:$M$61&lt;&gt;"")+($O$10:$O$61&lt;&gt;"")+($Q$10:$Q$61&lt;&gt;"")+($S$10:$S$61&lt;&gt;"")+($U$10:$U$61&lt;&gt;""))))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P05'!$D$16:$D$27,(INT((X17-1)/4)+1)))</f>
        <v/>
      </c>
      <c r="F17" s="7" t="str">
        <f t="array" ref="F17">IF(X17="","",INDEX('Inventory - P05'!$E$16:$E$27,(INT((X17-1)/4)+1)))</f>
        <v/>
      </c>
      <c r="G17" s="7" t="str">
        <f t="array" ref="G17">IF(X17="","",INDEX('Inventory - P05'!$I$16:$I$27,(INT((X17-1)/4)+1)))</f>
        <v/>
      </c>
      <c r="H17" s="7" t="str">
        <f t="array" ref="H17">IF(X17="","",INDEX('Inventory - P05'!$J$16:$J$27,(INT((X17-1)/4)+1)))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P05'!$B$16:$B$27,(INT((X18-1)/4)+1))&amp;IF(INDEX('Inventory - P05'!$C$16:$C$27,(INT((X18-1)/4)+1))="",""," ("&amp;INDEX('Inventory - P05'!$C$16:$C$27,(INT((X18-1)/4)+1))&amp;" mg)"))</f>
        <v/>
      </c>
      <c r="D18" s="7" t="str">
        <f t="array" ref="D18">IF(X18="","",INDEX('Inventory - P05'!$K$16:$K$27,(INT((X18-1)/4)+1))-SUMPRODUCT(($B$10:$B$61=B18)*(($I$10:$I$61&lt;&gt;"")+($K$10:$K$61&lt;&gt;"")+($M$10:$M$61&lt;&gt;"")+($O$10:$O$61&lt;&gt;"")+($Q$10:$Q$61&lt;&gt;"")+($S$10:$S$61&lt;&gt;"")+($U$10:$U$61&lt;&gt;""))))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P05'!$D$16:$D$27,(INT((X18-1)/4)+1)))</f>
        <v/>
      </c>
      <c r="F18" s="7" t="str">
        <f t="array" ref="F18">IF(X18="","",INDEX('Inventory - P05'!$E$16:$E$27,(INT((X18-1)/4)+1)))</f>
        <v/>
      </c>
      <c r="G18" s="7" t="str">
        <f t="array" ref="G18">IF(X18="","",INDEX('Inventory - P05'!$I$16:$I$27,(INT((X18-1)/4)+1)))</f>
        <v/>
      </c>
      <c r="H18" s="7" t="str">
        <f t="array" ref="H18">IF(X18="","",INDEX('Inventory - P05'!$J$16:$J$27,(INT((X18-1)/4)+1)))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P05'!$B$16:$B$27,(INT((X19-1)/4)+1))&amp;IF(INDEX('Inventory - P05'!$C$16:$C$27,(INT((X19-1)/4)+1))="",""," ("&amp;INDEX('Inventory - P05'!$C$16:$C$27,(INT((X19-1)/4)+1))&amp;" mg)"))</f>
        <v/>
      </c>
      <c r="D19" s="7" t="str">
        <f t="array" ref="D19">IF(X19="","",INDEX('Inventory - P05'!$K$16:$K$27,(INT((X19-1)/4)+1))-SUMPRODUCT(($B$10:$B$61=B19)*(($I$10:$I$61&lt;&gt;"")+($K$10:$K$61&lt;&gt;"")+($M$10:$M$61&lt;&gt;"")+($O$10:$O$61&lt;&gt;"")+($Q$10:$Q$61&lt;&gt;"")+($S$10:$S$61&lt;&gt;"")+($U$10:$U$61&lt;&gt;""))))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P05'!$D$16:$D$27,(INT((X19-1)/4)+1)))</f>
        <v/>
      </c>
      <c r="F19" s="7" t="str">
        <f t="array" ref="F19">IF(X19="","",INDEX('Inventory - P05'!$E$16:$E$27,(INT((X19-1)/4)+1)))</f>
        <v/>
      </c>
      <c r="G19" s="7" t="str">
        <f t="array" ref="G19">IF(X19="","",INDEX('Inventory - P05'!$I$16:$I$27,(INT((X19-1)/4)+1)))</f>
        <v/>
      </c>
      <c r="H19" s="7" t="str">
        <f t="array" ref="H19">IF(X19="","",INDEX('Inventory - P05'!$J$16:$J$27,(INT((X19-1)/4)+1)))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P05'!$B$16:$B$27,(INT((X20-1)/4)+1))&amp;IF(INDEX('Inventory - P05'!$C$16:$C$27,(INT((X20-1)/4)+1))="",""," ("&amp;INDEX('Inventory - P05'!$C$16:$C$27,(INT((X20-1)/4)+1))&amp;" mg)"))</f>
        <v/>
      </c>
      <c r="D20" s="7" t="str">
        <f t="array" ref="D20">IF(X20="","",INDEX('Inventory - P05'!$K$16:$K$27,(INT((X20-1)/4)+1))-SUMPRODUCT(($B$10:$B$61=B20)*(($I$10:$I$61&lt;&gt;"")+($K$10:$K$61&lt;&gt;"")+($M$10:$M$61&lt;&gt;"")+($O$10:$O$61&lt;&gt;"")+($Q$10:$Q$61&lt;&gt;"")+($S$10:$S$61&lt;&gt;"")+($U$10:$U$61&lt;&gt;""))))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P05'!$D$16:$D$27,(INT((X20-1)/4)+1)))</f>
        <v/>
      </c>
      <c r="F20" s="7" t="str">
        <f t="array" ref="F20">IF(X20="","",INDEX('Inventory - P05'!$E$16:$E$27,(INT((X20-1)/4)+1)))</f>
        <v/>
      </c>
      <c r="G20" s="7" t="str">
        <f t="array" ref="G20">IF(X20="","",INDEX('Inventory - P05'!$I$16:$I$27,(INT((X20-1)/4)+1)))</f>
        <v/>
      </c>
      <c r="H20" s="7" t="str">
        <f t="array" ref="H20">IF(X20="","",INDEX('Inventory - P05'!$J$16:$J$27,(INT((X20-1)/4)+1)))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P05'!$B$16:$B$27,(INT((X21-1)/4)+1))&amp;IF(INDEX('Inventory - P05'!$C$16:$C$27,(INT((X21-1)/4)+1))="",""," ("&amp;INDEX('Inventory - P05'!$C$16:$C$27,(INT((X21-1)/4)+1))&amp;" mg)"))</f>
        <v/>
      </c>
      <c r="D21" s="7" t="str">
        <f t="array" ref="D21">IF(X21="","",INDEX('Inventory - P05'!$K$16:$K$27,(INT((X21-1)/4)+1))-SUMPRODUCT(($B$10:$B$61=B21)*(($I$10:$I$61&lt;&gt;"")+($K$10:$K$61&lt;&gt;"")+($M$10:$M$61&lt;&gt;"")+($O$10:$O$61&lt;&gt;"")+($Q$10:$Q$61&lt;&gt;"")+($S$10:$S$61&lt;&gt;"")+($U$10:$U$61&lt;&gt;""))))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P05'!$D$16:$D$27,(INT((X21-1)/4)+1)))</f>
        <v/>
      </c>
      <c r="F21" s="7" t="str">
        <f t="array" ref="F21">IF(X21="","",INDEX('Inventory - P05'!$E$16:$E$27,(INT((X21-1)/4)+1)))</f>
        <v/>
      </c>
      <c r="G21" s="7" t="str">
        <f t="array" ref="G21">IF(X21="","",INDEX('Inventory - P05'!$I$16:$I$27,(INT((X21-1)/4)+1)))</f>
        <v/>
      </c>
      <c r="H21" s="7" t="str">
        <f t="array" ref="H21">IF(X21="","",INDEX('Inventory - P05'!$J$16:$J$27,(INT((X21-1)/4)+1)))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P05'!$B$16:$B$27,(INT((X22-1)/4)+1))&amp;IF(INDEX('Inventory - P05'!$C$16:$C$27,(INT((X22-1)/4)+1))="",""," ("&amp;INDEX('Inventory - P05'!$C$16:$C$27,(INT((X22-1)/4)+1))&amp;" mg)"))</f>
        <v/>
      </c>
      <c r="D22" s="7" t="str">
        <f t="array" ref="D22">IF(X22="","",INDEX('Inventory - P05'!$K$16:$K$27,(INT((X22-1)/4)+1))-SUMPRODUCT(($B$10:$B$61=B22)*(($I$10:$I$61&lt;&gt;"")+($K$10:$K$61&lt;&gt;"")+($M$10:$M$61&lt;&gt;"")+($O$10:$O$61&lt;&gt;"")+($Q$10:$Q$61&lt;&gt;"")+($S$10:$S$61&lt;&gt;"")+($U$10:$U$61&lt;&gt;""))))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P05'!$D$16:$D$27,(INT((X22-1)/4)+1)))</f>
        <v/>
      </c>
      <c r="F22" s="7" t="str">
        <f t="array" ref="F22">IF(X22="","",INDEX('Inventory - P05'!$E$16:$E$27,(INT((X22-1)/4)+1)))</f>
        <v/>
      </c>
      <c r="G22" s="7" t="str">
        <f t="array" ref="G22">IF(X22="","",INDEX('Inventory - P05'!$I$16:$I$27,(INT((X22-1)/4)+1)))</f>
        <v/>
      </c>
      <c r="H22" s="7" t="str">
        <f t="array" ref="H22">IF(X22="","",INDEX('Inventory - P05'!$J$16:$J$27,(INT((X22-1)/4)+1)))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P05'!$B$16:$B$27,(INT((X24-1)/4)+1))&amp;IF(INDEX('Inventory - P05'!$C$16:$C$27,(INT((X24-1)/4)+1))="",""," ("&amp;INDEX('Inventory - P05'!$C$16:$C$27,(INT((X24-1)/4)+1))&amp;" mg)"))</f>
        <v/>
      </c>
      <c r="D24" s="7" t="str">
        <f t="array" ref="D24">IF(X24="","",INDEX('Inventory - P05'!$K$16:$K$27,(INT((X24-1)/4)+1))-SUMPRODUCT(($B$10:$B$61=B24)*(($I$10:$I$61&lt;&gt;"")+($K$10:$K$61&lt;&gt;"")+($M$10:$M$61&lt;&gt;"")+($O$10:$O$61&lt;&gt;"")+($Q$10:$Q$61&lt;&gt;"")+($S$10:$S$61&lt;&gt;"")+($U$10:$U$61&lt;&gt;""))))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P05'!$D$16:$D$27,(INT((X24-1)/4)+1)))</f>
        <v/>
      </c>
      <c r="F24" s="7" t="str">
        <f t="array" ref="F24">IF(X24="","",INDEX('Inventory - P05'!$E$16:$E$27,(INT((X24-1)/4)+1)))</f>
        <v/>
      </c>
      <c r="G24" s="7" t="str">
        <f t="array" ref="G24">IF(X24="","",INDEX('Inventory - P05'!$I$16:$I$27,(INT((X24-1)/4)+1)))</f>
        <v/>
      </c>
      <c r="H24" s="7" t="str">
        <f t="array" ref="H24">IF(X24="","",INDEX('Inventory - P05'!$J$16:$J$27,(INT((X24-1)/4)+1)))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P05'!$B$16:$B$27,(INT((X25-1)/4)+1))&amp;IF(INDEX('Inventory - P05'!$C$16:$C$27,(INT((X25-1)/4)+1))="",""," ("&amp;INDEX('Inventory - P05'!$C$16:$C$27,(INT((X25-1)/4)+1))&amp;" mg)"))</f>
        <v/>
      </c>
      <c r="D25" s="7" t="str">
        <f t="array" ref="D25">IF(X25="","",INDEX('Inventory - P05'!$K$16:$K$27,(INT((X25-1)/4)+1))-SUMPRODUCT(($B$10:$B$61=B25)*(($I$10:$I$61&lt;&gt;"")+($K$10:$K$61&lt;&gt;"")+($M$10:$M$61&lt;&gt;"")+($O$10:$O$61&lt;&gt;"")+($Q$10:$Q$61&lt;&gt;"")+($S$10:$S$61&lt;&gt;"")+($U$10:$U$61&lt;&gt;""))))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P05'!$D$16:$D$27,(INT((X25-1)/4)+1)))</f>
        <v/>
      </c>
      <c r="F25" s="7" t="str">
        <f t="array" ref="F25">IF(X25="","",INDEX('Inventory - P05'!$E$16:$E$27,(INT((X25-1)/4)+1)))</f>
        <v/>
      </c>
      <c r="G25" s="7" t="str">
        <f t="array" ref="G25">IF(X25="","",INDEX('Inventory - P05'!$I$16:$I$27,(INT((X25-1)/4)+1)))</f>
        <v/>
      </c>
      <c r="H25" s="7" t="str">
        <f t="array" ref="H25">IF(X25="","",INDEX('Inventory - P05'!$J$16:$J$27,(INT((X25-1)/4)+1)))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P05'!$B$16:$B$27,(INT((X26-1)/4)+1))&amp;IF(INDEX('Inventory - P05'!$C$16:$C$27,(INT((X26-1)/4)+1))="",""," ("&amp;INDEX('Inventory - P05'!$C$16:$C$27,(INT((X26-1)/4)+1))&amp;" mg)"))</f>
        <v/>
      </c>
      <c r="D26" s="7" t="str">
        <f t="array" ref="D26">IF(X26="","",INDEX('Inventory - P05'!$K$16:$K$27,(INT((X26-1)/4)+1))-SUMPRODUCT(($B$10:$B$61=B26)*(($I$10:$I$61&lt;&gt;"")+($K$10:$K$61&lt;&gt;"")+($M$10:$M$61&lt;&gt;"")+($O$10:$O$61&lt;&gt;"")+($Q$10:$Q$61&lt;&gt;"")+($S$10:$S$61&lt;&gt;"")+($U$10:$U$61&lt;&gt;""))))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P05'!$D$16:$D$27,(INT((X26-1)/4)+1)))</f>
        <v/>
      </c>
      <c r="F26" s="7" t="str">
        <f t="array" ref="F26">IF(X26="","",INDEX('Inventory - P05'!$E$16:$E$27,(INT((X26-1)/4)+1)))</f>
        <v/>
      </c>
      <c r="G26" s="7" t="str">
        <f t="array" ref="G26">IF(X26="","",INDEX('Inventory - P05'!$I$16:$I$27,(INT((X26-1)/4)+1)))</f>
        <v/>
      </c>
      <c r="H26" s="7" t="str">
        <f t="array" ref="H26">IF(X26="","",INDEX('Inventory - P05'!$J$16:$J$27,(INT((X26-1)/4)+1)))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P05'!$B$16:$B$27,(INT((X27-1)/4)+1))&amp;IF(INDEX('Inventory - P05'!$C$16:$C$27,(INT((X27-1)/4)+1))="",""," ("&amp;INDEX('Inventory - P05'!$C$16:$C$27,(INT((X27-1)/4)+1))&amp;" mg)"))</f>
        <v/>
      </c>
      <c r="D27" s="7" t="str">
        <f t="array" ref="D27">IF(X27="","",INDEX('Inventory - P05'!$K$16:$K$27,(INT((X27-1)/4)+1))-SUMPRODUCT(($B$10:$B$61=B27)*(($I$10:$I$61&lt;&gt;"")+($K$10:$K$61&lt;&gt;"")+($M$10:$M$61&lt;&gt;"")+($O$10:$O$61&lt;&gt;"")+($Q$10:$Q$61&lt;&gt;"")+($S$10:$S$61&lt;&gt;"")+($U$10:$U$61&lt;&gt;""))))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P05'!$D$16:$D$27,(INT((X27-1)/4)+1)))</f>
        <v/>
      </c>
      <c r="F27" s="7" t="str">
        <f t="array" ref="F27">IF(X27="","",INDEX('Inventory - P05'!$E$16:$E$27,(INT((X27-1)/4)+1)))</f>
        <v/>
      </c>
      <c r="G27" s="7" t="str">
        <f t="array" ref="G27">IF(X27="","",INDEX('Inventory - P05'!$I$16:$I$27,(INT((X27-1)/4)+1)))</f>
        <v/>
      </c>
      <c r="H27" s="7" t="str">
        <f t="array" ref="H27">IF(X27="","",INDEX('Inventory - P05'!$J$16:$J$27,(INT((X27-1)/4)+1)))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P05'!$B$16:$B$27,(INT((X28-1)/4)+1))&amp;IF(INDEX('Inventory - P05'!$C$16:$C$27,(INT((X28-1)/4)+1))="",""," ("&amp;INDEX('Inventory - P05'!$C$16:$C$27,(INT((X28-1)/4)+1))&amp;" mg)"))</f>
        <v/>
      </c>
      <c r="D28" s="7" t="str">
        <f t="array" ref="D28">IF(X28="","",INDEX('Inventory - P05'!$K$16:$K$27,(INT((X28-1)/4)+1))-SUMPRODUCT(($B$10:$B$61=B28)*(($I$10:$I$61&lt;&gt;"")+($K$10:$K$61&lt;&gt;"")+($M$10:$M$61&lt;&gt;"")+($O$10:$O$61&lt;&gt;"")+($Q$10:$Q$61&lt;&gt;"")+($S$10:$S$61&lt;&gt;"")+($U$10:$U$61&lt;&gt;""))))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P05'!$D$16:$D$27,(INT((X28-1)/4)+1)))</f>
        <v/>
      </c>
      <c r="F28" s="7" t="str">
        <f t="array" ref="F28">IF(X28="","",INDEX('Inventory - P05'!$E$16:$E$27,(INT((X28-1)/4)+1)))</f>
        <v/>
      </c>
      <c r="G28" s="7" t="str">
        <f t="array" ref="G28">IF(X28="","",INDEX('Inventory - P05'!$I$16:$I$27,(INT((X28-1)/4)+1)))</f>
        <v/>
      </c>
      <c r="H28" s="7" t="str">
        <f t="array" ref="H28">IF(X28="","",INDEX('Inventory - P05'!$J$16:$J$27,(INT((X28-1)/4)+1)))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P05'!$B$16:$B$27,(INT((X29-1)/4)+1))&amp;IF(INDEX('Inventory - P05'!$C$16:$C$27,(INT((X29-1)/4)+1))="",""," ("&amp;INDEX('Inventory - P05'!$C$16:$C$27,(INT((X29-1)/4)+1))&amp;" mg)"))</f>
        <v/>
      </c>
      <c r="D29" s="7" t="str">
        <f t="array" ref="D29">IF(X29="","",INDEX('Inventory - P05'!$K$16:$K$27,(INT((X29-1)/4)+1))-SUMPRODUCT(($B$10:$B$61=B29)*(($I$10:$I$61&lt;&gt;"")+($K$10:$K$61&lt;&gt;"")+($M$10:$M$61&lt;&gt;"")+($O$10:$O$61&lt;&gt;"")+($Q$10:$Q$61&lt;&gt;"")+($S$10:$S$61&lt;&gt;"")+($U$10:$U$61&lt;&gt;""))))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P05'!$D$16:$D$27,(INT((X29-1)/4)+1)))</f>
        <v/>
      </c>
      <c r="F29" s="7" t="str">
        <f t="array" ref="F29">IF(X29="","",INDEX('Inventory - P05'!$E$16:$E$27,(INT((X29-1)/4)+1)))</f>
        <v/>
      </c>
      <c r="G29" s="7" t="str">
        <f t="array" ref="G29">IF(X29="","",INDEX('Inventory - P05'!$I$16:$I$27,(INT((X29-1)/4)+1)))</f>
        <v/>
      </c>
      <c r="H29" s="7" t="str">
        <f t="array" ref="H29">IF(X29="","",INDEX('Inventory - P05'!$J$16:$J$27,(INT((X29-1)/4)+1)))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P05'!$B$16:$B$27,(INT((X30-1)/4)+1))&amp;IF(INDEX('Inventory - P05'!$C$16:$C$27,(INT((X30-1)/4)+1))="",""," ("&amp;INDEX('Inventory - P05'!$C$16:$C$27,(INT((X30-1)/4)+1))&amp;" mg)"))</f>
        <v/>
      </c>
      <c r="D30" s="7" t="str">
        <f t="array" ref="D30">IF(X30="","",INDEX('Inventory - P05'!$K$16:$K$27,(INT((X30-1)/4)+1))-SUMPRODUCT(($B$10:$B$61=B30)*(($I$10:$I$61&lt;&gt;"")+($K$10:$K$61&lt;&gt;"")+($M$10:$M$61&lt;&gt;"")+($O$10:$O$61&lt;&gt;"")+($Q$10:$Q$61&lt;&gt;"")+($S$10:$S$61&lt;&gt;"")+($U$10:$U$61&lt;&gt;""))))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P05'!$D$16:$D$27,(INT((X30-1)/4)+1)))</f>
        <v/>
      </c>
      <c r="F30" s="7" t="str">
        <f t="array" ref="F30">IF(X30="","",INDEX('Inventory - P05'!$E$16:$E$27,(INT((X30-1)/4)+1)))</f>
        <v/>
      </c>
      <c r="G30" s="7" t="str">
        <f t="array" ref="G30">IF(X30="","",INDEX('Inventory - P05'!$I$16:$I$27,(INT((X30-1)/4)+1)))</f>
        <v/>
      </c>
      <c r="H30" s="7" t="str">
        <f t="array" ref="H30">IF(X30="","",INDEX('Inventory - P05'!$J$16:$J$27,(INT((X30-1)/4)+1)))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P05'!$B$16:$B$27,(INT((X31-1)/4)+1))&amp;IF(INDEX('Inventory - P05'!$C$16:$C$27,(INT((X31-1)/4)+1))="",""," ("&amp;INDEX('Inventory - P05'!$C$16:$C$27,(INT((X31-1)/4)+1))&amp;" mg)"))</f>
        <v/>
      </c>
      <c r="D31" s="7" t="str">
        <f t="array" ref="D31">IF(X31="","",INDEX('Inventory - P05'!$K$16:$K$27,(INT((X31-1)/4)+1))-SUMPRODUCT(($B$10:$B$61=B31)*(($I$10:$I$61&lt;&gt;"")+($K$10:$K$61&lt;&gt;"")+($M$10:$M$61&lt;&gt;"")+($O$10:$O$61&lt;&gt;"")+($Q$10:$Q$61&lt;&gt;"")+($S$10:$S$61&lt;&gt;"")+($U$10:$U$61&lt;&gt;""))))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P05'!$D$16:$D$27,(INT((X31-1)/4)+1)))</f>
        <v/>
      </c>
      <c r="F31" s="7" t="str">
        <f t="array" ref="F31">IF(X31="","",INDEX('Inventory - P05'!$E$16:$E$27,(INT((X31-1)/4)+1)))</f>
        <v/>
      </c>
      <c r="G31" s="7" t="str">
        <f t="array" ref="G31">IF(X31="","",INDEX('Inventory - P05'!$I$16:$I$27,(INT((X31-1)/4)+1)))</f>
        <v/>
      </c>
      <c r="H31" s="7" t="str">
        <f t="array" ref="H31">IF(X31="","",INDEX('Inventory - P05'!$J$16:$J$27,(INT((X31-1)/4)+1)))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P05'!$B$16:$B$27,(INT((X32-1)/4)+1))&amp;IF(INDEX('Inventory - P05'!$C$16:$C$27,(INT((X32-1)/4)+1))="",""," ("&amp;INDEX('Inventory - P05'!$C$16:$C$27,(INT((X32-1)/4)+1))&amp;" mg)"))</f>
        <v/>
      </c>
      <c r="D32" s="7" t="str">
        <f t="array" ref="D32">IF(X32="","",INDEX('Inventory - P05'!$K$16:$K$27,(INT((X32-1)/4)+1))-SUMPRODUCT(($B$10:$B$61=B32)*(($I$10:$I$61&lt;&gt;"")+($K$10:$K$61&lt;&gt;"")+($M$10:$M$61&lt;&gt;"")+($O$10:$O$61&lt;&gt;"")+($Q$10:$Q$61&lt;&gt;"")+($S$10:$S$61&lt;&gt;"")+($U$10:$U$61&lt;&gt;""))))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P05'!$D$16:$D$27,(INT((X32-1)/4)+1)))</f>
        <v/>
      </c>
      <c r="F32" s="7" t="str">
        <f t="array" ref="F32">IF(X32="","",INDEX('Inventory - P05'!$E$16:$E$27,(INT((X32-1)/4)+1)))</f>
        <v/>
      </c>
      <c r="G32" s="7" t="str">
        <f t="array" ref="G32">IF(X32="","",INDEX('Inventory - P05'!$I$16:$I$27,(INT((X32-1)/4)+1)))</f>
        <v/>
      </c>
      <c r="H32" s="7" t="str">
        <f t="array" ref="H32">IF(X32="","",INDEX('Inventory - P05'!$J$16:$J$27,(INT((X32-1)/4)+1)))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P05'!$B$16:$B$27,(INT((X33-1)/4)+1))&amp;IF(INDEX('Inventory - P05'!$C$16:$C$27,(INT((X33-1)/4)+1))="",""," ("&amp;INDEX('Inventory - P05'!$C$16:$C$27,(INT((X33-1)/4)+1))&amp;" mg)"))</f>
        <v/>
      </c>
      <c r="D33" s="7" t="str">
        <f t="array" ref="D33">IF(X33="","",INDEX('Inventory - P05'!$K$16:$K$27,(INT((X33-1)/4)+1))-SUMPRODUCT(($B$10:$B$61=B33)*(($I$10:$I$61&lt;&gt;"")+($K$10:$K$61&lt;&gt;"")+($M$10:$M$61&lt;&gt;"")+($O$10:$O$61&lt;&gt;"")+($Q$10:$Q$61&lt;&gt;"")+($S$10:$S$61&lt;&gt;"")+($U$10:$U$61&lt;&gt;""))))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P05'!$D$16:$D$27,(INT((X33-1)/4)+1)))</f>
        <v/>
      </c>
      <c r="F33" s="7" t="str">
        <f t="array" ref="F33">IF(X33="","",INDEX('Inventory - P05'!$E$16:$E$27,(INT((X33-1)/4)+1)))</f>
        <v/>
      </c>
      <c r="G33" s="7" t="str">
        <f t="array" ref="G33">IF(X33="","",INDEX('Inventory - P05'!$I$16:$I$27,(INT((X33-1)/4)+1)))</f>
        <v/>
      </c>
      <c r="H33" s="7" t="str">
        <f t="array" ref="H33">IF(X33="","",INDEX('Inventory - P05'!$J$16:$J$27,(INT((X33-1)/4)+1)))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P05'!$B$16:$B$27,(INT((X34-1)/4)+1))&amp;IF(INDEX('Inventory - P05'!$C$16:$C$27,(INT((X34-1)/4)+1))="",""," ("&amp;INDEX('Inventory - P05'!$C$16:$C$27,(INT((X34-1)/4)+1))&amp;" mg)"))</f>
        <v/>
      </c>
      <c r="D34" s="7" t="str">
        <f t="array" ref="D34">IF(X34="","",INDEX('Inventory - P05'!$K$16:$K$27,(INT((X34-1)/4)+1))-SUMPRODUCT(($B$10:$B$61=B34)*(($I$10:$I$61&lt;&gt;"")+($K$10:$K$61&lt;&gt;"")+($M$10:$M$61&lt;&gt;"")+($O$10:$O$61&lt;&gt;"")+($Q$10:$Q$61&lt;&gt;"")+($S$10:$S$61&lt;&gt;"")+($U$10:$U$61&lt;&gt;""))))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P05'!$D$16:$D$27,(INT((X34-1)/4)+1)))</f>
        <v/>
      </c>
      <c r="F34" s="7" t="str">
        <f t="array" ref="F34">IF(X34="","",INDEX('Inventory - P05'!$E$16:$E$27,(INT((X34-1)/4)+1)))</f>
        <v/>
      </c>
      <c r="G34" s="7" t="str">
        <f t="array" ref="G34">IF(X34="","",INDEX('Inventory - P05'!$I$16:$I$27,(INT((X34-1)/4)+1)))</f>
        <v/>
      </c>
      <c r="H34" s="7" t="str">
        <f t="array" ref="H34">IF(X34="","",INDEX('Inventory - P05'!$J$16:$J$27,(INT((X34-1)/4)+1)))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P05'!$B$16:$B$27,(INT((X35-1)/4)+1))&amp;IF(INDEX('Inventory - P05'!$C$16:$C$27,(INT((X35-1)/4)+1))="",""," ("&amp;INDEX('Inventory - P05'!$C$16:$C$27,(INT((X35-1)/4)+1))&amp;" mg)"))</f>
        <v/>
      </c>
      <c r="D35" s="7" t="str">
        <f t="array" ref="D35">IF(X35="","",INDEX('Inventory - P05'!$K$16:$K$27,(INT((X35-1)/4)+1))-SUMPRODUCT(($B$10:$B$61=B35)*(($I$10:$I$61&lt;&gt;"")+($K$10:$K$61&lt;&gt;"")+($M$10:$M$61&lt;&gt;"")+($O$10:$O$61&lt;&gt;"")+($Q$10:$Q$61&lt;&gt;"")+($S$10:$S$61&lt;&gt;"")+($U$10:$U$61&lt;&gt;""))))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P05'!$D$16:$D$27,(INT((X35-1)/4)+1)))</f>
        <v/>
      </c>
      <c r="F35" s="7" t="str">
        <f t="array" ref="F35">IF(X35="","",INDEX('Inventory - P05'!$E$16:$E$27,(INT((X35-1)/4)+1)))</f>
        <v/>
      </c>
      <c r="G35" s="7" t="str">
        <f t="array" ref="G35">IF(X35="","",INDEX('Inventory - P05'!$I$16:$I$27,(INT((X35-1)/4)+1)))</f>
        <v/>
      </c>
      <c r="H35" s="7" t="str">
        <f t="array" ref="H35">IF(X35="","",INDEX('Inventory - P05'!$J$16:$J$27,(INT((X35-1)/4)+1)))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P05'!$B$16:$B$27,(INT((X37-1)/4)+1))&amp;IF(INDEX('Inventory - P05'!$C$16:$C$27,(INT((X37-1)/4)+1))="",""," ("&amp;INDEX('Inventory - P05'!$C$16:$C$27,(INT((X37-1)/4)+1))&amp;" mg)"))</f>
        <v/>
      </c>
      <c r="D37" s="7" t="str">
        <f t="array" ref="D37">IF(X37="","",INDEX('Inventory - P05'!$K$16:$K$27,(INT((X37-1)/4)+1))-SUMPRODUCT(($B$10:$B$61=B37)*(($I$10:$I$61&lt;&gt;"")+($K$10:$K$61&lt;&gt;"")+($M$10:$M$61&lt;&gt;"")+($O$10:$O$61&lt;&gt;"")+($Q$10:$Q$61&lt;&gt;"")+($S$10:$S$61&lt;&gt;"")+($U$10:$U$61&lt;&gt;""))))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P05'!$D$16:$D$27,(INT((X37-1)/4)+1)))</f>
        <v/>
      </c>
      <c r="F37" s="7" t="str">
        <f t="array" ref="F37">IF(X37="","",INDEX('Inventory - P05'!$E$16:$E$27,(INT((X37-1)/4)+1)))</f>
        <v/>
      </c>
      <c r="G37" s="7" t="str">
        <f t="array" ref="G37">IF(X37="","",INDEX('Inventory - P05'!$I$16:$I$27,(INT((X37-1)/4)+1)))</f>
        <v/>
      </c>
      <c r="H37" s="7" t="str">
        <f t="array" ref="H37">IF(X37="","",INDEX('Inventory - P05'!$J$16:$J$27,(INT((X37-1)/4)+1)))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P05'!$B$16:$B$27,(INT((X38-1)/4)+1))&amp;IF(INDEX('Inventory - P05'!$C$16:$C$27,(INT((X38-1)/4)+1))="",""," ("&amp;INDEX('Inventory - P05'!$C$16:$C$27,(INT((X38-1)/4)+1))&amp;" mg)"))</f>
        <v/>
      </c>
      <c r="D38" s="7" t="str">
        <f t="array" ref="D38">IF(X38="","",INDEX('Inventory - P05'!$K$16:$K$27,(INT((X38-1)/4)+1))-SUMPRODUCT(($B$10:$B$61=B38)*(($I$10:$I$61&lt;&gt;"")+($K$10:$K$61&lt;&gt;"")+($M$10:$M$61&lt;&gt;"")+($O$10:$O$61&lt;&gt;"")+($Q$10:$Q$61&lt;&gt;"")+($S$10:$S$61&lt;&gt;"")+($U$10:$U$61&lt;&gt;""))))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P05'!$D$16:$D$27,(INT((X38-1)/4)+1)))</f>
        <v/>
      </c>
      <c r="F38" s="7" t="str">
        <f t="array" ref="F38">IF(X38="","",INDEX('Inventory - P05'!$E$16:$E$27,(INT((X38-1)/4)+1)))</f>
        <v/>
      </c>
      <c r="G38" s="7" t="str">
        <f t="array" ref="G38">IF(X38="","",INDEX('Inventory - P05'!$I$16:$I$27,(INT((X38-1)/4)+1)))</f>
        <v/>
      </c>
      <c r="H38" s="7" t="str">
        <f t="array" ref="H38">IF(X38="","",INDEX('Inventory - P05'!$J$16:$J$27,(INT((X38-1)/4)+1)))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P05'!$B$16:$B$27,(INT((X39-1)/4)+1))&amp;IF(INDEX('Inventory - P05'!$C$16:$C$27,(INT((X39-1)/4)+1))="",""," ("&amp;INDEX('Inventory - P05'!$C$16:$C$27,(INT((X39-1)/4)+1))&amp;" mg)"))</f>
        <v/>
      </c>
      <c r="D39" s="7" t="str">
        <f t="array" ref="D39">IF(X39="","",INDEX('Inventory - P05'!$K$16:$K$27,(INT((X39-1)/4)+1))-SUMPRODUCT(($B$10:$B$61=B39)*(($I$10:$I$61&lt;&gt;"")+($K$10:$K$61&lt;&gt;"")+($M$10:$M$61&lt;&gt;"")+($O$10:$O$61&lt;&gt;"")+($Q$10:$Q$61&lt;&gt;"")+($S$10:$S$61&lt;&gt;"")+($U$10:$U$61&lt;&gt;""))))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P05'!$D$16:$D$27,(INT((X39-1)/4)+1)))</f>
        <v/>
      </c>
      <c r="F39" s="7" t="str">
        <f t="array" ref="F39">IF(X39="","",INDEX('Inventory - P05'!$E$16:$E$27,(INT((X39-1)/4)+1)))</f>
        <v/>
      </c>
      <c r="G39" s="7" t="str">
        <f t="array" ref="G39">IF(X39="","",INDEX('Inventory - P05'!$I$16:$I$27,(INT((X39-1)/4)+1)))</f>
        <v/>
      </c>
      <c r="H39" s="7" t="str">
        <f t="array" ref="H39">IF(X39="","",INDEX('Inventory - P05'!$J$16:$J$27,(INT((X39-1)/4)+1)))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P05'!$B$16:$B$27,(INT((X40-1)/4)+1))&amp;IF(INDEX('Inventory - P05'!$C$16:$C$27,(INT((X40-1)/4)+1))="",""," ("&amp;INDEX('Inventory - P05'!$C$16:$C$27,(INT((X40-1)/4)+1))&amp;" mg)"))</f>
        <v/>
      </c>
      <c r="D40" s="7" t="str">
        <f t="array" ref="D40">IF(X40="","",INDEX('Inventory - P05'!$K$16:$K$27,(INT((X40-1)/4)+1))-SUMPRODUCT(($B$10:$B$61=B40)*(($I$10:$I$61&lt;&gt;"")+($K$10:$K$61&lt;&gt;"")+($M$10:$M$61&lt;&gt;"")+($O$10:$O$61&lt;&gt;"")+($Q$10:$Q$61&lt;&gt;"")+($S$10:$S$61&lt;&gt;"")+($U$10:$U$61&lt;&gt;""))))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P05'!$D$16:$D$27,(INT((X40-1)/4)+1)))</f>
        <v/>
      </c>
      <c r="F40" s="7" t="str">
        <f t="array" ref="F40">IF(X40="","",INDEX('Inventory - P05'!$E$16:$E$27,(INT((X40-1)/4)+1)))</f>
        <v/>
      </c>
      <c r="G40" s="7" t="str">
        <f t="array" ref="G40">IF(X40="","",INDEX('Inventory - P05'!$I$16:$I$27,(INT((X40-1)/4)+1)))</f>
        <v/>
      </c>
      <c r="H40" s="7" t="str">
        <f t="array" ref="H40">IF(X40="","",INDEX('Inventory - P05'!$J$16:$J$27,(INT((X40-1)/4)+1)))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P05'!$B$16:$B$27,(INT((X41-1)/4)+1))&amp;IF(INDEX('Inventory - P05'!$C$16:$C$27,(INT((X41-1)/4)+1))="",""," ("&amp;INDEX('Inventory - P05'!$C$16:$C$27,(INT((X41-1)/4)+1))&amp;" mg)"))</f>
        <v/>
      </c>
      <c r="D41" s="7" t="str">
        <f t="array" ref="D41">IF(X41="","",INDEX('Inventory - P05'!$K$16:$K$27,(INT((X41-1)/4)+1))-SUMPRODUCT(($B$10:$B$61=B41)*(($I$10:$I$61&lt;&gt;"")+($K$10:$K$61&lt;&gt;"")+($M$10:$M$61&lt;&gt;"")+($O$10:$O$61&lt;&gt;"")+($Q$10:$Q$61&lt;&gt;"")+($S$10:$S$61&lt;&gt;"")+($U$10:$U$61&lt;&gt;""))))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P05'!$D$16:$D$27,(INT((X41-1)/4)+1)))</f>
        <v/>
      </c>
      <c r="F41" s="7" t="str">
        <f t="array" ref="F41">IF(X41="","",INDEX('Inventory - P05'!$E$16:$E$27,(INT((X41-1)/4)+1)))</f>
        <v/>
      </c>
      <c r="G41" s="7" t="str">
        <f t="array" ref="G41">IF(X41="","",INDEX('Inventory - P05'!$I$16:$I$27,(INT((X41-1)/4)+1)))</f>
        <v/>
      </c>
      <c r="H41" s="7" t="str">
        <f t="array" ref="H41">IF(X41="","",INDEX('Inventory - P05'!$J$16:$J$27,(INT((X41-1)/4)+1)))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P05'!$B$16:$B$27,(INT((X42-1)/4)+1))&amp;IF(INDEX('Inventory - P05'!$C$16:$C$27,(INT((X42-1)/4)+1))="",""," ("&amp;INDEX('Inventory - P05'!$C$16:$C$27,(INT((X42-1)/4)+1))&amp;" mg)"))</f>
        <v/>
      </c>
      <c r="D42" s="7" t="str">
        <f t="array" ref="D42">IF(X42="","",INDEX('Inventory - P05'!$K$16:$K$27,(INT((X42-1)/4)+1))-SUMPRODUCT(($B$10:$B$61=B42)*(($I$10:$I$61&lt;&gt;"")+($K$10:$K$61&lt;&gt;"")+($M$10:$M$61&lt;&gt;"")+($O$10:$O$61&lt;&gt;"")+($Q$10:$Q$61&lt;&gt;"")+($S$10:$S$61&lt;&gt;"")+($U$10:$U$61&lt;&gt;""))))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P05'!$D$16:$D$27,(INT((X42-1)/4)+1)))</f>
        <v/>
      </c>
      <c r="F42" s="7" t="str">
        <f t="array" ref="F42">IF(X42="","",INDEX('Inventory - P05'!$E$16:$E$27,(INT((X42-1)/4)+1)))</f>
        <v/>
      </c>
      <c r="G42" s="7" t="str">
        <f t="array" ref="G42">IF(X42="","",INDEX('Inventory - P05'!$I$16:$I$27,(INT((X42-1)/4)+1)))</f>
        <v/>
      </c>
      <c r="H42" s="7" t="str">
        <f t="array" ref="H42">IF(X42="","",INDEX('Inventory - P05'!$J$16:$J$27,(INT((X42-1)/4)+1)))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P05'!$B$16:$B$27,(INT((X43-1)/4)+1))&amp;IF(INDEX('Inventory - P05'!$C$16:$C$27,(INT((X43-1)/4)+1))="",""," ("&amp;INDEX('Inventory - P05'!$C$16:$C$27,(INT((X43-1)/4)+1))&amp;" mg)"))</f>
        <v/>
      </c>
      <c r="D43" s="7" t="str">
        <f t="array" ref="D43">IF(X43="","",INDEX('Inventory - P05'!$K$16:$K$27,(INT((X43-1)/4)+1))-SUMPRODUCT(($B$10:$B$61=B43)*(($I$10:$I$61&lt;&gt;"")+($K$10:$K$61&lt;&gt;"")+($M$10:$M$61&lt;&gt;"")+($O$10:$O$61&lt;&gt;"")+($Q$10:$Q$61&lt;&gt;"")+($S$10:$S$61&lt;&gt;"")+($U$10:$U$61&lt;&gt;""))))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P05'!$D$16:$D$27,(INT((X43-1)/4)+1)))</f>
        <v/>
      </c>
      <c r="F43" s="7" t="str">
        <f t="array" ref="F43">IF(X43="","",INDEX('Inventory - P05'!$E$16:$E$27,(INT((X43-1)/4)+1)))</f>
        <v/>
      </c>
      <c r="G43" s="7" t="str">
        <f t="array" ref="G43">IF(X43="","",INDEX('Inventory - P05'!$I$16:$I$27,(INT((X43-1)/4)+1)))</f>
        <v/>
      </c>
      <c r="H43" s="7" t="str">
        <f t="array" ref="H43">IF(X43="","",INDEX('Inventory - P05'!$J$16:$J$27,(INT((X43-1)/4)+1)))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P05'!$B$16:$B$27,(INT((X44-1)/4)+1))&amp;IF(INDEX('Inventory - P05'!$C$16:$C$27,(INT((X44-1)/4)+1))="",""," ("&amp;INDEX('Inventory - P05'!$C$16:$C$27,(INT((X44-1)/4)+1))&amp;" mg)"))</f>
        <v/>
      </c>
      <c r="D44" s="7" t="str">
        <f t="array" ref="D44">IF(X44="","",INDEX('Inventory - P05'!$K$16:$K$27,(INT((X44-1)/4)+1))-SUMPRODUCT(($B$10:$B$61=B44)*(($I$10:$I$61&lt;&gt;"")+($K$10:$K$61&lt;&gt;"")+($M$10:$M$61&lt;&gt;"")+($O$10:$O$61&lt;&gt;"")+($Q$10:$Q$61&lt;&gt;"")+($S$10:$S$61&lt;&gt;"")+($U$10:$U$61&lt;&gt;""))))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P05'!$D$16:$D$27,(INT((X44-1)/4)+1)))</f>
        <v/>
      </c>
      <c r="F44" s="7" t="str">
        <f t="array" ref="F44">IF(X44="","",INDEX('Inventory - P05'!$E$16:$E$27,(INT((X44-1)/4)+1)))</f>
        <v/>
      </c>
      <c r="G44" s="7" t="str">
        <f t="array" ref="G44">IF(X44="","",INDEX('Inventory - P05'!$I$16:$I$27,(INT((X44-1)/4)+1)))</f>
        <v/>
      </c>
      <c r="H44" s="7" t="str">
        <f t="array" ref="H44">IF(X44="","",INDEX('Inventory - P05'!$J$16:$J$27,(INT((X44-1)/4)+1)))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P05'!$B$16:$B$27,(INT((X45-1)/4)+1))&amp;IF(INDEX('Inventory - P05'!$C$16:$C$27,(INT((X45-1)/4)+1))="",""," ("&amp;INDEX('Inventory - P05'!$C$16:$C$27,(INT((X45-1)/4)+1))&amp;" mg)"))</f>
        <v/>
      </c>
      <c r="D45" s="7" t="str">
        <f t="array" ref="D45">IF(X45="","",INDEX('Inventory - P05'!$K$16:$K$27,(INT((X45-1)/4)+1))-SUMPRODUCT(($B$10:$B$61=B45)*(($I$10:$I$61&lt;&gt;"")+($K$10:$K$61&lt;&gt;"")+($M$10:$M$61&lt;&gt;"")+($O$10:$O$61&lt;&gt;"")+($Q$10:$Q$61&lt;&gt;"")+($S$10:$S$61&lt;&gt;"")+($U$10:$U$61&lt;&gt;""))))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P05'!$D$16:$D$27,(INT((X45-1)/4)+1)))</f>
        <v/>
      </c>
      <c r="F45" s="7" t="str">
        <f t="array" ref="F45">IF(X45="","",INDEX('Inventory - P05'!$E$16:$E$27,(INT((X45-1)/4)+1)))</f>
        <v/>
      </c>
      <c r="G45" s="7" t="str">
        <f t="array" ref="G45">IF(X45="","",INDEX('Inventory - P05'!$I$16:$I$27,(INT((X45-1)/4)+1)))</f>
        <v/>
      </c>
      <c r="H45" s="7" t="str">
        <f t="array" ref="H45">IF(X45="","",INDEX('Inventory - P05'!$J$16:$J$27,(INT((X45-1)/4)+1)))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P05'!$B$16:$B$27,(INT((X46-1)/4)+1))&amp;IF(INDEX('Inventory - P05'!$C$16:$C$27,(INT((X46-1)/4)+1))="",""," ("&amp;INDEX('Inventory - P05'!$C$16:$C$27,(INT((X46-1)/4)+1))&amp;" mg)"))</f>
        <v/>
      </c>
      <c r="D46" s="7" t="str">
        <f t="array" ref="D46">IF(X46="","",INDEX('Inventory - P05'!$K$16:$K$27,(INT((X46-1)/4)+1))-SUMPRODUCT(($B$10:$B$61=B46)*(($I$10:$I$61&lt;&gt;"")+($K$10:$K$61&lt;&gt;"")+($M$10:$M$61&lt;&gt;"")+($O$10:$O$61&lt;&gt;"")+($Q$10:$Q$61&lt;&gt;"")+($S$10:$S$61&lt;&gt;"")+($U$10:$U$61&lt;&gt;""))))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P05'!$D$16:$D$27,(INT((X46-1)/4)+1)))</f>
        <v/>
      </c>
      <c r="F46" s="7" t="str">
        <f t="array" ref="F46">IF(X46="","",INDEX('Inventory - P05'!$E$16:$E$27,(INT((X46-1)/4)+1)))</f>
        <v/>
      </c>
      <c r="G46" s="7" t="str">
        <f t="array" ref="G46">IF(X46="","",INDEX('Inventory - P05'!$I$16:$I$27,(INT((X46-1)/4)+1)))</f>
        <v/>
      </c>
      <c r="H46" s="7" t="str">
        <f t="array" ref="H46">IF(X46="","",INDEX('Inventory - P05'!$J$16:$J$27,(INT((X46-1)/4)+1)))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P05'!$B$16:$B$27,(INT((X47-1)/4)+1))&amp;IF(INDEX('Inventory - P05'!$C$16:$C$27,(INT((X47-1)/4)+1))="",""," ("&amp;INDEX('Inventory - P05'!$C$16:$C$27,(INT((X47-1)/4)+1))&amp;" mg)"))</f>
        <v/>
      </c>
      <c r="D47" s="7" t="str">
        <f t="array" ref="D47">IF(X47="","",INDEX('Inventory - P05'!$K$16:$K$27,(INT((X47-1)/4)+1))-SUMPRODUCT(($B$10:$B$61=B47)*(($I$10:$I$61&lt;&gt;"")+($K$10:$K$61&lt;&gt;"")+($M$10:$M$61&lt;&gt;"")+($O$10:$O$61&lt;&gt;"")+($Q$10:$Q$61&lt;&gt;"")+($S$10:$S$61&lt;&gt;"")+($U$10:$U$61&lt;&gt;""))))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P05'!$D$16:$D$27,(INT((X47-1)/4)+1)))</f>
        <v/>
      </c>
      <c r="F47" s="7" t="str">
        <f t="array" ref="F47">IF(X47="","",INDEX('Inventory - P05'!$E$16:$E$27,(INT((X47-1)/4)+1)))</f>
        <v/>
      </c>
      <c r="G47" s="7" t="str">
        <f t="array" ref="G47">IF(X47="","",INDEX('Inventory - P05'!$I$16:$I$27,(INT((X47-1)/4)+1)))</f>
        <v/>
      </c>
      <c r="H47" s="7" t="str">
        <f t="array" ref="H47">IF(X47="","",INDEX('Inventory - P05'!$J$16:$J$27,(INT((X47-1)/4)+1)))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P05'!$B$16:$B$27,(INT((X48-1)/4)+1))&amp;IF(INDEX('Inventory - P05'!$C$16:$C$27,(INT((X48-1)/4)+1))="",""," ("&amp;INDEX('Inventory - P05'!$C$16:$C$27,(INT((X48-1)/4)+1))&amp;" mg)"))</f>
        <v/>
      </c>
      <c r="D48" s="7" t="str">
        <f t="array" ref="D48">IF(X48="","",INDEX('Inventory - P05'!$K$16:$K$27,(INT((X48-1)/4)+1))-SUMPRODUCT(($B$10:$B$61=B48)*(($I$10:$I$61&lt;&gt;"")+($K$10:$K$61&lt;&gt;"")+($M$10:$M$61&lt;&gt;"")+($O$10:$O$61&lt;&gt;"")+($Q$10:$Q$61&lt;&gt;"")+($S$10:$S$61&lt;&gt;"")+($U$10:$U$61&lt;&gt;""))))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P05'!$D$16:$D$27,(INT((X48-1)/4)+1)))</f>
        <v/>
      </c>
      <c r="F48" s="7" t="str">
        <f t="array" ref="F48">IF(X48="","",INDEX('Inventory - P05'!$E$16:$E$27,(INT((X48-1)/4)+1)))</f>
        <v/>
      </c>
      <c r="G48" s="7" t="str">
        <f t="array" ref="G48">IF(X48="","",INDEX('Inventory - P05'!$I$16:$I$27,(INT((X48-1)/4)+1)))</f>
        <v/>
      </c>
      <c r="H48" s="7" t="str">
        <f t="array" ref="H48">IF(X48="","",INDEX('Inventory - P05'!$J$16:$J$27,(INT((X48-1)/4)+1)))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P05'!$B$16:$B$27,(INT((X50-1)/4)+1))&amp;IF(INDEX('Inventory - P05'!$C$16:$C$27,(INT((X50-1)/4)+1))="",""," ("&amp;INDEX('Inventory - P05'!$C$16:$C$27,(INT((X50-1)/4)+1))&amp;" mg)"))</f>
        <v/>
      </c>
      <c r="D50" s="7" t="str">
        <f t="array" ref="D50">IF(X50="","",INDEX('Inventory - P05'!$K$16:$K$27,(INT((X50-1)/4)+1))-SUMPRODUCT(($B$10:$B$61=B50)*(($I$10:$I$61&lt;&gt;"")+($K$10:$K$61&lt;&gt;"")+($M$10:$M$61&lt;&gt;"")+($O$10:$O$61&lt;&gt;"")+($Q$10:$Q$61&lt;&gt;"")+($S$10:$S$61&lt;&gt;"")+($U$10:$U$61&lt;&gt;""))))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P05'!$D$16:$D$27,(INT((X50-1)/4)+1)))</f>
        <v/>
      </c>
      <c r="F50" s="7" t="str">
        <f t="array" ref="F50">IF(X50="","",INDEX('Inventory - P05'!$E$16:$E$27,(INT((X50-1)/4)+1)))</f>
        <v/>
      </c>
      <c r="G50" s="7" t="str">
        <f t="array" ref="G50">IF(X50="","",INDEX('Inventory - P05'!$I$16:$I$27,(INT((X50-1)/4)+1)))</f>
        <v/>
      </c>
      <c r="H50" s="7" t="str">
        <f t="array" ref="H50">IF(X50="","",INDEX('Inventory - P05'!$J$16:$J$27,(INT((X50-1)/4)+1)))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P05'!$B$16:$B$27,(INT((X51-1)/4)+1))&amp;IF(INDEX('Inventory - P05'!$C$16:$C$27,(INT((X51-1)/4)+1))="",""," ("&amp;INDEX('Inventory - P05'!$C$16:$C$27,(INT((X51-1)/4)+1))&amp;" mg)"))</f>
        <v/>
      </c>
      <c r="D51" s="7" t="str">
        <f t="array" ref="D51">IF(X51="","",INDEX('Inventory - P05'!$K$16:$K$27,(INT((X51-1)/4)+1))-SUMPRODUCT(($B$10:$B$61=B51)*(($I$10:$I$61&lt;&gt;"")+($K$10:$K$61&lt;&gt;"")+($M$10:$M$61&lt;&gt;"")+($O$10:$O$61&lt;&gt;"")+($Q$10:$Q$61&lt;&gt;"")+($S$10:$S$61&lt;&gt;"")+($U$10:$U$61&lt;&gt;""))))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P05'!$D$16:$D$27,(INT((X51-1)/4)+1)))</f>
        <v/>
      </c>
      <c r="F51" s="7" t="str">
        <f t="array" ref="F51">IF(X51="","",INDEX('Inventory - P05'!$E$16:$E$27,(INT((X51-1)/4)+1)))</f>
        <v/>
      </c>
      <c r="G51" s="7" t="str">
        <f t="array" ref="G51">IF(X51="","",INDEX('Inventory - P05'!$I$16:$I$27,(INT((X51-1)/4)+1)))</f>
        <v/>
      </c>
      <c r="H51" s="7" t="str">
        <f t="array" ref="H51">IF(X51="","",INDEX('Inventory - P05'!$J$16:$J$27,(INT((X51-1)/4)+1)))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P05'!$B$16:$B$27,(INT((X52-1)/4)+1))&amp;IF(INDEX('Inventory - P05'!$C$16:$C$27,(INT((X52-1)/4)+1))="",""," ("&amp;INDEX('Inventory - P05'!$C$16:$C$27,(INT((X52-1)/4)+1))&amp;" mg)"))</f>
        <v/>
      </c>
      <c r="D52" s="7" t="str">
        <f t="array" ref="D52">IF(X52="","",INDEX('Inventory - P05'!$K$16:$K$27,(INT((X52-1)/4)+1))-SUMPRODUCT(($B$10:$B$61=B52)*(($I$10:$I$61&lt;&gt;"")+($K$10:$K$61&lt;&gt;"")+($M$10:$M$61&lt;&gt;"")+($O$10:$O$61&lt;&gt;"")+($Q$10:$Q$61&lt;&gt;"")+($S$10:$S$61&lt;&gt;"")+($U$10:$U$61&lt;&gt;""))))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P05'!$D$16:$D$27,(INT((X52-1)/4)+1)))</f>
        <v/>
      </c>
      <c r="F52" s="7" t="str">
        <f t="array" ref="F52">IF(X52="","",INDEX('Inventory - P05'!$E$16:$E$27,(INT((X52-1)/4)+1)))</f>
        <v/>
      </c>
      <c r="G52" s="7" t="str">
        <f t="array" ref="G52">IF(X52="","",INDEX('Inventory - P05'!$I$16:$I$27,(INT((X52-1)/4)+1)))</f>
        <v/>
      </c>
      <c r="H52" s="7" t="str">
        <f t="array" ref="H52">IF(X52="","",INDEX('Inventory - P05'!$J$16:$J$27,(INT((X52-1)/4)+1)))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P05'!$B$16:$B$27,(INT((X53-1)/4)+1))&amp;IF(INDEX('Inventory - P05'!$C$16:$C$27,(INT((X53-1)/4)+1))="",""," ("&amp;INDEX('Inventory - P05'!$C$16:$C$27,(INT((X53-1)/4)+1))&amp;" mg)"))</f>
        <v/>
      </c>
      <c r="D53" s="7" t="str">
        <f t="array" ref="D53">IF(X53="","",INDEX('Inventory - P05'!$K$16:$K$27,(INT((X53-1)/4)+1))-SUMPRODUCT(($B$10:$B$61=B53)*(($I$10:$I$61&lt;&gt;"")+($K$10:$K$61&lt;&gt;"")+($M$10:$M$61&lt;&gt;"")+($O$10:$O$61&lt;&gt;"")+($Q$10:$Q$61&lt;&gt;"")+($S$10:$S$61&lt;&gt;"")+($U$10:$U$61&lt;&gt;""))))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P05'!$D$16:$D$27,(INT((X53-1)/4)+1)))</f>
        <v/>
      </c>
      <c r="F53" s="7" t="str">
        <f t="array" ref="F53">IF(X53="","",INDEX('Inventory - P05'!$E$16:$E$27,(INT((X53-1)/4)+1)))</f>
        <v/>
      </c>
      <c r="G53" s="7" t="str">
        <f t="array" ref="G53">IF(X53="","",INDEX('Inventory - P05'!$I$16:$I$27,(INT((X53-1)/4)+1)))</f>
        <v/>
      </c>
      <c r="H53" s="7" t="str">
        <f t="array" ref="H53">IF(X53="","",INDEX('Inventory - P05'!$J$16:$J$27,(INT((X53-1)/4)+1)))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P05'!$B$16:$B$27,(INT((X54-1)/4)+1))&amp;IF(INDEX('Inventory - P05'!$C$16:$C$27,(INT((X54-1)/4)+1))="",""," ("&amp;INDEX('Inventory - P05'!$C$16:$C$27,(INT((X54-1)/4)+1))&amp;" mg)"))</f>
        <v/>
      </c>
      <c r="D54" s="7" t="str">
        <f t="array" ref="D54">IF(X54="","",INDEX('Inventory - P05'!$K$16:$K$27,(INT((X54-1)/4)+1))-SUMPRODUCT(($B$10:$B$61=B54)*(($I$10:$I$61&lt;&gt;"")+($K$10:$K$61&lt;&gt;"")+($M$10:$M$61&lt;&gt;"")+($O$10:$O$61&lt;&gt;"")+($Q$10:$Q$61&lt;&gt;"")+($S$10:$S$61&lt;&gt;"")+($U$10:$U$61&lt;&gt;""))))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P05'!$D$16:$D$27,(INT((X54-1)/4)+1)))</f>
        <v/>
      </c>
      <c r="F54" s="7" t="str">
        <f t="array" ref="F54">IF(X54="","",INDEX('Inventory - P05'!$E$16:$E$27,(INT((X54-1)/4)+1)))</f>
        <v/>
      </c>
      <c r="G54" s="7" t="str">
        <f t="array" ref="G54">IF(X54="","",INDEX('Inventory - P05'!$I$16:$I$27,(INT((X54-1)/4)+1)))</f>
        <v/>
      </c>
      <c r="H54" s="7" t="str">
        <f t="array" ref="H54">IF(X54="","",INDEX('Inventory - P05'!$J$16:$J$27,(INT((X54-1)/4)+1)))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P05'!$B$16:$B$27,(INT((X55-1)/4)+1))&amp;IF(INDEX('Inventory - P05'!$C$16:$C$27,(INT((X55-1)/4)+1))="",""," ("&amp;INDEX('Inventory - P05'!$C$16:$C$27,(INT((X55-1)/4)+1))&amp;" mg)"))</f>
        <v/>
      </c>
      <c r="D55" s="7" t="str">
        <f t="array" ref="D55">IF(X55="","",INDEX('Inventory - P05'!$K$16:$K$27,(INT((X55-1)/4)+1))-SUMPRODUCT(($B$10:$B$61=B55)*(($I$10:$I$61&lt;&gt;"")+($K$10:$K$61&lt;&gt;"")+($M$10:$M$61&lt;&gt;"")+($O$10:$O$61&lt;&gt;"")+($Q$10:$Q$61&lt;&gt;"")+($S$10:$S$61&lt;&gt;"")+($U$10:$U$61&lt;&gt;""))))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P05'!$D$16:$D$27,(INT((X55-1)/4)+1)))</f>
        <v/>
      </c>
      <c r="F55" s="7" t="str">
        <f t="array" ref="F55">IF(X55="","",INDEX('Inventory - P05'!$E$16:$E$27,(INT((X55-1)/4)+1)))</f>
        <v/>
      </c>
      <c r="G55" s="7" t="str">
        <f t="array" ref="G55">IF(X55="","",INDEX('Inventory - P05'!$I$16:$I$27,(INT((X55-1)/4)+1)))</f>
        <v/>
      </c>
      <c r="H55" s="7" t="str">
        <f t="array" ref="H55">IF(X55="","",INDEX('Inventory - P05'!$J$16:$J$27,(INT((X55-1)/4)+1)))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P05'!$B$16:$B$27,(INT((X56-1)/4)+1))&amp;IF(INDEX('Inventory - P05'!$C$16:$C$27,(INT((X56-1)/4)+1))="",""," ("&amp;INDEX('Inventory - P05'!$C$16:$C$27,(INT((X56-1)/4)+1))&amp;" mg)"))</f>
        <v/>
      </c>
      <c r="D56" s="7" t="str">
        <f t="array" ref="D56">IF(X56="","",INDEX('Inventory - P05'!$K$16:$K$27,(INT((X56-1)/4)+1))-SUMPRODUCT(($B$10:$B$61=B56)*(($I$10:$I$61&lt;&gt;"")+($K$10:$K$61&lt;&gt;"")+($M$10:$M$61&lt;&gt;"")+($O$10:$O$61&lt;&gt;"")+($Q$10:$Q$61&lt;&gt;"")+($S$10:$S$61&lt;&gt;"")+($U$10:$U$61&lt;&gt;""))))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P05'!$D$16:$D$27,(INT((X56-1)/4)+1)))</f>
        <v/>
      </c>
      <c r="F56" s="7" t="str">
        <f t="array" ref="F56">IF(X56="","",INDEX('Inventory - P05'!$E$16:$E$27,(INT((X56-1)/4)+1)))</f>
        <v/>
      </c>
      <c r="G56" s="7" t="str">
        <f t="array" ref="G56">IF(X56="","",INDEX('Inventory - P05'!$I$16:$I$27,(INT((X56-1)/4)+1)))</f>
        <v/>
      </c>
      <c r="H56" s="7" t="str">
        <f t="array" ref="H56">IF(X56="","",INDEX('Inventory - P05'!$J$16:$J$27,(INT((X56-1)/4)+1)))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P05'!$B$16:$B$27,(INT((X57-1)/4)+1))&amp;IF(INDEX('Inventory - P05'!$C$16:$C$27,(INT((X57-1)/4)+1))="",""," ("&amp;INDEX('Inventory - P05'!$C$16:$C$27,(INT((X57-1)/4)+1))&amp;" mg)"))</f>
        <v/>
      </c>
      <c r="D57" s="7" t="str">
        <f t="array" ref="D57">IF(X57="","",INDEX('Inventory - P05'!$K$16:$K$27,(INT((X57-1)/4)+1))-SUMPRODUCT(($B$10:$B$61=B57)*(($I$10:$I$61&lt;&gt;"")+($K$10:$K$61&lt;&gt;"")+($M$10:$M$61&lt;&gt;"")+($O$10:$O$61&lt;&gt;"")+($Q$10:$Q$61&lt;&gt;"")+($S$10:$S$61&lt;&gt;"")+($U$10:$U$61&lt;&gt;""))))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P05'!$D$16:$D$27,(INT((X57-1)/4)+1)))</f>
        <v/>
      </c>
      <c r="F57" s="7" t="str">
        <f t="array" ref="F57">IF(X57="","",INDEX('Inventory - P05'!$E$16:$E$27,(INT((X57-1)/4)+1)))</f>
        <v/>
      </c>
      <c r="G57" s="7" t="str">
        <f t="array" ref="G57">IF(X57="","",INDEX('Inventory - P05'!$I$16:$I$27,(INT((X57-1)/4)+1)))</f>
        <v/>
      </c>
      <c r="H57" s="7" t="str">
        <f t="array" ref="H57">IF(X57="","",INDEX('Inventory - P05'!$J$16:$J$27,(INT((X57-1)/4)+1)))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P05'!$B$16:$B$27,(INT((X58-1)/4)+1))&amp;IF(INDEX('Inventory - P05'!$C$16:$C$27,(INT((X58-1)/4)+1))="",""," ("&amp;INDEX('Inventory - P05'!$C$16:$C$27,(INT((X58-1)/4)+1))&amp;" mg)"))</f>
        <v/>
      </c>
      <c r="D58" s="7" t="str">
        <f t="array" ref="D58">IF(X58="","",INDEX('Inventory - P05'!$K$16:$K$27,(INT((X58-1)/4)+1))-SUMPRODUCT(($B$10:$B$61=B58)*(($I$10:$I$61&lt;&gt;"")+($K$10:$K$61&lt;&gt;"")+($M$10:$M$61&lt;&gt;"")+($O$10:$O$61&lt;&gt;"")+($Q$10:$Q$61&lt;&gt;"")+($S$10:$S$61&lt;&gt;"")+($U$10:$U$61&lt;&gt;""))))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P05'!$D$16:$D$27,(INT((X58-1)/4)+1)))</f>
        <v/>
      </c>
      <c r="F58" s="7" t="str">
        <f t="array" ref="F58">IF(X58="","",INDEX('Inventory - P05'!$E$16:$E$27,(INT((X58-1)/4)+1)))</f>
        <v/>
      </c>
      <c r="G58" s="7" t="str">
        <f t="array" ref="G58">IF(X58="","",INDEX('Inventory - P05'!$I$16:$I$27,(INT((X58-1)/4)+1)))</f>
        <v/>
      </c>
      <c r="H58" s="7" t="str">
        <f t="array" ref="H58">IF(X58="","",INDEX('Inventory - P05'!$J$16:$J$27,(INT((X58-1)/4)+1)))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P05'!$B$16:$B$27,(INT((X59-1)/4)+1))&amp;IF(INDEX('Inventory - P05'!$C$16:$C$27,(INT((X59-1)/4)+1))="",""," ("&amp;INDEX('Inventory - P05'!$C$16:$C$27,(INT((X59-1)/4)+1))&amp;" mg)"))</f>
        <v/>
      </c>
      <c r="D59" s="7" t="str">
        <f t="array" ref="D59">IF(X59="","",INDEX('Inventory - P05'!$K$16:$K$27,(INT((X59-1)/4)+1))-SUMPRODUCT(($B$10:$B$61=B59)*(($I$10:$I$61&lt;&gt;"")+($K$10:$K$61&lt;&gt;"")+($M$10:$M$61&lt;&gt;"")+($O$10:$O$61&lt;&gt;"")+($Q$10:$Q$61&lt;&gt;"")+($S$10:$S$61&lt;&gt;"")+($U$10:$U$61&lt;&gt;""))))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P05'!$D$16:$D$27,(INT((X59-1)/4)+1)))</f>
        <v/>
      </c>
      <c r="F59" s="7" t="str">
        <f t="array" ref="F59">IF(X59="","",INDEX('Inventory - P05'!$E$16:$E$27,(INT((X59-1)/4)+1)))</f>
        <v/>
      </c>
      <c r="G59" s="7" t="str">
        <f t="array" ref="G59">IF(X59="","",INDEX('Inventory - P05'!$I$16:$I$27,(INT((X59-1)/4)+1)))</f>
        <v/>
      </c>
      <c r="H59" s="7" t="str">
        <f t="array" ref="H59">IF(X59="","",INDEX('Inventory - P05'!$J$16:$J$27,(INT((X59-1)/4)+1)))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P05'!$B$16:$B$27,(INT((X60-1)/4)+1))&amp;IF(INDEX('Inventory - P05'!$C$16:$C$27,(INT((X60-1)/4)+1))="",""," ("&amp;INDEX('Inventory - P05'!$C$16:$C$27,(INT((X60-1)/4)+1))&amp;" mg)"))</f>
        <v/>
      </c>
      <c r="D60" s="7" t="str">
        <f t="array" ref="D60">IF(X60="","",INDEX('Inventory - P05'!$K$16:$K$27,(INT((X60-1)/4)+1))-SUMPRODUCT(($B$10:$B$61=B60)*(($I$10:$I$61&lt;&gt;"")+($K$10:$K$61&lt;&gt;"")+($M$10:$M$61&lt;&gt;"")+($O$10:$O$61&lt;&gt;"")+($Q$10:$Q$61&lt;&gt;"")+($S$10:$S$61&lt;&gt;"")+($U$10:$U$61&lt;&gt;""))))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P05'!$D$16:$D$27,(INT((X60-1)/4)+1)))</f>
        <v/>
      </c>
      <c r="F60" s="7" t="str">
        <f t="array" ref="F60">IF(X60="","",INDEX('Inventory - P05'!$E$16:$E$27,(INT((X60-1)/4)+1)))</f>
        <v/>
      </c>
      <c r="G60" s="7" t="str">
        <f t="array" ref="G60">IF(X60="","",INDEX('Inventory - P05'!$I$16:$I$27,(INT((X60-1)/4)+1)))</f>
        <v/>
      </c>
      <c r="H60" s="7" t="str">
        <f t="array" ref="H60">IF(X60="","",INDEX('Inventory - P05'!$J$16:$J$27,(INT((X60-1)/4)+1)))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P05'!$B$16:$B$27,(INT((X61-1)/4)+1))&amp;IF(INDEX('Inventory - P05'!$C$16:$C$27,(INT((X61-1)/4)+1))="",""," ("&amp;INDEX('Inventory - P05'!$C$16:$C$27,(INT((X61-1)/4)+1))&amp;" mg)"))</f>
        <v/>
      </c>
      <c r="D61" s="7" t="str">
        <f t="array" ref="D61">IF(X61="","",INDEX('Inventory - P05'!$K$16:$K$27,(INT((X61-1)/4)+1))-SUMPRODUCT(($B$10:$B$61=B61)*(($I$10:$I$61&lt;&gt;"")+($K$10:$K$61&lt;&gt;"")+($M$10:$M$61&lt;&gt;"")+($O$10:$O$61&lt;&gt;"")+($Q$10:$Q$61&lt;&gt;"")+($S$10:$S$61&lt;&gt;"")+($U$10:$U$61&lt;&gt;""))))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P05'!$D$16:$D$27,(INT((X61-1)/4)+1)))</f>
        <v/>
      </c>
      <c r="F61" s="7" t="str">
        <f t="array" ref="F61">IF(X61="","",INDEX('Inventory - P05'!$E$16:$E$27,(INT((X61-1)/4)+1)))</f>
        <v/>
      </c>
      <c r="G61" s="7" t="str">
        <f t="array" ref="G61">IF(X61="","",INDEX('Inventory - P05'!$I$16:$I$27,(INT((X61-1)/4)+1)))</f>
        <v/>
      </c>
      <c r="H61" s="7" t="str">
        <f t="array" ref="H61">IF(X61="","",INDEX('Inventory - P05'!$J$16:$J$27,(INT((X61-1)/4)+1)))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P05'!E16&lt;1,'Inventory - P05'!F16="",'Inventory - P05'!G16=""),9,MOD('Inventory - P05'!F16+0*'Inventory - P05'!G16/24,1))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P05'!E16&lt;2,'Inventory - P05'!F16="",'Inventory - P05'!G16=""),9,MOD('Inventory - P05'!F16+1*'Inventory - P05'!G16/24,1))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P05'!E16&lt;3,'Inventory - P05'!F16="",'Inventory - P05'!G16=""),9,MOD('Inventory - P05'!F16+2*'Inventory - P05'!G16/24,1))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P05'!E16&lt;4,'Inventory - P05'!F16="",'Inventory - P05'!G16=""),9,MOD('Inventory - P05'!F16+3*'Inventory - P05'!G16/24,1))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P05'!E17&lt;1,'Inventory - P05'!F17="",'Inventory - P05'!G17=""),9,MOD('Inventory - P05'!F17+0*'Inventory - P05'!G17/24,1))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P05'!E17&lt;2,'Inventory - P05'!F17="",'Inventory - P05'!G17=""),9,MOD('Inventory - P05'!F17+1*'Inventory - P05'!G17/24,1))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P05'!E17&lt;3,'Inventory - P05'!F17="",'Inventory - P05'!G17=""),9,MOD('Inventory - P05'!F17+2*'Inventory - P05'!G17/24,1))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P05'!E17&lt;4,'Inventory - P05'!F17="",'Inventory - P05'!G17=""),9,MOD('Inventory - P05'!F17+3*'Inventory - P05'!G17/24,1))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P05'!E18&lt;1,'Inventory - P05'!F18="",'Inventory - P05'!G18=""),9,MOD('Inventory - P05'!F18+0*'Inventory - P05'!G18/24,1))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P05'!E18&lt;2,'Inventory - P05'!F18="",'Inventory - P05'!G18=""),9,MOD('Inventory - P05'!F18+1*'Inventory - P05'!G18/24,1))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P05'!E18&lt;3,'Inventory - P05'!F18="",'Inventory - P05'!G18=""),9,MOD('Inventory - P05'!F18+2*'Inventory - P05'!G18/24,1))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P05'!E18&lt;4,'Inventory - P05'!F18="",'Inventory - P05'!G18=""),9,MOD('Inventory - P05'!F18+3*'Inventory - P05'!G18/24,1))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P05'!E19&lt;1,'Inventory - P05'!F19="",'Inventory - P05'!G19=""),9,MOD('Inventory - P05'!F19+0*'Inventory - P05'!G19/24,1))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P05'!E19&lt;2,'Inventory - P05'!F19="",'Inventory - P05'!G19=""),9,MOD('Inventory - P05'!F19+1*'Inventory - P05'!G19/24,1))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P05'!E19&lt;3,'Inventory - P05'!F19="",'Inventory - P05'!G19=""),9,MOD('Inventory - P05'!F19+2*'Inventory - P05'!G19/24,1))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P05'!E19&lt;4,'Inventory - P05'!F19="",'Inventory - P05'!G19=""),9,MOD('Inventory - P05'!F19+3*'Inventory - P05'!G19/24,1))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P05'!E20&lt;1,'Inventory - P05'!F20="",'Inventory - P05'!G20=""),9,MOD('Inventory - P05'!F20+0*'Inventory - P05'!G20/24,1))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P05'!E20&lt;2,'Inventory - P05'!F20="",'Inventory - P05'!G20=""),9,MOD('Inventory - P05'!F20+1*'Inventory - P05'!G20/24,1))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P05'!E20&lt;3,'Inventory - P05'!F20="",'Inventory - P05'!G20=""),9,MOD('Inventory - P05'!F20+2*'Inventory - P05'!G20/24,1))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P05'!E20&lt;4,'Inventory - P05'!F20="",'Inventory - P05'!G20=""),9,MOD('Inventory - P05'!F20+3*'Inventory - P05'!G20/24,1))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P05'!E21&lt;1,'Inventory - P05'!F21="",'Inventory - P05'!G21=""),9,MOD('Inventory - P05'!F21+0*'Inventory - P05'!G21/24,1))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P05'!E21&lt;2,'Inventory - P05'!F21="",'Inventory - P05'!G21=""),9,MOD('Inventory - P05'!F21+1*'Inventory - P05'!G21/24,1))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P05'!E21&lt;3,'Inventory - P05'!F21="",'Inventory - P05'!G21=""),9,MOD('Inventory - P05'!F21+2*'Inventory - P05'!G21/24,1))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P05'!E21&lt;4,'Inventory - P05'!F21="",'Inventory - P05'!G21=""),9,MOD('Inventory - P05'!F21+3*'Inventory - P05'!G21/24,1))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P05'!E22&lt;1,'Inventory - P05'!F22="",'Inventory - P05'!G22=""),9,MOD('Inventory - P05'!F22+0*'Inventory - P05'!G22/24,1))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P05'!E22&lt;2,'Inventory - P05'!F22="",'Inventory - P05'!G22=""),9,MOD('Inventory - P05'!F22+1*'Inventory - P05'!G22/24,1))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P05'!E22&lt;3,'Inventory - P05'!F22="",'Inventory - P05'!G22=""),9,MOD('Inventory - P05'!F22+2*'Inventory - P05'!G22/24,1))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P05'!E22&lt;4,'Inventory - P05'!F22="",'Inventory - P05'!G22=""),9,MOD('Inventory - P05'!F22+3*'Inventory - P05'!G22/24,1))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P05'!E23&lt;1,'Inventory - P05'!F23="",'Inventory - P05'!G23=""),9,MOD('Inventory - P05'!F23+0*'Inventory - P05'!G23/24,1))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P05'!E23&lt;2,'Inventory - P05'!F23="",'Inventory - P05'!G23=""),9,MOD('Inventory - P05'!F23+1*'Inventory - P05'!G23/24,1))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P05'!E23&lt;3,'Inventory - P05'!F23="",'Inventory - P05'!G23=""),9,MOD('Inventory - P05'!F23+2*'Inventory - P05'!G23/24,1))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P05'!E23&lt;4,'Inventory - P05'!F23="",'Inventory - P05'!G23=""),9,MOD('Inventory - P05'!F23+3*'Inventory - P05'!G23/24,1))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P05'!E24&lt;1,'Inventory - P05'!F24="",'Inventory - P05'!G24=""),9,MOD('Inventory - P05'!F24+0*'Inventory - P05'!G24/24,1))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P05'!E24&lt;2,'Inventory - P05'!F24="",'Inventory - P05'!G24=""),9,MOD('Inventory - P05'!F24+1*'Inventory - P05'!G24/24,1))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P05'!E24&lt;3,'Inventory - P05'!F24="",'Inventory - P05'!G24=""),9,MOD('Inventory - P05'!F24+2*'Inventory - P05'!G24/24,1))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P05'!E24&lt;4,'Inventory - P05'!F24="",'Inventory - P05'!G24=""),9,MOD('Inventory - P05'!F24+3*'Inventory - P05'!G24/24,1))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P05'!E25&lt;1,'Inventory - P05'!F25="",'Inventory - P05'!G25=""),9,MOD('Inventory - P05'!F25+0*'Inventory - P05'!G25/24,1))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P05'!E25&lt;2,'Inventory - P05'!F25="",'Inventory - P05'!G25=""),9,MOD('Inventory - P05'!F25+1*'Inventory - P05'!G25/24,1))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P05'!E25&lt;3,'Inventory - P05'!F25="",'Inventory - P05'!G25=""),9,MOD('Inventory - P05'!F25+2*'Inventory - P05'!G25/24,1))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P05'!E25&lt;4,'Inventory - P05'!F25="",'Inventory - P05'!G25=""),9,MOD('Inventory - P05'!F25+3*'Inventory - P05'!G25/24,1))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P05'!E26&lt;1,'Inventory - P05'!F26="",'Inventory - P05'!G26=""),9,MOD('Inventory - P05'!F26+0*'Inventory - P05'!G26/24,1))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P05'!E26&lt;2,'Inventory - P05'!F26="",'Inventory - P05'!G26=""),9,MOD('Inventory - P05'!F26+1*'Inventory - P05'!G26/24,1))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P05'!E26&lt;3,'Inventory - P05'!F26="",'Inventory - P05'!G26=""),9,MOD('Inventory - P05'!F26+2*'Inventory - P05'!G26/24,1))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P05'!E26&lt;4,'Inventory - P05'!F26="",'Inventory - P05'!G26=""),9,MOD('Inventory - P05'!F26+3*'Inventory - P05'!G26/24,1))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P05'!E27&lt;1,'Inventory - P05'!F27="",'Inventory - P05'!G27=""),9,MOD('Inventory - P05'!F27+0*'Inventory - P05'!G27/24,1))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P05'!E27&lt;2,'Inventory - P05'!F27="",'Inventory - P05'!G27=""),9,MOD('Inventory - P05'!F27+1*'Inventory - P05'!G27/24,1))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P05'!E27&lt;3,'Inventory - P05'!F27="",'Inventory - P05'!G27=""),9,MOD('Inventory - P05'!F27+2*'Inventory - P05'!G27/24,1))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P05'!E27&lt;4,'Inventory - P05'!F27="",'Inventory - P05'!G27=""),9,MOD('Inventory - P05'!F27+3*'Inventory - P05'!G27/24,1))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677" priority="1">
      <formula>$W11&gt;=9</formula>
    </cfRule>
  </conditionalFormatting>
  <conditionalFormatting sqref="A12:V12">
    <cfRule type="expression" dxfId="676" priority="2">
      <formula>$W12&gt;=9</formula>
    </cfRule>
  </conditionalFormatting>
  <conditionalFormatting sqref="A13:V13">
    <cfRule type="expression" dxfId="675" priority="3">
      <formula>$W13&gt;=9</formula>
    </cfRule>
  </conditionalFormatting>
  <conditionalFormatting sqref="A14:V14">
    <cfRule type="expression" dxfId="674" priority="4">
      <formula>$W14&gt;=9</formula>
    </cfRule>
  </conditionalFormatting>
  <conditionalFormatting sqref="A15:V15">
    <cfRule type="expression" dxfId="673" priority="5">
      <formula>$W15&gt;=9</formula>
    </cfRule>
  </conditionalFormatting>
  <conditionalFormatting sqref="A16:V16">
    <cfRule type="expression" dxfId="672" priority="6">
      <formula>$W16&gt;=9</formula>
    </cfRule>
  </conditionalFormatting>
  <conditionalFormatting sqref="A17:V17">
    <cfRule type="expression" dxfId="671" priority="7">
      <formula>$W17&gt;=9</formula>
    </cfRule>
  </conditionalFormatting>
  <conditionalFormatting sqref="A18:V18">
    <cfRule type="expression" dxfId="670" priority="8">
      <formula>$W18&gt;=9</formula>
    </cfRule>
  </conditionalFormatting>
  <conditionalFormatting sqref="A19:V19">
    <cfRule type="expression" dxfId="669" priority="9">
      <formula>$W19&gt;=9</formula>
    </cfRule>
  </conditionalFormatting>
  <conditionalFormatting sqref="A20:V20">
    <cfRule type="expression" dxfId="668" priority="10">
      <formula>$W20&gt;=9</formula>
    </cfRule>
  </conditionalFormatting>
  <conditionalFormatting sqref="A21:V21">
    <cfRule type="expression" dxfId="667" priority="11">
      <formula>$W21&gt;=9</formula>
    </cfRule>
  </conditionalFormatting>
  <conditionalFormatting sqref="A22:V22">
    <cfRule type="expression" dxfId="666" priority="12">
      <formula>$W22&gt;=9</formula>
    </cfRule>
  </conditionalFormatting>
  <conditionalFormatting sqref="A24:V24">
    <cfRule type="expression" dxfId="665" priority="13">
      <formula>$W24&gt;=9</formula>
    </cfRule>
  </conditionalFormatting>
  <conditionalFormatting sqref="A25:V25">
    <cfRule type="expression" dxfId="664" priority="14">
      <formula>$W25&gt;=9</formula>
    </cfRule>
  </conditionalFormatting>
  <conditionalFormatting sqref="A26:V26">
    <cfRule type="expression" dxfId="663" priority="15">
      <formula>$W26&gt;=9</formula>
    </cfRule>
  </conditionalFormatting>
  <conditionalFormatting sqref="A27:V27">
    <cfRule type="expression" dxfId="662" priority="16">
      <formula>$W27&gt;=9</formula>
    </cfRule>
  </conditionalFormatting>
  <conditionalFormatting sqref="A28:V28">
    <cfRule type="expression" dxfId="661" priority="17">
      <formula>$W28&gt;=9</formula>
    </cfRule>
  </conditionalFormatting>
  <conditionalFormatting sqref="A29:V29">
    <cfRule type="expression" dxfId="660" priority="18">
      <formula>$W29&gt;=9</formula>
    </cfRule>
  </conditionalFormatting>
  <conditionalFormatting sqref="A30:V30">
    <cfRule type="expression" dxfId="659" priority="19">
      <formula>$W30&gt;=9</formula>
    </cfRule>
  </conditionalFormatting>
  <conditionalFormatting sqref="A31:V31">
    <cfRule type="expression" dxfId="658" priority="20">
      <formula>$W31&gt;=9</formula>
    </cfRule>
  </conditionalFormatting>
  <conditionalFormatting sqref="A32:V32">
    <cfRule type="expression" dxfId="657" priority="21">
      <formula>$W32&gt;=9</formula>
    </cfRule>
  </conditionalFormatting>
  <conditionalFormatting sqref="A33:V33">
    <cfRule type="expression" dxfId="656" priority="22">
      <formula>$W33&gt;=9</formula>
    </cfRule>
  </conditionalFormatting>
  <conditionalFormatting sqref="A34:V34">
    <cfRule type="expression" dxfId="655" priority="23">
      <formula>$W34&gt;=9</formula>
    </cfRule>
  </conditionalFormatting>
  <conditionalFormatting sqref="A35:V35">
    <cfRule type="expression" dxfId="654" priority="24">
      <formula>$W35&gt;=9</formula>
    </cfRule>
  </conditionalFormatting>
  <conditionalFormatting sqref="A37:V37">
    <cfRule type="expression" dxfId="653" priority="25">
      <formula>$W37&gt;=9</formula>
    </cfRule>
  </conditionalFormatting>
  <conditionalFormatting sqref="A38:V38">
    <cfRule type="expression" dxfId="652" priority="26">
      <formula>$W38&gt;=9</formula>
    </cfRule>
  </conditionalFormatting>
  <conditionalFormatting sqref="A39:V39">
    <cfRule type="expression" dxfId="651" priority="27">
      <formula>$W39&gt;=9</formula>
    </cfRule>
  </conditionalFormatting>
  <conditionalFormatting sqref="A40:V40">
    <cfRule type="expression" dxfId="650" priority="28">
      <formula>$W40&gt;=9</formula>
    </cfRule>
  </conditionalFormatting>
  <conditionalFormatting sqref="A41:V41">
    <cfRule type="expression" dxfId="649" priority="29">
      <formula>$W41&gt;=9</formula>
    </cfRule>
  </conditionalFormatting>
  <conditionalFormatting sqref="A42:V42">
    <cfRule type="expression" dxfId="648" priority="30">
      <formula>$W42&gt;=9</formula>
    </cfRule>
  </conditionalFormatting>
  <conditionalFormatting sqref="A43:V43">
    <cfRule type="expression" dxfId="647" priority="31">
      <formula>$W43&gt;=9</formula>
    </cfRule>
  </conditionalFormatting>
  <conditionalFormatting sqref="A44:V44">
    <cfRule type="expression" dxfId="646" priority="32">
      <formula>$W44&gt;=9</formula>
    </cfRule>
  </conditionalFormatting>
  <conditionalFormatting sqref="A45:V45">
    <cfRule type="expression" dxfId="645" priority="33">
      <formula>$W45&gt;=9</formula>
    </cfRule>
  </conditionalFormatting>
  <conditionalFormatting sqref="A46:V46">
    <cfRule type="expression" dxfId="644" priority="34">
      <formula>$W46&gt;=9</formula>
    </cfRule>
  </conditionalFormatting>
  <conditionalFormatting sqref="A47:V47">
    <cfRule type="expression" dxfId="643" priority="35">
      <formula>$W47&gt;=9</formula>
    </cfRule>
  </conditionalFormatting>
  <conditionalFormatting sqref="A48:V48">
    <cfRule type="expression" dxfId="642" priority="36">
      <formula>$W48&gt;=9</formula>
    </cfRule>
  </conditionalFormatting>
  <conditionalFormatting sqref="A50:V50">
    <cfRule type="expression" dxfId="641" priority="37">
      <formula>$W50&gt;=9</formula>
    </cfRule>
  </conditionalFormatting>
  <conditionalFormatting sqref="A51:V51">
    <cfRule type="expression" dxfId="640" priority="38">
      <formula>$W51&gt;=9</formula>
    </cfRule>
  </conditionalFormatting>
  <conditionalFormatting sqref="A52:V52">
    <cfRule type="expression" dxfId="639" priority="39">
      <formula>$W52&gt;=9</formula>
    </cfRule>
  </conditionalFormatting>
  <conditionalFormatting sqref="A53:V53">
    <cfRule type="expression" dxfId="638" priority="40">
      <formula>$W53&gt;=9</formula>
    </cfRule>
  </conditionalFormatting>
  <conditionalFormatting sqref="A54:V54">
    <cfRule type="expression" dxfId="637" priority="41">
      <formula>$W54&gt;=9</formula>
    </cfRule>
  </conditionalFormatting>
  <conditionalFormatting sqref="A55:V55">
    <cfRule type="expression" dxfId="636" priority="42">
      <formula>$W55&gt;=9</formula>
    </cfRule>
  </conditionalFormatting>
  <conditionalFormatting sqref="A56:V56">
    <cfRule type="expression" dxfId="635" priority="43">
      <formula>$W56&gt;=9</formula>
    </cfRule>
  </conditionalFormatting>
  <conditionalFormatting sqref="A57:V57">
    <cfRule type="expression" dxfId="634" priority="44">
      <formula>$W57&gt;=9</formula>
    </cfRule>
  </conditionalFormatting>
  <conditionalFormatting sqref="A58:V58">
    <cfRule type="expression" dxfId="633" priority="45">
      <formula>$W58&gt;=9</formula>
    </cfRule>
  </conditionalFormatting>
  <conditionalFormatting sqref="A59:V59">
    <cfRule type="expression" dxfId="632" priority="46">
      <formula>$W59&gt;=9</formula>
    </cfRule>
  </conditionalFormatting>
  <conditionalFormatting sqref="A60:V60">
    <cfRule type="expression" dxfId="631" priority="47">
      <formula>$W60&gt;=9</formula>
    </cfRule>
  </conditionalFormatting>
  <conditionalFormatting sqref="A61:V61">
    <cfRule type="expression" dxfId="630" priority="48">
      <formula>$W61&gt;=9</formula>
    </cfRule>
  </conditionalFormatting>
  <conditionalFormatting sqref="H10:H61">
    <cfRule type="cellIs" dxfId="629" priority="49" operator="equal">
      <formula>"Physical"</formula>
    </cfRule>
  </conditionalFormatting>
  <conditionalFormatting sqref="H10:H61">
    <cfRule type="cellIs" dxfId="628" priority="50" operator="equal">
      <formula>"Psychological"</formula>
    </cfRule>
  </conditionalFormatting>
  <conditionalFormatting sqref="G10:G61">
    <cfRule type="cellIs" dxfId="627" priority="51" operator="equal">
      <formula>"Y"</formula>
    </cfRule>
  </conditionalFormatting>
  <conditionalFormatting sqref="G10:G61">
    <cfRule type="cellIs" dxfId="626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Tracker'!B10="","",UPPER(LEFT(TRIM('Client Needs Tracker'!B10),1))&amp;UPPER(MID('Client Needs Tracker'!B10,FIND("@",SUBSTITUTE('Client Needs Tracker'!B10," ","@",LEN('Client Needs Tracker'!B10)-LEN(SUBSTITUTE('Client Needs Tracker'!B10," ",""))))+1,1))&amp;"-"&amp;SUBSTITUTE('Client Needs Tracker'!S10,"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Tracker'!S10="","","INV-"&amp;SUBSTITUTE('Client Needs Tracker'!S10," ",""))</f>
        <v>INV-M-3B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Tracker'!B10="","(Add client on Client Needs Tracker, row 10)",'Client Needs Tracker'!B10)</f>
        <v>(Add client on Client Needs Tracker, row 10)</v>
      </c>
      <c r="B6" s="134"/>
      <c r="C6" s="134"/>
      <c r="D6" s="134"/>
      <c r="E6" s="134"/>
      <c r="F6" s="93">
        <f>'Client Needs Tracker'!A10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Tracker'!C10="","",'Client Needs Tracker'!C10)</f>
        <v/>
      </c>
      <c r="B8" s="134"/>
      <c r="C8" s="134"/>
      <c r="D8" s="134"/>
      <c r="E8" s="134"/>
      <c r="F8" s="95">
        <f>'Client Needs Tracker'!E10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Tracker'!F10="","",'Client Needs Tracker'!F10)</f>
        <v/>
      </c>
      <c r="B10" s="134"/>
      <c r="C10" s="134"/>
      <c r="D10" s="134"/>
      <c r="E10" s="134"/>
      <c r="F10" s="89" t="str">
        <f>IF('Client Status Board'!G10="","",'Client Status Board'!G10)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Board'!L10="","",'Client Status Board'!L10)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P06'!$B$10:$B$61=1)*(('MAR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P06'!$B$10:$B$61=2)*(('MAR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P06'!$B$10:$B$61=3)*(('MAR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P06'!$B$10:$B$61=4)*(('MAR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P06'!$B$10:$B$61=5)*(('MAR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P06'!$B$10:$B$61=6)*(('MAR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P06'!$B$10:$B$61=7)*(('MAR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P06'!$B$10:$B$61=8)*(('MAR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P06'!$B$10:$B$61=9)*(('MAR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P06'!$B$10:$B$61=10)*(('MAR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P06'!$B$10:$B$61=11)*(('MAR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P06'!$B$10:$B$61=12)*(('MAR - P06'!$I$10:$I$61&lt;&gt;"")+('MAR - P06'!$K$10:$K$61&lt;&gt;"")+('MAR - P06'!$M$10:$M$61&lt;&gt;"")+('MAR - P06'!$O$10:$O$61&lt;&gt;"")+('MAR - P06'!$Q$10:$Q$61&lt;&gt;"")+('MAR - P06'!$S$10:$S$61&lt;&gt;"")+('MAR - P06'!$U$10:$U$61&lt;&gt;""))))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625" priority="1" operator="equal">
      <formula>"Physical"</formula>
    </cfRule>
  </conditionalFormatting>
  <conditionalFormatting sqref="J16:J27">
    <cfRule type="cellIs" dxfId="624" priority="2" operator="equal">
      <formula>"Psychological"</formula>
    </cfRule>
  </conditionalFormatting>
  <conditionalFormatting sqref="I16:I27">
    <cfRule type="cellIs" dxfId="623" priority="3" operator="equal">
      <formula>"Y"</formula>
    </cfRule>
  </conditionalFormatting>
  <conditionalFormatting sqref="I16:I27">
    <cfRule type="cellIs" dxfId="622" priority="4" operator="equal">
      <formula>"N"</formula>
    </cfRule>
  </conditionalFormatting>
  <dataValidations count="5">
    <dataValidation type="list" allowBlank="1" sqref="I16:I27" xr:uid="{00000000-0002-0000-0F00-000001000000}">
      <formula1>"Y,N"</formula1>
    </dataValidation>
    <dataValidation type="list" allowBlank="1" sqref="J16:J27" xr:uid="{00000000-0002-0000-0F00-000002000000}">
      <formula1>"Physical,Psychological"</formula1>
    </dataValidation>
    <dataValidation type="list" allowBlank="1" sqref="C16:C27" xr:uid="{00000000-0002-0000-0F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0F00-000004000000}">
      <formula1>"PO,IM,IV,SubQ,Topical,Inhaled,Sublingual,Rectal,Other"</formula1>
    </dataValidation>
    <dataValidation type="list" allowBlank="1" sqref="G16:G27" xr:uid="{00000000-0002-0000-0F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F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Tracker'!B10="","",UPPER(LEFT(TRIM('Client Needs Tracker'!B10),1))&amp;UPPER(MID('Client Needs Tracker'!B10,FIND("@",SUBSTITUTE('Client Needs Tracker'!B10," ","@",LEN('Client Needs Tracker'!B10)-LEN(SUBSTITUTE('Client Needs Tracker'!B10," ",""))))+1,1))&amp;"-"&amp;SUBSTITUTE('Client Needs Tracker'!S10," ",""))</f>
        <v/>
      </c>
    </row>
    <row r="3" spans="1:33" ht="15" customHeight="1">
      <c r="A3" s="103" t="str">
        <f>IF('Inventory - P06'!A6="","(Enter name in Inventory - P06)",'Inventory - P06'!A6)</f>
        <v>(Add client on Client Needs Tracker, row 10)</v>
      </c>
      <c r="B3" s="145"/>
      <c r="C3" s="145"/>
      <c r="D3" s="145"/>
      <c r="E3" s="145"/>
      <c r="F3" s="104" t="str">
        <f>IF('Inventory - P06'!F6="","(Enter ID in Inventory - P06)","Member ID: "&amp;'Inventory - P06'!F6)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Tracker'!S10="","","INV-"&amp;SUBSTITUTE('Client Needs Tracker'!S10," ",""))</f>
        <v>INV-M-3B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P06'!F8="","-",'Inventory - P06'!F8)</f>
        <v>LOC: 0</v>
      </c>
      <c r="B5" s="106"/>
      <c r="C5" s="2"/>
      <c r="D5" s="102" t="str">
        <f>"Case Manager: "&amp;IF('Inventory - P06'!A10="","-",'Inventory - P06'!A10)</f>
        <v>Case Manager: -</v>
      </c>
      <c r="E5" s="106"/>
      <c r="F5" s="2"/>
      <c r="G5" s="102" t="str">
        <f>"Doctor: "&amp;IF('Inventory - P06'!F10="","-",'Inventory - P06'!F10)</f>
        <v>Doctor: -</v>
      </c>
      <c r="H5" s="106"/>
      <c r="I5" s="2"/>
      <c r="J5" s="102" t="str">
        <f>"Pharmacy: "&amp;IF('Inventory - P06'!A12="","-",'Inventory - P06'!A12)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P06'!A14="","",'Inventory - P06'!A14)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P06'!A14="","",'Inventory - P06'!A14+0)</f>
        <v/>
      </c>
      <c r="J8" s="134"/>
      <c r="K8" s="101" t="str">
        <f>IF('Inventory - P06'!A14="","",'Inventory - P06'!A14+1)</f>
        <v/>
      </c>
      <c r="L8" s="134"/>
      <c r="M8" s="101" t="str">
        <f>IF('Inventory - P06'!A14="","",'Inventory - P06'!A14+2)</f>
        <v/>
      </c>
      <c r="N8" s="134"/>
      <c r="O8" s="101" t="str">
        <f>IF('Inventory - P06'!A14="","",'Inventory - P06'!A14+3)</f>
        <v/>
      </c>
      <c r="P8" s="134"/>
      <c r="Q8" s="101" t="str">
        <f>IF('Inventory - P06'!A14="","",'Inventory - P06'!A14+4)</f>
        <v/>
      </c>
      <c r="R8" s="134"/>
      <c r="S8" s="101" t="str">
        <f>IF('Inventory - P06'!A14="","",'Inventory - P06'!A14+5)</f>
        <v/>
      </c>
      <c r="T8" s="134"/>
      <c r="U8" s="101" t="str">
        <f>IF('Inventory - P06'!A14="","",'Inventory - P06'!A14+6)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P06'!$B$16:$B$27,(INT((X11-1)/4)+1))&amp;IF(INDEX('Inventory - P06'!$C$16:$C$27,(INT((X11-1)/4)+1))="",""," ("&amp;INDEX('Inventory - P06'!$C$16:$C$27,(INT((X11-1)/4)+1))&amp;" mg)"))</f>
        <v/>
      </c>
      <c r="D11" s="7" t="str">
        <f t="array" ref="D11">IF(X11="","",INDEX('Inventory - P06'!$K$16:$K$27,(INT((X11-1)/4)+1))-SUMPRODUCT(($B$10:$B$61=B11)*(($I$10:$I$61&lt;&gt;"")+($K$10:$K$61&lt;&gt;"")+($M$10:$M$61&lt;&gt;"")+($O$10:$O$61&lt;&gt;"")+($Q$10:$Q$61&lt;&gt;"")+($S$10:$S$61&lt;&gt;"")+($U$10:$U$61&lt;&gt;""))))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P06'!$D$16:$D$27,(INT((X11-1)/4)+1)))</f>
        <v/>
      </c>
      <c r="F11" s="7" t="str">
        <f t="array" ref="F11">IF(X11="","",INDEX('Inventory - P06'!$E$16:$E$27,(INT((X11-1)/4)+1)))</f>
        <v/>
      </c>
      <c r="G11" s="7" t="str">
        <f t="array" ref="G11">IF(X11="","",INDEX('Inventory - P06'!$I$16:$I$27,(INT((X11-1)/4)+1)))</f>
        <v/>
      </c>
      <c r="H11" s="7" t="str">
        <f t="array" ref="H11">IF(X11="","",INDEX('Inventory - P06'!$J$16:$J$27,(INT((X11-1)/4)+1)))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P06'!$B$16:$B$27,(INT((X12-1)/4)+1))&amp;IF(INDEX('Inventory - P06'!$C$16:$C$27,(INT((X12-1)/4)+1))="",""," ("&amp;INDEX('Inventory - P06'!$C$16:$C$27,(INT((X12-1)/4)+1))&amp;" mg)"))</f>
        <v/>
      </c>
      <c r="D12" s="7" t="str">
        <f t="array" ref="D12">IF(X12="","",INDEX('Inventory - P06'!$K$16:$K$27,(INT((X12-1)/4)+1))-SUMPRODUCT(($B$10:$B$61=B12)*(($I$10:$I$61&lt;&gt;"")+($K$10:$K$61&lt;&gt;"")+($M$10:$M$61&lt;&gt;"")+($O$10:$O$61&lt;&gt;"")+($Q$10:$Q$61&lt;&gt;"")+($S$10:$S$61&lt;&gt;"")+($U$10:$U$61&lt;&gt;""))))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P06'!$D$16:$D$27,(INT((X12-1)/4)+1)))</f>
        <v/>
      </c>
      <c r="F12" s="7" t="str">
        <f t="array" ref="F12">IF(X12="","",INDEX('Inventory - P06'!$E$16:$E$27,(INT((X12-1)/4)+1)))</f>
        <v/>
      </c>
      <c r="G12" s="7" t="str">
        <f t="array" ref="G12">IF(X12="","",INDEX('Inventory - P06'!$I$16:$I$27,(INT((X12-1)/4)+1)))</f>
        <v/>
      </c>
      <c r="H12" s="7" t="str">
        <f t="array" ref="H12">IF(X12="","",INDEX('Inventory - P06'!$J$16:$J$27,(INT((X12-1)/4)+1)))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P06'!$B$16:$B$27,(INT((X13-1)/4)+1))&amp;IF(INDEX('Inventory - P06'!$C$16:$C$27,(INT((X13-1)/4)+1))="",""," ("&amp;INDEX('Inventory - P06'!$C$16:$C$27,(INT((X13-1)/4)+1))&amp;" mg)"))</f>
        <v/>
      </c>
      <c r="D13" s="7" t="str">
        <f t="array" ref="D13">IF(X13="","",INDEX('Inventory - P06'!$K$16:$K$27,(INT((X13-1)/4)+1))-SUMPRODUCT(($B$10:$B$61=B13)*(($I$10:$I$61&lt;&gt;"")+($K$10:$K$61&lt;&gt;"")+($M$10:$M$61&lt;&gt;"")+($O$10:$O$61&lt;&gt;"")+($Q$10:$Q$61&lt;&gt;"")+($S$10:$S$61&lt;&gt;"")+($U$10:$U$61&lt;&gt;""))))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P06'!$D$16:$D$27,(INT((X13-1)/4)+1)))</f>
        <v/>
      </c>
      <c r="F13" s="7" t="str">
        <f t="array" ref="F13">IF(X13="","",INDEX('Inventory - P06'!$E$16:$E$27,(INT((X13-1)/4)+1)))</f>
        <v/>
      </c>
      <c r="G13" s="7" t="str">
        <f t="array" ref="G13">IF(X13="","",INDEX('Inventory - P06'!$I$16:$I$27,(INT((X13-1)/4)+1)))</f>
        <v/>
      </c>
      <c r="H13" s="7" t="str">
        <f t="array" ref="H13">IF(X13="","",INDEX('Inventory - P06'!$J$16:$J$27,(INT((X13-1)/4)+1)))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P06'!$B$16:$B$27,(INT((X14-1)/4)+1))&amp;IF(INDEX('Inventory - P06'!$C$16:$C$27,(INT((X14-1)/4)+1))="",""," ("&amp;INDEX('Inventory - P06'!$C$16:$C$27,(INT((X14-1)/4)+1))&amp;" mg)"))</f>
        <v/>
      </c>
      <c r="D14" s="7" t="str">
        <f t="array" ref="D14">IF(X14="","",INDEX('Inventory - P06'!$K$16:$K$27,(INT((X14-1)/4)+1))-SUMPRODUCT(($B$10:$B$61=B14)*(($I$10:$I$61&lt;&gt;"")+($K$10:$K$61&lt;&gt;"")+($M$10:$M$61&lt;&gt;"")+($O$10:$O$61&lt;&gt;"")+($Q$10:$Q$61&lt;&gt;"")+($S$10:$S$61&lt;&gt;"")+($U$10:$U$61&lt;&gt;""))))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P06'!$D$16:$D$27,(INT((X14-1)/4)+1)))</f>
        <v/>
      </c>
      <c r="F14" s="7" t="str">
        <f t="array" ref="F14">IF(X14="","",INDEX('Inventory - P06'!$E$16:$E$27,(INT((X14-1)/4)+1)))</f>
        <v/>
      </c>
      <c r="G14" s="7" t="str">
        <f t="array" ref="G14">IF(X14="","",INDEX('Inventory - P06'!$I$16:$I$27,(INT((X14-1)/4)+1)))</f>
        <v/>
      </c>
      <c r="H14" s="7" t="str">
        <f t="array" ref="H14">IF(X14="","",INDEX('Inventory - P06'!$J$16:$J$27,(INT((X14-1)/4)+1)))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P06'!$B$16:$B$27,(INT((X15-1)/4)+1))&amp;IF(INDEX('Inventory - P06'!$C$16:$C$27,(INT((X15-1)/4)+1))="",""," ("&amp;INDEX('Inventory - P06'!$C$16:$C$27,(INT((X15-1)/4)+1))&amp;" mg)"))</f>
        <v/>
      </c>
      <c r="D15" s="7" t="str">
        <f t="array" ref="D15">IF(X15="","",INDEX('Inventory - P06'!$K$16:$K$27,(INT((X15-1)/4)+1))-SUMPRODUCT(($B$10:$B$61=B15)*(($I$10:$I$61&lt;&gt;"")+($K$10:$K$61&lt;&gt;"")+($M$10:$M$61&lt;&gt;"")+($O$10:$O$61&lt;&gt;"")+($Q$10:$Q$61&lt;&gt;"")+($S$10:$S$61&lt;&gt;"")+($U$10:$U$61&lt;&gt;""))))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P06'!$D$16:$D$27,(INT((X15-1)/4)+1)))</f>
        <v/>
      </c>
      <c r="F15" s="7" t="str">
        <f t="array" ref="F15">IF(X15="","",INDEX('Inventory - P06'!$E$16:$E$27,(INT((X15-1)/4)+1)))</f>
        <v/>
      </c>
      <c r="G15" s="7" t="str">
        <f t="array" ref="G15">IF(X15="","",INDEX('Inventory - P06'!$I$16:$I$27,(INT((X15-1)/4)+1)))</f>
        <v/>
      </c>
      <c r="H15" s="7" t="str">
        <f t="array" ref="H15">IF(X15="","",INDEX('Inventory - P06'!$J$16:$J$27,(INT((X15-1)/4)+1)))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P06'!$B$16:$B$27,(INT((X16-1)/4)+1))&amp;IF(INDEX('Inventory - P06'!$C$16:$C$27,(INT((X16-1)/4)+1))="",""," ("&amp;INDEX('Inventory - P06'!$C$16:$C$27,(INT((X16-1)/4)+1))&amp;" mg)"))</f>
        <v/>
      </c>
      <c r="D16" s="7" t="str">
        <f t="array" ref="D16">IF(X16="","",INDEX('Inventory - P06'!$K$16:$K$27,(INT((X16-1)/4)+1))-SUMPRODUCT(($B$10:$B$61=B16)*(($I$10:$I$61&lt;&gt;"")+($K$10:$K$61&lt;&gt;"")+($M$10:$M$61&lt;&gt;"")+($O$10:$O$61&lt;&gt;"")+($Q$10:$Q$61&lt;&gt;"")+($S$10:$S$61&lt;&gt;"")+($U$10:$U$61&lt;&gt;""))))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P06'!$D$16:$D$27,(INT((X16-1)/4)+1)))</f>
        <v/>
      </c>
      <c r="F16" s="7" t="str">
        <f t="array" ref="F16">IF(X16="","",INDEX('Inventory - P06'!$E$16:$E$27,(INT((X16-1)/4)+1)))</f>
        <v/>
      </c>
      <c r="G16" s="7" t="str">
        <f t="array" ref="G16">IF(X16="","",INDEX('Inventory - P06'!$I$16:$I$27,(INT((X16-1)/4)+1)))</f>
        <v/>
      </c>
      <c r="H16" s="7" t="str">
        <f t="array" ref="H16">IF(X16="","",INDEX('Inventory - P06'!$J$16:$J$27,(INT((X16-1)/4)+1)))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P06'!$B$16:$B$27,(INT((X17-1)/4)+1))&amp;IF(INDEX('Inventory - P06'!$C$16:$C$27,(INT((X17-1)/4)+1))="",""," ("&amp;INDEX('Inventory - P06'!$C$16:$C$27,(INT((X17-1)/4)+1))&amp;" mg)"))</f>
        <v/>
      </c>
      <c r="D17" s="7" t="str">
        <f t="array" ref="D17">IF(X17="","",INDEX('Inventory - P06'!$K$16:$K$27,(INT((X17-1)/4)+1))-SUMPRODUCT(($B$10:$B$61=B17)*(($I$10:$I$61&lt;&gt;"")+($K$10:$K$61&lt;&gt;"")+($M$10:$M$61&lt;&gt;"")+($O$10:$O$61&lt;&gt;"")+($Q$10:$Q$61&lt;&gt;"")+($S$10:$S$61&lt;&gt;"")+($U$10:$U$61&lt;&gt;""))))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P06'!$D$16:$D$27,(INT((X17-1)/4)+1)))</f>
        <v/>
      </c>
      <c r="F17" s="7" t="str">
        <f t="array" ref="F17">IF(X17="","",INDEX('Inventory - P06'!$E$16:$E$27,(INT((X17-1)/4)+1)))</f>
        <v/>
      </c>
      <c r="G17" s="7" t="str">
        <f t="array" ref="G17">IF(X17="","",INDEX('Inventory - P06'!$I$16:$I$27,(INT((X17-1)/4)+1)))</f>
        <v/>
      </c>
      <c r="H17" s="7" t="str">
        <f t="array" ref="H17">IF(X17="","",INDEX('Inventory - P06'!$J$16:$J$27,(INT((X17-1)/4)+1)))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P06'!$B$16:$B$27,(INT((X18-1)/4)+1))&amp;IF(INDEX('Inventory - P06'!$C$16:$C$27,(INT((X18-1)/4)+1))="",""," ("&amp;INDEX('Inventory - P06'!$C$16:$C$27,(INT((X18-1)/4)+1))&amp;" mg)"))</f>
        <v/>
      </c>
      <c r="D18" s="7" t="str">
        <f t="array" ref="D18">IF(X18="","",INDEX('Inventory - P06'!$K$16:$K$27,(INT((X18-1)/4)+1))-SUMPRODUCT(($B$10:$B$61=B18)*(($I$10:$I$61&lt;&gt;"")+($K$10:$K$61&lt;&gt;"")+($M$10:$M$61&lt;&gt;"")+($O$10:$O$61&lt;&gt;"")+($Q$10:$Q$61&lt;&gt;"")+($S$10:$S$61&lt;&gt;"")+($U$10:$U$61&lt;&gt;""))))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P06'!$D$16:$D$27,(INT((X18-1)/4)+1)))</f>
        <v/>
      </c>
      <c r="F18" s="7" t="str">
        <f t="array" ref="F18">IF(X18="","",INDEX('Inventory - P06'!$E$16:$E$27,(INT((X18-1)/4)+1)))</f>
        <v/>
      </c>
      <c r="G18" s="7" t="str">
        <f t="array" ref="G18">IF(X18="","",INDEX('Inventory - P06'!$I$16:$I$27,(INT((X18-1)/4)+1)))</f>
        <v/>
      </c>
      <c r="H18" s="7" t="str">
        <f t="array" ref="H18">IF(X18="","",INDEX('Inventory - P06'!$J$16:$J$27,(INT((X18-1)/4)+1)))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P06'!$B$16:$B$27,(INT((X19-1)/4)+1))&amp;IF(INDEX('Inventory - P06'!$C$16:$C$27,(INT((X19-1)/4)+1))="",""," ("&amp;INDEX('Inventory - P06'!$C$16:$C$27,(INT((X19-1)/4)+1))&amp;" mg)"))</f>
        <v/>
      </c>
      <c r="D19" s="7" t="str">
        <f t="array" ref="D19">IF(X19="","",INDEX('Inventory - P06'!$K$16:$K$27,(INT((X19-1)/4)+1))-SUMPRODUCT(($B$10:$B$61=B19)*(($I$10:$I$61&lt;&gt;"")+($K$10:$K$61&lt;&gt;"")+($M$10:$M$61&lt;&gt;"")+($O$10:$O$61&lt;&gt;"")+($Q$10:$Q$61&lt;&gt;"")+($S$10:$S$61&lt;&gt;"")+($U$10:$U$61&lt;&gt;""))))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P06'!$D$16:$D$27,(INT((X19-1)/4)+1)))</f>
        <v/>
      </c>
      <c r="F19" s="7" t="str">
        <f t="array" ref="F19">IF(X19="","",INDEX('Inventory - P06'!$E$16:$E$27,(INT((X19-1)/4)+1)))</f>
        <v/>
      </c>
      <c r="G19" s="7" t="str">
        <f t="array" ref="G19">IF(X19="","",INDEX('Inventory - P06'!$I$16:$I$27,(INT((X19-1)/4)+1)))</f>
        <v/>
      </c>
      <c r="H19" s="7" t="str">
        <f t="array" ref="H19">IF(X19="","",INDEX('Inventory - P06'!$J$16:$J$27,(INT((X19-1)/4)+1)))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P06'!$B$16:$B$27,(INT((X20-1)/4)+1))&amp;IF(INDEX('Inventory - P06'!$C$16:$C$27,(INT((X20-1)/4)+1))="",""," ("&amp;INDEX('Inventory - P06'!$C$16:$C$27,(INT((X20-1)/4)+1))&amp;" mg)"))</f>
        <v/>
      </c>
      <c r="D20" s="7" t="str">
        <f t="array" ref="D20">IF(X20="","",INDEX('Inventory - P06'!$K$16:$K$27,(INT((X20-1)/4)+1))-SUMPRODUCT(($B$10:$B$61=B20)*(($I$10:$I$61&lt;&gt;"")+($K$10:$K$61&lt;&gt;"")+($M$10:$M$61&lt;&gt;"")+($O$10:$O$61&lt;&gt;"")+($Q$10:$Q$61&lt;&gt;"")+($S$10:$S$61&lt;&gt;"")+($U$10:$U$61&lt;&gt;""))))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P06'!$D$16:$D$27,(INT((X20-1)/4)+1)))</f>
        <v/>
      </c>
      <c r="F20" s="7" t="str">
        <f t="array" ref="F20">IF(X20="","",INDEX('Inventory - P06'!$E$16:$E$27,(INT((X20-1)/4)+1)))</f>
        <v/>
      </c>
      <c r="G20" s="7" t="str">
        <f t="array" ref="G20">IF(X20="","",INDEX('Inventory - P06'!$I$16:$I$27,(INT((X20-1)/4)+1)))</f>
        <v/>
      </c>
      <c r="H20" s="7" t="str">
        <f t="array" ref="H20">IF(X20="","",INDEX('Inventory - P06'!$J$16:$J$27,(INT((X20-1)/4)+1)))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P06'!$B$16:$B$27,(INT((X21-1)/4)+1))&amp;IF(INDEX('Inventory - P06'!$C$16:$C$27,(INT((X21-1)/4)+1))="",""," ("&amp;INDEX('Inventory - P06'!$C$16:$C$27,(INT((X21-1)/4)+1))&amp;" mg)"))</f>
        <v/>
      </c>
      <c r="D21" s="7" t="str">
        <f t="array" ref="D21">IF(X21="","",INDEX('Inventory - P06'!$K$16:$K$27,(INT((X21-1)/4)+1))-SUMPRODUCT(($B$10:$B$61=B21)*(($I$10:$I$61&lt;&gt;"")+($K$10:$K$61&lt;&gt;"")+($M$10:$M$61&lt;&gt;"")+($O$10:$O$61&lt;&gt;"")+($Q$10:$Q$61&lt;&gt;"")+($S$10:$S$61&lt;&gt;"")+($U$10:$U$61&lt;&gt;""))))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P06'!$D$16:$D$27,(INT((X21-1)/4)+1)))</f>
        <v/>
      </c>
      <c r="F21" s="7" t="str">
        <f t="array" ref="F21">IF(X21="","",INDEX('Inventory - P06'!$E$16:$E$27,(INT((X21-1)/4)+1)))</f>
        <v/>
      </c>
      <c r="G21" s="7" t="str">
        <f t="array" ref="G21">IF(X21="","",INDEX('Inventory - P06'!$I$16:$I$27,(INT((X21-1)/4)+1)))</f>
        <v/>
      </c>
      <c r="H21" s="7" t="str">
        <f t="array" ref="H21">IF(X21="","",INDEX('Inventory - P06'!$J$16:$J$27,(INT((X21-1)/4)+1)))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P06'!$B$16:$B$27,(INT((X22-1)/4)+1))&amp;IF(INDEX('Inventory - P06'!$C$16:$C$27,(INT((X22-1)/4)+1))="",""," ("&amp;INDEX('Inventory - P06'!$C$16:$C$27,(INT((X22-1)/4)+1))&amp;" mg)"))</f>
        <v/>
      </c>
      <c r="D22" s="7" t="str">
        <f t="array" ref="D22">IF(X22="","",INDEX('Inventory - P06'!$K$16:$K$27,(INT((X22-1)/4)+1))-SUMPRODUCT(($B$10:$B$61=B22)*(($I$10:$I$61&lt;&gt;"")+($K$10:$K$61&lt;&gt;"")+($M$10:$M$61&lt;&gt;"")+($O$10:$O$61&lt;&gt;"")+($Q$10:$Q$61&lt;&gt;"")+($S$10:$S$61&lt;&gt;"")+($U$10:$U$61&lt;&gt;""))))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P06'!$D$16:$D$27,(INT((X22-1)/4)+1)))</f>
        <v/>
      </c>
      <c r="F22" s="7" t="str">
        <f t="array" ref="F22">IF(X22="","",INDEX('Inventory - P06'!$E$16:$E$27,(INT((X22-1)/4)+1)))</f>
        <v/>
      </c>
      <c r="G22" s="7" t="str">
        <f t="array" ref="G22">IF(X22="","",INDEX('Inventory - P06'!$I$16:$I$27,(INT((X22-1)/4)+1)))</f>
        <v/>
      </c>
      <c r="H22" s="7" t="str">
        <f t="array" ref="H22">IF(X22="","",INDEX('Inventory - P06'!$J$16:$J$27,(INT((X22-1)/4)+1)))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P06'!$B$16:$B$27,(INT((X24-1)/4)+1))&amp;IF(INDEX('Inventory - P06'!$C$16:$C$27,(INT((X24-1)/4)+1))="",""," ("&amp;INDEX('Inventory - P06'!$C$16:$C$27,(INT((X24-1)/4)+1))&amp;" mg)"))</f>
        <v/>
      </c>
      <c r="D24" s="7" t="str">
        <f t="array" ref="D24">IF(X24="","",INDEX('Inventory - P06'!$K$16:$K$27,(INT((X24-1)/4)+1))-SUMPRODUCT(($B$10:$B$61=B24)*(($I$10:$I$61&lt;&gt;"")+($K$10:$K$61&lt;&gt;"")+($M$10:$M$61&lt;&gt;"")+($O$10:$O$61&lt;&gt;"")+($Q$10:$Q$61&lt;&gt;"")+($S$10:$S$61&lt;&gt;"")+($U$10:$U$61&lt;&gt;""))))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P06'!$D$16:$D$27,(INT((X24-1)/4)+1)))</f>
        <v/>
      </c>
      <c r="F24" s="7" t="str">
        <f t="array" ref="F24">IF(X24="","",INDEX('Inventory - P06'!$E$16:$E$27,(INT((X24-1)/4)+1)))</f>
        <v/>
      </c>
      <c r="G24" s="7" t="str">
        <f t="array" ref="G24">IF(X24="","",INDEX('Inventory - P06'!$I$16:$I$27,(INT((X24-1)/4)+1)))</f>
        <v/>
      </c>
      <c r="H24" s="7" t="str">
        <f t="array" ref="H24">IF(X24="","",INDEX('Inventory - P06'!$J$16:$J$27,(INT((X24-1)/4)+1)))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P06'!$B$16:$B$27,(INT((X25-1)/4)+1))&amp;IF(INDEX('Inventory - P06'!$C$16:$C$27,(INT((X25-1)/4)+1))="",""," ("&amp;INDEX('Inventory - P06'!$C$16:$C$27,(INT((X25-1)/4)+1))&amp;" mg)"))</f>
        <v/>
      </c>
      <c r="D25" s="7" t="str">
        <f t="array" ref="D25">IF(X25="","",INDEX('Inventory - P06'!$K$16:$K$27,(INT((X25-1)/4)+1))-SUMPRODUCT(($B$10:$B$61=B25)*(($I$10:$I$61&lt;&gt;"")+($K$10:$K$61&lt;&gt;"")+($M$10:$M$61&lt;&gt;"")+($O$10:$O$61&lt;&gt;"")+($Q$10:$Q$61&lt;&gt;"")+($S$10:$S$61&lt;&gt;"")+($U$10:$U$61&lt;&gt;""))))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P06'!$D$16:$D$27,(INT((X25-1)/4)+1)))</f>
        <v/>
      </c>
      <c r="F25" s="7" t="str">
        <f t="array" ref="F25">IF(X25="","",INDEX('Inventory - P06'!$E$16:$E$27,(INT((X25-1)/4)+1)))</f>
        <v/>
      </c>
      <c r="G25" s="7" t="str">
        <f t="array" ref="G25">IF(X25="","",INDEX('Inventory - P06'!$I$16:$I$27,(INT((X25-1)/4)+1)))</f>
        <v/>
      </c>
      <c r="H25" s="7" t="str">
        <f t="array" ref="H25">IF(X25="","",INDEX('Inventory - P06'!$J$16:$J$27,(INT((X25-1)/4)+1)))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P06'!$B$16:$B$27,(INT((X26-1)/4)+1))&amp;IF(INDEX('Inventory - P06'!$C$16:$C$27,(INT((X26-1)/4)+1))="",""," ("&amp;INDEX('Inventory - P06'!$C$16:$C$27,(INT((X26-1)/4)+1))&amp;" mg)"))</f>
        <v/>
      </c>
      <c r="D26" s="7" t="str">
        <f t="array" ref="D26">IF(X26="","",INDEX('Inventory - P06'!$K$16:$K$27,(INT((X26-1)/4)+1))-SUMPRODUCT(($B$10:$B$61=B26)*(($I$10:$I$61&lt;&gt;"")+($K$10:$K$61&lt;&gt;"")+($M$10:$M$61&lt;&gt;"")+($O$10:$O$61&lt;&gt;"")+($Q$10:$Q$61&lt;&gt;"")+($S$10:$S$61&lt;&gt;"")+($U$10:$U$61&lt;&gt;""))))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P06'!$D$16:$D$27,(INT((X26-1)/4)+1)))</f>
        <v/>
      </c>
      <c r="F26" s="7" t="str">
        <f t="array" ref="F26">IF(X26="","",INDEX('Inventory - P06'!$E$16:$E$27,(INT((X26-1)/4)+1)))</f>
        <v/>
      </c>
      <c r="G26" s="7" t="str">
        <f t="array" ref="G26">IF(X26="","",INDEX('Inventory - P06'!$I$16:$I$27,(INT((X26-1)/4)+1)))</f>
        <v/>
      </c>
      <c r="H26" s="7" t="str">
        <f t="array" ref="H26">IF(X26="","",INDEX('Inventory - P06'!$J$16:$J$27,(INT((X26-1)/4)+1)))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P06'!$B$16:$B$27,(INT((X27-1)/4)+1))&amp;IF(INDEX('Inventory - P06'!$C$16:$C$27,(INT((X27-1)/4)+1))="",""," ("&amp;INDEX('Inventory - P06'!$C$16:$C$27,(INT((X27-1)/4)+1))&amp;" mg)"))</f>
        <v/>
      </c>
      <c r="D27" s="7" t="str">
        <f t="array" ref="D27">IF(X27="","",INDEX('Inventory - P06'!$K$16:$K$27,(INT((X27-1)/4)+1))-SUMPRODUCT(($B$10:$B$61=B27)*(($I$10:$I$61&lt;&gt;"")+($K$10:$K$61&lt;&gt;"")+($M$10:$M$61&lt;&gt;"")+($O$10:$O$61&lt;&gt;"")+($Q$10:$Q$61&lt;&gt;"")+($S$10:$S$61&lt;&gt;"")+($U$10:$U$61&lt;&gt;""))))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P06'!$D$16:$D$27,(INT((X27-1)/4)+1)))</f>
        <v/>
      </c>
      <c r="F27" s="7" t="str">
        <f t="array" ref="F27">IF(X27="","",INDEX('Inventory - P06'!$E$16:$E$27,(INT((X27-1)/4)+1)))</f>
        <v/>
      </c>
      <c r="G27" s="7" t="str">
        <f t="array" ref="G27">IF(X27="","",INDEX('Inventory - P06'!$I$16:$I$27,(INT((X27-1)/4)+1)))</f>
        <v/>
      </c>
      <c r="H27" s="7" t="str">
        <f t="array" ref="H27">IF(X27="","",INDEX('Inventory - P06'!$J$16:$J$27,(INT((X27-1)/4)+1)))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P06'!$B$16:$B$27,(INT((X28-1)/4)+1))&amp;IF(INDEX('Inventory - P06'!$C$16:$C$27,(INT((X28-1)/4)+1))="",""," ("&amp;INDEX('Inventory - P06'!$C$16:$C$27,(INT((X28-1)/4)+1))&amp;" mg)"))</f>
        <v/>
      </c>
      <c r="D28" s="7" t="str">
        <f t="array" ref="D28">IF(X28="","",INDEX('Inventory - P06'!$K$16:$K$27,(INT((X28-1)/4)+1))-SUMPRODUCT(($B$10:$B$61=B28)*(($I$10:$I$61&lt;&gt;"")+($K$10:$K$61&lt;&gt;"")+($M$10:$M$61&lt;&gt;"")+($O$10:$O$61&lt;&gt;"")+($Q$10:$Q$61&lt;&gt;"")+($S$10:$S$61&lt;&gt;"")+($U$10:$U$61&lt;&gt;""))))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P06'!$D$16:$D$27,(INT((X28-1)/4)+1)))</f>
        <v/>
      </c>
      <c r="F28" s="7" t="str">
        <f t="array" ref="F28">IF(X28="","",INDEX('Inventory - P06'!$E$16:$E$27,(INT((X28-1)/4)+1)))</f>
        <v/>
      </c>
      <c r="G28" s="7" t="str">
        <f t="array" ref="G28">IF(X28="","",INDEX('Inventory - P06'!$I$16:$I$27,(INT((X28-1)/4)+1)))</f>
        <v/>
      </c>
      <c r="H28" s="7" t="str">
        <f t="array" ref="H28">IF(X28="","",INDEX('Inventory - P06'!$J$16:$J$27,(INT((X28-1)/4)+1)))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P06'!$B$16:$B$27,(INT((X29-1)/4)+1))&amp;IF(INDEX('Inventory - P06'!$C$16:$C$27,(INT((X29-1)/4)+1))="",""," ("&amp;INDEX('Inventory - P06'!$C$16:$C$27,(INT((X29-1)/4)+1))&amp;" mg)"))</f>
        <v/>
      </c>
      <c r="D29" s="7" t="str">
        <f t="array" ref="D29">IF(X29="","",INDEX('Inventory - P06'!$K$16:$K$27,(INT((X29-1)/4)+1))-SUMPRODUCT(($B$10:$B$61=B29)*(($I$10:$I$61&lt;&gt;"")+($K$10:$K$61&lt;&gt;"")+($M$10:$M$61&lt;&gt;"")+($O$10:$O$61&lt;&gt;"")+($Q$10:$Q$61&lt;&gt;"")+($S$10:$S$61&lt;&gt;"")+($U$10:$U$61&lt;&gt;""))))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P06'!$D$16:$D$27,(INT((X29-1)/4)+1)))</f>
        <v/>
      </c>
      <c r="F29" s="7" t="str">
        <f t="array" ref="F29">IF(X29="","",INDEX('Inventory - P06'!$E$16:$E$27,(INT((X29-1)/4)+1)))</f>
        <v/>
      </c>
      <c r="G29" s="7" t="str">
        <f t="array" ref="G29">IF(X29="","",INDEX('Inventory - P06'!$I$16:$I$27,(INT((X29-1)/4)+1)))</f>
        <v/>
      </c>
      <c r="H29" s="7" t="str">
        <f t="array" ref="H29">IF(X29="","",INDEX('Inventory - P06'!$J$16:$J$27,(INT((X29-1)/4)+1)))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P06'!$B$16:$B$27,(INT((X30-1)/4)+1))&amp;IF(INDEX('Inventory - P06'!$C$16:$C$27,(INT((X30-1)/4)+1))="",""," ("&amp;INDEX('Inventory - P06'!$C$16:$C$27,(INT((X30-1)/4)+1))&amp;" mg)"))</f>
        <v/>
      </c>
      <c r="D30" s="7" t="str">
        <f t="array" ref="D30">IF(X30="","",INDEX('Inventory - P06'!$K$16:$K$27,(INT((X30-1)/4)+1))-SUMPRODUCT(($B$10:$B$61=B30)*(($I$10:$I$61&lt;&gt;"")+($K$10:$K$61&lt;&gt;"")+($M$10:$M$61&lt;&gt;"")+($O$10:$O$61&lt;&gt;"")+($Q$10:$Q$61&lt;&gt;"")+($S$10:$S$61&lt;&gt;"")+($U$10:$U$61&lt;&gt;""))))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P06'!$D$16:$D$27,(INT((X30-1)/4)+1)))</f>
        <v/>
      </c>
      <c r="F30" s="7" t="str">
        <f t="array" ref="F30">IF(X30="","",INDEX('Inventory - P06'!$E$16:$E$27,(INT((X30-1)/4)+1)))</f>
        <v/>
      </c>
      <c r="G30" s="7" t="str">
        <f t="array" ref="G30">IF(X30="","",INDEX('Inventory - P06'!$I$16:$I$27,(INT((X30-1)/4)+1)))</f>
        <v/>
      </c>
      <c r="H30" s="7" t="str">
        <f t="array" ref="H30">IF(X30="","",INDEX('Inventory - P06'!$J$16:$J$27,(INT((X30-1)/4)+1)))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P06'!$B$16:$B$27,(INT((X31-1)/4)+1))&amp;IF(INDEX('Inventory - P06'!$C$16:$C$27,(INT((X31-1)/4)+1))="",""," ("&amp;INDEX('Inventory - P06'!$C$16:$C$27,(INT((X31-1)/4)+1))&amp;" mg)"))</f>
        <v/>
      </c>
      <c r="D31" s="7" t="str">
        <f t="array" ref="D31">IF(X31="","",INDEX('Inventory - P06'!$K$16:$K$27,(INT((X31-1)/4)+1))-SUMPRODUCT(($B$10:$B$61=B31)*(($I$10:$I$61&lt;&gt;"")+($K$10:$K$61&lt;&gt;"")+($M$10:$M$61&lt;&gt;"")+($O$10:$O$61&lt;&gt;"")+($Q$10:$Q$61&lt;&gt;"")+($S$10:$S$61&lt;&gt;"")+($U$10:$U$61&lt;&gt;""))))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P06'!$D$16:$D$27,(INT((X31-1)/4)+1)))</f>
        <v/>
      </c>
      <c r="F31" s="7" t="str">
        <f t="array" ref="F31">IF(X31="","",INDEX('Inventory - P06'!$E$16:$E$27,(INT((X31-1)/4)+1)))</f>
        <v/>
      </c>
      <c r="G31" s="7" t="str">
        <f t="array" ref="G31">IF(X31="","",INDEX('Inventory - P06'!$I$16:$I$27,(INT((X31-1)/4)+1)))</f>
        <v/>
      </c>
      <c r="H31" s="7" t="str">
        <f t="array" ref="H31">IF(X31="","",INDEX('Inventory - P06'!$J$16:$J$27,(INT((X31-1)/4)+1)))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P06'!$B$16:$B$27,(INT((X32-1)/4)+1))&amp;IF(INDEX('Inventory - P06'!$C$16:$C$27,(INT((X32-1)/4)+1))="",""," ("&amp;INDEX('Inventory - P06'!$C$16:$C$27,(INT((X32-1)/4)+1))&amp;" mg)"))</f>
        <v/>
      </c>
      <c r="D32" s="7" t="str">
        <f t="array" ref="D32">IF(X32="","",INDEX('Inventory - P06'!$K$16:$K$27,(INT((X32-1)/4)+1))-SUMPRODUCT(($B$10:$B$61=B32)*(($I$10:$I$61&lt;&gt;"")+($K$10:$K$61&lt;&gt;"")+($M$10:$M$61&lt;&gt;"")+($O$10:$O$61&lt;&gt;"")+($Q$10:$Q$61&lt;&gt;"")+($S$10:$S$61&lt;&gt;"")+($U$10:$U$61&lt;&gt;""))))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P06'!$D$16:$D$27,(INT((X32-1)/4)+1)))</f>
        <v/>
      </c>
      <c r="F32" s="7" t="str">
        <f t="array" ref="F32">IF(X32="","",INDEX('Inventory - P06'!$E$16:$E$27,(INT((X32-1)/4)+1)))</f>
        <v/>
      </c>
      <c r="G32" s="7" t="str">
        <f t="array" ref="G32">IF(X32="","",INDEX('Inventory - P06'!$I$16:$I$27,(INT((X32-1)/4)+1)))</f>
        <v/>
      </c>
      <c r="H32" s="7" t="str">
        <f t="array" ref="H32">IF(X32="","",INDEX('Inventory - P06'!$J$16:$J$27,(INT((X32-1)/4)+1)))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P06'!$B$16:$B$27,(INT((X33-1)/4)+1))&amp;IF(INDEX('Inventory - P06'!$C$16:$C$27,(INT((X33-1)/4)+1))="",""," ("&amp;INDEX('Inventory - P06'!$C$16:$C$27,(INT((X33-1)/4)+1))&amp;" mg)"))</f>
        <v/>
      </c>
      <c r="D33" s="7" t="str">
        <f t="array" ref="D33">IF(X33="","",INDEX('Inventory - P06'!$K$16:$K$27,(INT((X33-1)/4)+1))-SUMPRODUCT(($B$10:$B$61=B33)*(($I$10:$I$61&lt;&gt;"")+($K$10:$K$61&lt;&gt;"")+($M$10:$M$61&lt;&gt;"")+($O$10:$O$61&lt;&gt;"")+($Q$10:$Q$61&lt;&gt;"")+($S$10:$S$61&lt;&gt;"")+($U$10:$U$61&lt;&gt;""))))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P06'!$D$16:$D$27,(INT((X33-1)/4)+1)))</f>
        <v/>
      </c>
      <c r="F33" s="7" t="str">
        <f t="array" ref="F33">IF(X33="","",INDEX('Inventory - P06'!$E$16:$E$27,(INT((X33-1)/4)+1)))</f>
        <v/>
      </c>
      <c r="G33" s="7" t="str">
        <f t="array" ref="G33">IF(X33="","",INDEX('Inventory - P06'!$I$16:$I$27,(INT((X33-1)/4)+1)))</f>
        <v/>
      </c>
      <c r="H33" s="7" t="str">
        <f t="array" ref="H33">IF(X33="","",INDEX('Inventory - P06'!$J$16:$J$27,(INT((X33-1)/4)+1)))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P06'!$B$16:$B$27,(INT((X34-1)/4)+1))&amp;IF(INDEX('Inventory - P06'!$C$16:$C$27,(INT((X34-1)/4)+1))="",""," ("&amp;INDEX('Inventory - P06'!$C$16:$C$27,(INT((X34-1)/4)+1))&amp;" mg)"))</f>
        <v/>
      </c>
      <c r="D34" s="7" t="str">
        <f t="array" ref="D34">IF(X34="","",INDEX('Inventory - P06'!$K$16:$K$27,(INT((X34-1)/4)+1))-SUMPRODUCT(($B$10:$B$61=B34)*(($I$10:$I$61&lt;&gt;"")+($K$10:$K$61&lt;&gt;"")+($M$10:$M$61&lt;&gt;"")+($O$10:$O$61&lt;&gt;"")+($Q$10:$Q$61&lt;&gt;"")+($S$10:$S$61&lt;&gt;"")+($U$10:$U$61&lt;&gt;""))))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P06'!$D$16:$D$27,(INT((X34-1)/4)+1)))</f>
        <v/>
      </c>
      <c r="F34" s="7" t="str">
        <f t="array" ref="F34">IF(X34="","",INDEX('Inventory - P06'!$E$16:$E$27,(INT((X34-1)/4)+1)))</f>
        <v/>
      </c>
      <c r="G34" s="7" t="str">
        <f t="array" ref="G34">IF(X34="","",INDEX('Inventory - P06'!$I$16:$I$27,(INT((X34-1)/4)+1)))</f>
        <v/>
      </c>
      <c r="H34" s="7" t="str">
        <f t="array" ref="H34">IF(X34="","",INDEX('Inventory - P06'!$J$16:$J$27,(INT((X34-1)/4)+1)))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P06'!$B$16:$B$27,(INT((X35-1)/4)+1))&amp;IF(INDEX('Inventory - P06'!$C$16:$C$27,(INT((X35-1)/4)+1))="",""," ("&amp;INDEX('Inventory - P06'!$C$16:$C$27,(INT((X35-1)/4)+1))&amp;" mg)"))</f>
        <v/>
      </c>
      <c r="D35" s="7" t="str">
        <f t="array" ref="D35">IF(X35="","",INDEX('Inventory - P06'!$K$16:$K$27,(INT((X35-1)/4)+1))-SUMPRODUCT(($B$10:$B$61=B35)*(($I$10:$I$61&lt;&gt;"")+($K$10:$K$61&lt;&gt;"")+($M$10:$M$61&lt;&gt;"")+($O$10:$O$61&lt;&gt;"")+($Q$10:$Q$61&lt;&gt;"")+($S$10:$S$61&lt;&gt;"")+($U$10:$U$61&lt;&gt;""))))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P06'!$D$16:$D$27,(INT((X35-1)/4)+1)))</f>
        <v/>
      </c>
      <c r="F35" s="7" t="str">
        <f t="array" ref="F35">IF(X35="","",INDEX('Inventory - P06'!$E$16:$E$27,(INT((X35-1)/4)+1)))</f>
        <v/>
      </c>
      <c r="G35" s="7" t="str">
        <f t="array" ref="G35">IF(X35="","",INDEX('Inventory - P06'!$I$16:$I$27,(INT((X35-1)/4)+1)))</f>
        <v/>
      </c>
      <c r="H35" s="7" t="str">
        <f t="array" ref="H35">IF(X35="","",INDEX('Inventory - P06'!$J$16:$J$27,(INT((X35-1)/4)+1)))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P06'!$B$16:$B$27,(INT((X37-1)/4)+1))&amp;IF(INDEX('Inventory - P06'!$C$16:$C$27,(INT((X37-1)/4)+1))="",""," ("&amp;INDEX('Inventory - P06'!$C$16:$C$27,(INT((X37-1)/4)+1))&amp;" mg)"))</f>
        <v/>
      </c>
      <c r="D37" s="7" t="str">
        <f t="array" ref="D37">IF(X37="","",INDEX('Inventory - P06'!$K$16:$K$27,(INT((X37-1)/4)+1))-SUMPRODUCT(($B$10:$B$61=B37)*(($I$10:$I$61&lt;&gt;"")+($K$10:$K$61&lt;&gt;"")+($M$10:$M$61&lt;&gt;"")+($O$10:$O$61&lt;&gt;"")+($Q$10:$Q$61&lt;&gt;"")+($S$10:$S$61&lt;&gt;"")+($U$10:$U$61&lt;&gt;""))))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P06'!$D$16:$D$27,(INT((X37-1)/4)+1)))</f>
        <v/>
      </c>
      <c r="F37" s="7" t="str">
        <f t="array" ref="F37">IF(X37="","",INDEX('Inventory - P06'!$E$16:$E$27,(INT((X37-1)/4)+1)))</f>
        <v/>
      </c>
      <c r="G37" s="7" t="str">
        <f t="array" ref="G37">IF(X37="","",INDEX('Inventory - P06'!$I$16:$I$27,(INT((X37-1)/4)+1)))</f>
        <v/>
      </c>
      <c r="H37" s="7" t="str">
        <f t="array" ref="H37">IF(X37="","",INDEX('Inventory - P06'!$J$16:$J$27,(INT((X37-1)/4)+1)))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P06'!$B$16:$B$27,(INT((X38-1)/4)+1))&amp;IF(INDEX('Inventory - P06'!$C$16:$C$27,(INT((X38-1)/4)+1))="",""," ("&amp;INDEX('Inventory - P06'!$C$16:$C$27,(INT((X38-1)/4)+1))&amp;" mg)"))</f>
        <v/>
      </c>
      <c r="D38" s="7" t="str">
        <f t="array" ref="D38">IF(X38="","",INDEX('Inventory - P06'!$K$16:$K$27,(INT((X38-1)/4)+1))-SUMPRODUCT(($B$10:$B$61=B38)*(($I$10:$I$61&lt;&gt;"")+($K$10:$K$61&lt;&gt;"")+($M$10:$M$61&lt;&gt;"")+($O$10:$O$61&lt;&gt;"")+($Q$10:$Q$61&lt;&gt;"")+($S$10:$S$61&lt;&gt;"")+($U$10:$U$61&lt;&gt;""))))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P06'!$D$16:$D$27,(INT((X38-1)/4)+1)))</f>
        <v/>
      </c>
      <c r="F38" s="7" t="str">
        <f t="array" ref="F38">IF(X38="","",INDEX('Inventory - P06'!$E$16:$E$27,(INT((X38-1)/4)+1)))</f>
        <v/>
      </c>
      <c r="G38" s="7" t="str">
        <f t="array" ref="G38">IF(X38="","",INDEX('Inventory - P06'!$I$16:$I$27,(INT((X38-1)/4)+1)))</f>
        <v/>
      </c>
      <c r="H38" s="7" t="str">
        <f t="array" ref="H38">IF(X38="","",INDEX('Inventory - P06'!$J$16:$J$27,(INT((X38-1)/4)+1)))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P06'!$B$16:$B$27,(INT((X39-1)/4)+1))&amp;IF(INDEX('Inventory - P06'!$C$16:$C$27,(INT((X39-1)/4)+1))="",""," ("&amp;INDEX('Inventory - P06'!$C$16:$C$27,(INT((X39-1)/4)+1))&amp;" mg)"))</f>
        <v/>
      </c>
      <c r="D39" s="7" t="str">
        <f t="array" ref="D39">IF(X39="","",INDEX('Inventory - P06'!$K$16:$K$27,(INT((X39-1)/4)+1))-SUMPRODUCT(($B$10:$B$61=B39)*(($I$10:$I$61&lt;&gt;"")+($K$10:$K$61&lt;&gt;"")+($M$10:$M$61&lt;&gt;"")+($O$10:$O$61&lt;&gt;"")+($Q$10:$Q$61&lt;&gt;"")+($S$10:$S$61&lt;&gt;"")+($U$10:$U$61&lt;&gt;""))))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P06'!$D$16:$D$27,(INT((X39-1)/4)+1)))</f>
        <v/>
      </c>
      <c r="F39" s="7" t="str">
        <f t="array" ref="F39">IF(X39="","",INDEX('Inventory - P06'!$E$16:$E$27,(INT((X39-1)/4)+1)))</f>
        <v/>
      </c>
      <c r="G39" s="7" t="str">
        <f t="array" ref="G39">IF(X39="","",INDEX('Inventory - P06'!$I$16:$I$27,(INT((X39-1)/4)+1)))</f>
        <v/>
      </c>
      <c r="H39" s="7" t="str">
        <f t="array" ref="H39">IF(X39="","",INDEX('Inventory - P06'!$J$16:$J$27,(INT((X39-1)/4)+1)))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P06'!$B$16:$B$27,(INT((X40-1)/4)+1))&amp;IF(INDEX('Inventory - P06'!$C$16:$C$27,(INT((X40-1)/4)+1))="",""," ("&amp;INDEX('Inventory - P06'!$C$16:$C$27,(INT((X40-1)/4)+1))&amp;" mg)"))</f>
        <v/>
      </c>
      <c r="D40" s="7" t="str">
        <f t="array" ref="D40">IF(X40="","",INDEX('Inventory - P06'!$K$16:$K$27,(INT((X40-1)/4)+1))-SUMPRODUCT(($B$10:$B$61=B40)*(($I$10:$I$61&lt;&gt;"")+($K$10:$K$61&lt;&gt;"")+($M$10:$M$61&lt;&gt;"")+($O$10:$O$61&lt;&gt;"")+($Q$10:$Q$61&lt;&gt;"")+($S$10:$S$61&lt;&gt;"")+($U$10:$U$61&lt;&gt;""))))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P06'!$D$16:$D$27,(INT((X40-1)/4)+1)))</f>
        <v/>
      </c>
      <c r="F40" s="7" t="str">
        <f t="array" ref="F40">IF(X40="","",INDEX('Inventory - P06'!$E$16:$E$27,(INT((X40-1)/4)+1)))</f>
        <v/>
      </c>
      <c r="G40" s="7" t="str">
        <f t="array" ref="G40">IF(X40="","",INDEX('Inventory - P06'!$I$16:$I$27,(INT((X40-1)/4)+1)))</f>
        <v/>
      </c>
      <c r="H40" s="7" t="str">
        <f t="array" ref="H40">IF(X40="","",INDEX('Inventory - P06'!$J$16:$J$27,(INT((X40-1)/4)+1)))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P06'!$B$16:$B$27,(INT((X41-1)/4)+1))&amp;IF(INDEX('Inventory - P06'!$C$16:$C$27,(INT((X41-1)/4)+1))="",""," ("&amp;INDEX('Inventory - P06'!$C$16:$C$27,(INT((X41-1)/4)+1))&amp;" mg)"))</f>
        <v/>
      </c>
      <c r="D41" s="7" t="str">
        <f t="array" ref="D41">IF(X41="","",INDEX('Inventory - P06'!$K$16:$K$27,(INT((X41-1)/4)+1))-SUMPRODUCT(($B$10:$B$61=B41)*(($I$10:$I$61&lt;&gt;"")+($K$10:$K$61&lt;&gt;"")+($M$10:$M$61&lt;&gt;"")+($O$10:$O$61&lt;&gt;"")+($Q$10:$Q$61&lt;&gt;"")+($S$10:$S$61&lt;&gt;"")+($U$10:$U$61&lt;&gt;""))))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P06'!$D$16:$D$27,(INT((X41-1)/4)+1)))</f>
        <v/>
      </c>
      <c r="F41" s="7" t="str">
        <f t="array" ref="F41">IF(X41="","",INDEX('Inventory - P06'!$E$16:$E$27,(INT((X41-1)/4)+1)))</f>
        <v/>
      </c>
      <c r="G41" s="7" t="str">
        <f t="array" ref="G41">IF(X41="","",INDEX('Inventory - P06'!$I$16:$I$27,(INT((X41-1)/4)+1)))</f>
        <v/>
      </c>
      <c r="H41" s="7" t="str">
        <f t="array" ref="H41">IF(X41="","",INDEX('Inventory - P06'!$J$16:$J$27,(INT((X41-1)/4)+1)))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P06'!$B$16:$B$27,(INT((X42-1)/4)+1))&amp;IF(INDEX('Inventory - P06'!$C$16:$C$27,(INT((X42-1)/4)+1))="",""," ("&amp;INDEX('Inventory - P06'!$C$16:$C$27,(INT((X42-1)/4)+1))&amp;" mg)"))</f>
        <v/>
      </c>
      <c r="D42" s="7" t="str">
        <f t="array" ref="D42">IF(X42="","",INDEX('Inventory - P06'!$K$16:$K$27,(INT((X42-1)/4)+1))-SUMPRODUCT(($B$10:$B$61=B42)*(($I$10:$I$61&lt;&gt;"")+($K$10:$K$61&lt;&gt;"")+($M$10:$M$61&lt;&gt;"")+($O$10:$O$61&lt;&gt;"")+($Q$10:$Q$61&lt;&gt;"")+($S$10:$S$61&lt;&gt;"")+($U$10:$U$61&lt;&gt;""))))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P06'!$D$16:$D$27,(INT((X42-1)/4)+1)))</f>
        <v/>
      </c>
      <c r="F42" s="7" t="str">
        <f t="array" ref="F42">IF(X42="","",INDEX('Inventory - P06'!$E$16:$E$27,(INT((X42-1)/4)+1)))</f>
        <v/>
      </c>
      <c r="G42" s="7" t="str">
        <f t="array" ref="G42">IF(X42="","",INDEX('Inventory - P06'!$I$16:$I$27,(INT((X42-1)/4)+1)))</f>
        <v/>
      </c>
      <c r="H42" s="7" t="str">
        <f t="array" ref="H42">IF(X42="","",INDEX('Inventory - P06'!$J$16:$J$27,(INT((X42-1)/4)+1)))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P06'!$B$16:$B$27,(INT((X43-1)/4)+1))&amp;IF(INDEX('Inventory - P06'!$C$16:$C$27,(INT((X43-1)/4)+1))="",""," ("&amp;INDEX('Inventory - P06'!$C$16:$C$27,(INT((X43-1)/4)+1))&amp;" mg)"))</f>
        <v/>
      </c>
      <c r="D43" s="7" t="str">
        <f t="array" ref="D43">IF(X43="","",INDEX('Inventory - P06'!$K$16:$K$27,(INT((X43-1)/4)+1))-SUMPRODUCT(($B$10:$B$61=B43)*(($I$10:$I$61&lt;&gt;"")+($K$10:$K$61&lt;&gt;"")+($M$10:$M$61&lt;&gt;"")+($O$10:$O$61&lt;&gt;"")+($Q$10:$Q$61&lt;&gt;"")+($S$10:$S$61&lt;&gt;"")+($U$10:$U$61&lt;&gt;""))))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P06'!$D$16:$D$27,(INT((X43-1)/4)+1)))</f>
        <v/>
      </c>
      <c r="F43" s="7" t="str">
        <f t="array" ref="F43">IF(X43="","",INDEX('Inventory - P06'!$E$16:$E$27,(INT((X43-1)/4)+1)))</f>
        <v/>
      </c>
      <c r="G43" s="7" t="str">
        <f t="array" ref="G43">IF(X43="","",INDEX('Inventory - P06'!$I$16:$I$27,(INT((X43-1)/4)+1)))</f>
        <v/>
      </c>
      <c r="H43" s="7" t="str">
        <f t="array" ref="H43">IF(X43="","",INDEX('Inventory - P06'!$J$16:$J$27,(INT((X43-1)/4)+1)))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P06'!$B$16:$B$27,(INT((X44-1)/4)+1))&amp;IF(INDEX('Inventory - P06'!$C$16:$C$27,(INT((X44-1)/4)+1))="",""," ("&amp;INDEX('Inventory - P06'!$C$16:$C$27,(INT((X44-1)/4)+1))&amp;" mg)"))</f>
        <v/>
      </c>
      <c r="D44" s="7" t="str">
        <f t="array" ref="D44">IF(X44="","",INDEX('Inventory - P06'!$K$16:$K$27,(INT((X44-1)/4)+1))-SUMPRODUCT(($B$10:$B$61=B44)*(($I$10:$I$61&lt;&gt;"")+($K$10:$K$61&lt;&gt;"")+($M$10:$M$61&lt;&gt;"")+($O$10:$O$61&lt;&gt;"")+($Q$10:$Q$61&lt;&gt;"")+($S$10:$S$61&lt;&gt;"")+($U$10:$U$61&lt;&gt;""))))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P06'!$D$16:$D$27,(INT((X44-1)/4)+1)))</f>
        <v/>
      </c>
      <c r="F44" s="7" t="str">
        <f t="array" ref="F44">IF(X44="","",INDEX('Inventory - P06'!$E$16:$E$27,(INT((X44-1)/4)+1)))</f>
        <v/>
      </c>
      <c r="G44" s="7" t="str">
        <f t="array" ref="G44">IF(X44="","",INDEX('Inventory - P06'!$I$16:$I$27,(INT((X44-1)/4)+1)))</f>
        <v/>
      </c>
      <c r="H44" s="7" t="str">
        <f t="array" ref="H44">IF(X44="","",INDEX('Inventory - P06'!$J$16:$J$27,(INT((X44-1)/4)+1)))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P06'!$B$16:$B$27,(INT((X45-1)/4)+1))&amp;IF(INDEX('Inventory - P06'!$C$16:$C$27,(INT((X45-1)/4)+1))="",""," ("&amp;INDEX('Inventory - P06'!$C$16:$C$27,(INT((X45-1)/4)+1))&amp;" mg)"))</f>
        <v/>
      </c>
      <c r="D45" s="7" t="str">
        <f t="array" ref="D45">IF(X45="","",INDEX('Inventory - P06'!$K$16:$K$27,(INT((X45-1)/4)+1))-SUMPRODUCT(($B$10:$B$61=B45)*(($I$10:$I$61&lt;&gt;"")+($K$10:$K$61&lt;&gt;"")+($M$10:$M$61&lt;&gt;"")+($O$10:$O$61&lt;&gt;"")+($Q$10:$Q$61&lt;&gt;"")+($S$10:$S$61&lt;&gt;"")+($U$10:$U$61&lt;&gt;""))))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P06'!$D$16:$D$27,(INT((X45-1)/4)+1)))</f>
        <v/>
      </c>
      <c r="F45" s="7" t="str">
        <f t="array" ref="F45">IF(X45="","",INDEX('Inventory - P06'!$E$16:$E$27,(INT((X45-1)/4)+1)))</f>
        <v/>
      </c>
      <c r="G45" s="7" t="str">
        <f t="array" ref="G45">IF(X45="","",INDEX('Inventory - P06'!$I$16:$I$27,(INT((X45-1)/4)+1)))</f>
        <v/>
      </c>
      <c r="H45" s="7" t="str">
        <f t="array" ref="H45">IF(X45="","",INDEX('Inventory - P06'!$J$16:$J$27,(INT((X45-1)/4)+1)))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P06'!$B$16:$B$27,(INT((X46-1)/4)+1))&amp;IF(INDEX('Inventory - P06'!$C$16:$C$27,(INT((X46-1)/4)+1))="",""," ("&amp;INDEX('Inventory - P06'!$C$16:$C$27,(INT((X46-1)/4)+1))&amp;" mg)"))</f>
        <v/>
      </c>
      <c r="D46" s="7" t="str">
        <f t="array" ref="D46">IF(X46="","",INDEX('Inventory - P06'!$K$16:$K$27,(INT((X46-1)/4)+1))-SUMPRODUCT(($B$10:$B$61=B46)*(($I$10:$I$61&lt;&gt;"")+($K$10:$K$61&lt;&gt;"")+($M$10:$M$61&lt;&gt;"")+($O$10:$O$61&lt;&gt;"")+($Q$10:$Q$61&lt;&gt;"")+($S$10:$S$61&lt;&gt;"")+($U$10:$U$61&lt;&gt;""))))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P06'!$D$16:$D$27,(INT((X46-1)/4)+1)))</f>
        <v/>
      </c>
      <c r="F46" s="7" t="str">
        <f t="array" ref="F46">IF(X46="","",INDEX('Inventory - P06'!$E$16:$E$27,(INT((X46-1)/4)+1)))</f>
        <v/>
      </c>
      <c r="G46" s="7" t="str">
        <f t="array" ref="G46">IF(X46="","",INDEX('Inventory - P06'!$I$16:$I$27,(INT((X46-1)/4)+1)))</f>
        <v/>
      </c>
      <c r="H46" s="7" t="str">
        <f t="array" ref="H46">IF(X46="","",INDEX('Inventory - P06'!$J$16:$J$27,(INT((X46-1)/4)+1)))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P06'!$B$16:$B$27,(INT((X47-1)/4)+1))&amp;IF(INDEX('Inventory - P06'!$C$16:$C$27,(INT((X47-1)/4)+1))="",""," ("&amp;INDEX('Inventory - P06'!$C$16:$C$27,(INT((X47-1)/4)+1))&amp;" mg)"))</f>
        <v/>
      </c>
      <c r="D47" s="7" t="str">
        <f t="array" ref="D47">IF(X47="","",INDEX('Inventory - P06'!$K$16:$K$27,(INT((X47-1)/4)+1))-SUMPRODUCT(($B$10:$B$61=B47)*(($I$10:$I$61&lt;&gt;"")+($K$10:$K$61&lt;&gt;"")+($M$10:$M$61&lt;&gt;"")+($O$10:$O$61&lt;&gt;"")+($Q$10:$Q$61&lt;&gt;"")+($S$10:$S$61&lt;&gt;"")+($U$10:$U$61&lt;&gt;""))))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P06'!$D$16:$D$27,(INT((X47-1)/4)+1)))</f>
        <v/>
      </c>
      <c r="F47" s="7" t="str">
        <f t="array" ref="F47">IF(X47="","",INDEX('Inventory - P06'!$E$16:$E$27,(INT((X47-1)/4)+1)))</f>
        <v/>
      </c>
      <c r="G47" s="7" t="str">
        <f t="array" ref="G47">IF(X47="","",INDEX('Inventory - P06'!$I$16:$I$27,(INT((X47-1)/4)+1)))</f>
        <v/>
      </c>
      <c r="H47" s="7" t="str">
        <f t="array" ref="H47">IF(X47="","",INDEX('Inventory - P06'!$J$16:$J$27,(INT((X47-1)/4)+1)))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P06'!$B$16:$B$27,(INT((X48-1)/4)+1))&amp;IF(INDEX('Inventory - P06'!$C$16:$C$27,(INT((X48-1)/4)+1))="",""," ("&amp;INDEX('Inventory - P06'!$C$16:$C$27,(INT((X48-1)/4)+1))&amp;" mg)"))</f>
        <v/>
      </c>
      <c r="D48" s="7" t="str">
        <f t="array" ref="D48">IF(X48="","",INDEX('Inventory - P06'!$K$16:$K$27,(INT((X48-1)/4)+1))-SUMPRODUCT(($B$10:$B$61=B48)*(($I$10:$I$61&lt;&gt;"")+($K$10:$K$61&lt;&gt;"")+($M$10:$M$61&lt;&gt;"")+($O$10:$O$61&lt;&gt;"")+($Q$10:$Q$61&lt;&gt;"")+($S$10:$S$61&lt;&gt;"")+($U$10:$U$61&lt;&gt;""))))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P06'!$D$16:$D$27,(INT((X48-1)/4)+1)))</f>
        <v/>
      </c>
      <c r="F48" s="7" t="str">
        <f t="array" ref="F48">IF(X48="","",INDEX('Inventory - P06'!$E$16:$E$27,(INT((X48-1)/4)+1)))</f>
        <v/>
      </c>
      <c r="G48" s="7" t="str">
        <f t="array" ref="G48">IF(X48="","",INDEX('Inventory - P06'!$I$16:$I$27,(INT((X48-1)/4)+1)))</f>
        <v/>
      </c>
      <c r="H48" s="7" t="str">
        <f t="array" ref="H48">IF(X48="","",INDEX('Inventory - P06'!$J$16:$J$27,(INT((X48-1)/4)+1)))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P06'!$B$16:$B$27,(INT((X50-1)/4)+1))&amp;IF(INDEX('Inventory - P06'!$C$16:$C$27,(INT((X50-1)/4)+1))="",""," ("&amp;INDEX('Inventory - P06'!$C$16:$C$27,(INT((X50-1)/4)+1))&amp;" mg)"))</f>
        <v/>
      </c>
      <c r="D50" s="7" t="str">
        <f t="array" ref="D50">IF(X50="","",INDEX('Inventory - P06'!$K$16:$K$27,(INT((X50-1)/4)+1))-SUMPRODUCT(($B$10:$B$61=B50)*(($I$10:$I$61&lt;&gt;"")+($K$10:$K$61&lt;&gt;"")+($M$10:$M$61&lt;&gt;"")+($O$10:$O$61&lt;&gt;"")+($Q$10:$Q$61&lt;&gt;"")+($S$10:$S$61&lt;&gt;"")+($U$10:$U$61&lt;&gt;""))))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P06'!$D$16:$D$27,(INT((X50-1)/4)+1)))</f>
        <v/>
      </c>
      <c r="F50" s="7" t="str">
        <f t="array" ref="F50">IF(X50="","",INDEX('Inventory - P06'!$E$16:$E$27,(INT((X50-1)/4)+1)))</f>
        <v/>
      </c>
      <c r="G50" s="7" t="str">
        <f t="array" ref="G50">IF(X50="","",INDEX('Inventory - P06'!$I$16:$I$27,(INT((X50-1)/4)+1)))</f>
        <v/>
      </c>
      <c r="H50" s="7" t="str">
        <f t="array" ref="H50">IF(X50="","",INDEX('Inventory - P06'!$J$16:$J$27,(INT((X50-1)/4)+1)))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P06'!$B$16:$B$27,(INT((X51-1)/4)+1))&amp;IF(INDEX('Inventory - P06'!$C$16:$C$27,(INT((X51-1)/4)+1))="",""," ("&amp;INDEX('Inventory - P06'!$C$16:$C$27,(INT((X51-1)/4)+1))&amp;" mg)"))</f>
        <v/>
      </c>
      <c r="D51" s="7" t="str">
        <f t="array" ref="D51">IF(X51="","",INDEX('Inventory - P06'!$K$16:$K$27,(INT((X51-1)/4)+1))-SUMPRODUCT(($B$10:$B$61=B51)*(($I$10:$I$61&lt;&gt;"")+($K$10:$K$61&lt;&gt;"")+($M$10:$M$61&lt;&gt;"")+($O$10:$O$61&lt;&gt;"")+($Q$10:$Q$61&lt;&gt;"")+($S$10:$S$61&lt;&gt;"")+($U$10:$U$61&lt;&gt;""))))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P06'!$D$16:$D$27,(INT((X51-1)/4)+1)))</f>
        <v/>
      </c>
      <c r="F51" s="7" t="str">
        <f t="array" ref="F51">IF(X51="","",INDEX('Inventory - P06'!$E$16:$E$27,(INT((X51-1)/4)+1)))</f>
        <v/>
      </c>
      <c r="G51" s="7" t="str">
        <f t="array" ref="G51">IF(X51="","",INDEX('Inventory - P06'!$I$16:$I$27,(INT((X51-1)/4)+1)))</f>
        <v/>
      </c>
      <c r="H51" s="7" t="str">
        <f t="array" ref="H51">IF(X51="","",INDEX('Inventory - P06'!$J$16:$J$27,(INT((X51-1)/4)+1)))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P06'!$B$16:$B$27,(INT((X52-1)/4)+1))&amp;IF(INDEX('Inventory - P06'!$C$16:$C$27,(INT((X52-1)/4)+1))="",""," ("&amp;INDEX('Inventory - P06'!$C$16:$C$27,(INT((X52-1)/4)+1))&amp;" mg)"))</f>
        <v/>
      </c>
      <c r="D52" s="7" t="str">
        <f t="array" ref="D52">IF(X52="","",INDEX('Inventory - P06'!$K$16:$K$27,(INT((X52-1)/4)+1))-SUMPRODUCT(($B$10:$B$61=B52)*(($I$10:$I$61&lt;&gt;"")+($K$10:$K$61&lt;&gt;"")+($M$10:$M$61&lt;&gt;"")+($O$10:$O$61&lt;&gt;"")+($Q$10:$Q$61&lt;&gt;"")+($S$10:$S$61&lt;&gt;"")+($U$10:$U$61&lt;&gt;""))))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P06'!$D$16:$D$27,(INT((X52-1)/4)+1)))</f>
        <v/>
      </c>
      <c r="F52" s="7" t="str">
        <f t="array" ref="F52">IF(X52="","",INDEX('Inventory - P06'!$E$16:$E$27,(INT((X52-1)/4)+1)))</f>
        <v/>
      </c>
      <c r="G52" s="7" t="str">
        <f t="array" ref="G52">IF(X52="","",INDEX('Inventory - P06'!$I$16:$I$27,(INT((X52-1)/4)+1)))</f>
        <v/>
      </c>
      <c r="H52" s="7" t="str">
        <f t="array" ref="H52">IF(X52="","",INDEX('Inventory - P06'!$J$16:$J$27,(INT((X52-1)/4)+1)))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P06'!$B$16:$B$27,(INT((X53-1)/4)+1))&amp;IF(INDEX('Inventory - P06'!$C$16:$C$27,(INT((X53-1)/4)+1))="",""," ("&amp;INDEX('Inventory - P06'!$C$16:$C$27,(INT((X53-1)/4)+1))&amp;" mg)"))</f>
        <v/>
      </c>
      <c r="D53" s="7" t="str">
        <f t="array" ref="D53">IF(X53="","",INDEX('Inventory - P06'!$K$16:$K$27,(INT((X53-1)/4)+1))-SUMPRODUCT(($B$10:$B$61=B53)*(($I$10:$I$61&lt;&gt;"")+($K$10:$K$61&lt;&gt;"")+($M$10:$M$61&lt;&gt;"")+($O$10:$O$61&lt;&gt;"")+($Q$10:$Q$61&lt;&gt;"")+($S$10:$S$61&lt;&gt;"")+($U$10:$U$61&lt;&gt;""))))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P06'!$D$16:$D$27,(INT((X53-1)/4)+1)))</f>
        <v/>
      </c>
      <c r="F53" s="7" t="str">
        <f t="array" ref="F53">IF(X53="","",INDEX('Inventory - P06'!$E$16:$E$27,(INT((X53-1)/4)+1)))</f>
        <v/>
      </c>
      <c r="G53" s="7" t="str">
        <f t="array" ref="G53">IF(X53="","",INDEX('Inventory - P06'!$I$16:$I$27,(INT((X53-1)/4)+1)))</f>
        <v/>
      </c>
      <c r="H53" s="7" t="str">
        <f t="array" ref="H53">IF(X53="","",INDEX('Inventory - P06'!$J$16:$J$27,(INT((X53-1)/4)+1)))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P06'!$B$16:$B$27,(INT((X54-1)/4)+1))&amp;IF(INDEX('Inventory - P06'!$C$16:$C$27,(INT((X54-1)/4)+1))="",""," ("&amp;INDEX('Inventory - P06'!$C$16:$C$27,(INT((X54-1)/4)+1))&amp;" mg)"))</f>
        <v/>
      </c>
      <c r="D54" s="7" t="str">
        <f t="array" ref="D54">IF(X54="","",INDEX('Inventory - P06'!$K$16:$K$27,(INT((X54-1)/4)+1))-SUMPRODUCT(($B$10:$B$61=B54)*(($I$10:$I$61&lt;&gt;"")+($K$10:$K$61&lt;&gt;"")+($M$10:$M$61&lt;&gt;"")+($O$10:$O$61&lt;&gt;"")+($Q$10:$Q$61&lt;&gt;"")+($S$10:$S$61&lt;&gt;"")+($U$10:$U$61&lt;&gt;""))))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P06'!$D$16:$D$27,(INT((X54-1)/4)+1)))</f>
        <v/>
      </c>
      <c r="F54" s="7" t="str">
        <f t="array" ref="F54">IF(X54="","",INDEX('Inventory - P06'!$E$16:$E$27,(INT((X54-1)/4)+1)))</f>
        <v/>
      </c>
      <c r="G54" s="7" t="str">
        <f t="array" ref="G54">IF(X54="","",INDEX('Inventory - P06'!$I$16:$I$27,(INT((X54-1)/4)+1)))</f>
        <v/>
      </c>
      <c r="H54" s="7" t="str">
        <f t="array" ref="H54">IF(X54="","",INDEX('Inventory - P06'!$J$16:$J$27,(INT((X54-1)/4)+1)))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P06'!$B$16:$B$27,(INT((X55-1)/4)+1))&amp;IF(INDEX('Inventory - P06'!$C$16:$C$27,(INT((X55-1)/4)+1))="",""," ("&amp;INDEX('Inventory - P06'!$C$16:$C$27,(INT((X55-1)/4)+1))&amp;" mg)"))</f>
        <v/>
      </c>
      <c r="D55" s="7" t="str">
        <f t="array" ref="D55">IF(X55="","",INDEX('Inventory - P06'!$K$16:$K$27,(INT((X55-1)/4)+1))-SUMPRODUCT(($B$10:$B$61=B55)*(($I$10:$I$61&lt;&gt;"")+($K$10:$K$61&lt;&gt;"")+($M$10:$M$61&lt;&gt;"")+($O$10:$O$61&lt;&gt;"")+($Q$10:$Q$61&lt;&gt;"")+($S$10:$S$61&lt;&gt;"")+($U$10:$U$61&lt;&gt;""))))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P06'!$D$16:$D$27,(INT((X55-1)/4)+1)))</f>
        <v/>
      </c>
      <c r="F55" s="7" t="str">
        <f t="array" ref="F55">IF(X55="","",INDEX('Inventory - P06'!$E$16:$E$27,(INT((X55-1)/4)+1)))</f>
        <v/>
      </c>
      <c r="G55" s="7" t="str">
        <f t="array" ref="G55">IF(X55="","",INDEX('Inventory - P06'!$I$16:$I$27,(INT((X55-1)/4)+1)))</f>
        <v/>
      </c>
      <c r="H55" s="7" t="str">
        <f t="array" ref="H55">IF(X55="","",INDEX('Inventory - P06'!$J$16:$J$27,(INT((X55-1)/4)+1)))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P06'!$B$16:$B$27,(INT((X56-1)/4)+1))&amp;IF(INDEX('Inventory - P06'!$C$16:$C$27,(INT((X56-1)/4)+1))="",""," ("&amp;INDEX('Inventory - P06'!$C$16:$C$27,(INT((X56-1)/4)+1))&amp;" mg)"))</f>
        <v/>
      </c>
      <c r="D56" s="7" t="str">
        <f t="array" ref="D56">IF(X56="","",INDEX('Inventory - P06'!$K$16:$K$27,(INT((X56-1)/4)+1))-SUMPRODUCT(($B$10:$B$61=B56)*(($I$10:$I$61&lt;&gt;"")+($K$10:$K$61&lt;&gt;"")+($M$10:$M$61&lt;&gt;"")+($O$10:$O$61&lt;&gt;"")+($Q$10:$Q$61&lt;&gt;"")+($S$10:$S$61&lt;&gt;"")+($U$10:$U$61&lt;&gt;""))))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P06'!$D$16:$D$27,(INT((X56-1)/4)+1)))</f>
        <v/>
      </c>
      <c r="F56" s="7" t="str">
        <f t="array" ref="F56">IF(X56="","",INDEX('Inventory - P06'!$E$16:$E$27,(INT((X56-1)/4)+1)))</f>
        <v/>
      </c>
      <c r="G56" s="7" t="str">
        <f t="array" ref="G56">IF(X56="","",INDEX('Inventory - P06'!$I$16:$I$27,(INT((X56-1)/4)+1)))</f>
        <v/>
      </c>
      <c r="H56" s="7" t="str">
        <f t="array" ref="H56">IF(X56="","",INDEX('Inventory - P06'!$J$16:$J$27,(INT((X56-1)/4)+1)))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P06'!$B$16:$B$27,(INT((X57-1)/4)+1))&amp;IF(INDEX('Inventory - P06'!$C$16:$C$27,(INT((X57-1)/4)+1))="",""," ("&amp;INDEX('Inventory - P06'!$C$16:$C$27,(INT((X57-1)/4)+1))&amp;" mg)"))</f>
        <v/>
      </c>
      <c r="D57" s="7" t="str">
        <f t="array" ref="D57">IF(X57="","",INDEX('Inventory - P06'!$K$16:$K$27,(INT((X57-1)/4)+1))-SUMPRODUCT(($B$10:$B$61=B57)*(($I$10:$I$61&lt;&gt;"")+($K$10:$K$61&lt;&gt;"")+($M$10:$M$61&lt;&gt;"")+($O$10:$O$61&lt;&gt;"")+($Q$10:$Q$61&lt;&gt;"")+($S$10:$S$61&lt;&gt;"")+($U$10:$U$61&lt;&gt;""))))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P06'!$D$16:$D$27,(INT((X57-1)/4)+1)))</f>
        <v/>
      </c>
      <c r="F57" s="7" t="str">
        <f t="array" ref="F57">IF(X57="","",INDEX('Inventory - P06'!$E$16:$E$27,(INT((X57-1)/4)+1)))</f>
        <v/>
      </c>
      <c r="G57" s="7" t="str">
        <f t="array" ref="G57">IF(X57="","",INDEX('Inventory - P06'!$I$16:$I$27,(INT((X57-1)/4)+1)))</f>
        <v/>
      </c>
      <c r="H57" s="7" t="str">
        <f t="array" ref="H57">IF(X57="","",INDEX('Inventory - P06'!$J$16:$J$27,(INT((X57-1)/4)+1)))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P06'!$B$16:$B$27,(INT((X58-1)/4)+1))&amp;IF(INDEX('Inventory - P06'!$C$16:$C$27,(INT((X58-1)/4)+1))="",""," ("&amp;INDEX('Inventory - P06'!$C$16:$C$27,(INT((X58-1)/4)+1))&amp;" mg)"))</f>
        <v/>
      </c>
      <c r="D58" s="7" t="str">
        <f t="array" ref="D58">IF(X58="","",INDEX('Inventory - P06'!$K$16:$K$27,(INT((X58-1)/4)+1))-SUMPRODUCT(($B$10:$B$61=B58)*(($I$10:$I$61&lt;&gt;"")+($K$10:$K$61&lt;&gt;"")+($M$10:$M$61&lt;&gt;"")+($O$10:$O$61&lt;&gt;"")+($Q$10:$Q$61&lt;&gt;"")+($S$10:$S$61&lt;&gt;"")+($U$10:$U$61&lt;&gt;""))))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P06'!$D$16:$D$27,(INT((X58-1)/4)+1)))</f>
        <v/>
      </c>
      <c r="F58" s="7" t="str">
        <f t="array" ref="F58">IF(X58="","",INDEX('Inventory - P06'!$E$16:$E$27,(INT((X58-1)/4)+1)))</f>
        <v/>
      </c>
      <c r="G58" s="7" t="str">
        <f t="array" ref="G58">IF(X58="","",INDEX('Inventory - P06'!$I$16:$I$27,(INT((X58-1)/4)+1)))</f>
        <v/>
      </c>
      <c r="H58" s="7" t="str">
        <f t="array" ref="H58">IF(X58="","",INDEX('Inventory - P06'!$J$16:$J$27,(INT((X58-1)/4)+1)))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P06'!$B$16:$B$27,(INT((X59-1)/4)+1))&amp;IF(INDEX('Inventory - P06'!$C$16:$C$27,(INT((X59-1)/4)+1))="",""," ("&amp;INDEX('Inventory - P06'!$C$16:$C$27,(INT((X59-1)/4)+1))&amp;" mg)"))</f>
        <v/>
      </c>
      <c r="D59" s="7" t="str">
        <f t="array" ref="D59">IF(X59="","",INDEX('Inventory - P06'!$K$16:$K$27,(INT((X59-1)/4)+1))-SUMPRODUCT(($B$10:$B$61=B59)*(($I$10:$I$61&lt;&gt;"")+($K$10:$K$61&lt;&gt;"")+($M$10:$M$61&lt;&gt;"")+($O$10:$O$61&lt;&gt;"")+($Q$10:$Q$61&lt;&gt;"")+($S$10:$S$61&lt;&gt;"")+($U$10:$U$61&lt;&gt;""))))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P06'!$D$16:$D$27,(INT((X59-1)/4)+1)))</f>
        <v/>
      </c>
      <c r="F59" s="7" t="str">
        <f t="array" ref="F59">IF(X59="","",INDEX('Inventory - P06'!$E$16:$E$27,(INT((X59-1)/4)+1)))</f>
        <v/>
      </c>
      <c r="G59" s="7" t="str">
        <f t="array" ref="G59">IF(X59="","",INDEX('Inventory - P06'!$I$16:$I$27,(INT((X59-1)/4)+1)))</f>
        <v/>
      </c>
      <c r="H59" s="7" t="str">
        <f t="array" ref="H59">IF(X59="","",INDEX('Inventory - P06'!$J$16:$J$27,(INT((X59-1)/4)+1)))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P06'!$B$16:$B$27,(INT((X60-1)/4)+1))&amp;IF(INDEX('Inventory - P06'!$C$16:$C$27,(INT((X60-1)/4)+1))="",""," ("&amp;INDEX('Inventory - P06'!$C$16:$C$27,(INT((X60-1)/4)+1))&amp;" mg)"))</f>
        <v/>
      </c>
      <c r="D60" s="7" t="str">
        <f t="array" ref="D60">IF(X60="","",INDEX('Inventory - P06'!$K$16:$K$27,(INT((X60-1)/4)+1))-SUMPRODUCT(($B$10:$B$61=B60)*(($I$10:$I$61&lt;&gt;"")+($K$10:$K$61&lt;&gt;"")+($M$10:$M$61&lt;&gt;"")+($O$10:$O$61&lt;&gt;"")+($Q$10:$Q$61&lt;&gt;"")+($S$10:$S$61&lt;&gt;"")+($U$10:$U$61&lt;&gt;""))))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P06'!$D$16:$D$27,(INT((X60-1)/4)+1)))</f>
        <v/>
      </c>
      <c r="F60" s="7" t="str">
        <f t="array" ref="F60">IF(X60="","",INDEX('Inventory - P06'!$E$16:$E$27,(INT((X60-1)/4)+1)))</f>
        <v/>
      </c>
      <c r="G60" s="7" t="str">
        <f t="array" ref="G60">IF(X60="","",INDEX('Inventory - P06'!$I$16:$I$27,(INT((X60-1)/4)+1)))</f>
        <v/>
      </c>
      <c r="H60" s="7" t="str">
        <f t="array" ref="H60">IF(X60="","",INDEX('Inventory - P06'!$J$16:$J$27,(INT((X60-1)/4)+1)))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P06'!$B$16:$B$27,(INT((X61-1)/4)+1))&amp;IF(INDEX('Inventory - P06'!$C$16:$C$27,(INT((X61-1)/4)+1))="",""," ("&amp;INDEX('Inventory - P06'!$C$16:$C$27,(INT((X61-1)/4)+1))&amp;" mg)"))</f>
        <v/>
      </c>
      <c r="D61" s="7" t="str">
        <f t="array" ref="D61">IF(X61="","",INDEX('Inventory - P06'!$K$16:$K$27,(INT((X61-1)/4)+1))-SUMPRODUCT(($B$10:$B$61=B61)*(($I$10:$I$61&lt;&gt;"")+($K$10:$K$61&lt;&gt;"")+($M$10:$M$61&lt;&gt;"")+($O$10:$O$61&lt;&gt;"")+($Q$10:$Q$61&lt;&gt;"")+($S$10:$S$61&lt;&gt;"")+($U$10:$U$61&lt;&gt;""))))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P06'!$D$16:$D$27,(INT((X61-1)/4)+1)))</f>
        <v/>
      </c>
      <c r="F61" s="7" t="str">
        <f t="array" ref="F61">IF(X61="","",INDEX('Inventory - P06'!$E$16:$E$27,(INT((X61-1)/4)+1)))</f>
        <v/>
      </c>
      <c r="G61" s="7" t="str">
        <f t="array" ref="G61">IF(X61="","",INDEX('Inventory - P06'!$I$16:$I$27,(INT((X61-1)/4)+1)))</f>
        <v/>
      </c>
      <c r="H61" s="7" t="str">
        <f t="array" ref="H61">IF(X61="","",INDEX('Inventory - P06'!$J$16:$J$27,(INT((X61-1)/4)+1)))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P06'!E16&lt;1,'Inventory - P06'!F16="",'Inventory - P06'!G16=""),9,MOD('Inventory - P06'!F16+0*'Inventory - P06'!G16/24,1))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P06'!E16&lt;2,'Inventory - P06'!F16="",'Inventory - P06'!G16=""),9,MOD('Inventory - P06'!F16+1*'Inventory - P06'!G16/24,1))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P06'!E16&lt;3,'Inventory - P06'!F16="",'Inventory - P06'!G16=""),9,MOD('Inventory - P06'!F16+2*'Inventory - P06'!G16/24,1))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P06'!E16&lt;4,'Inventory - P06'!F16="",'Inventory - P06'!G16=""),9,MOD('Inventory - P06'!F16+3*'Inventory - P06'!G16/24,1))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P06'!E17&lt;1,'Inventory - P06'!F17="",'Inventory - P06'!G17=""),9,MOD('Inventory - P06'!F17+0*'Inventory - P06'!G17/24,1))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P06'!E17&lt;2,'Inventory - P06'!F17="",'Inventory - P06'!G17=""),9,MOD('Inventory - P06'!F17+1*'Inventory - P06'!G17/24,1))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P06'!E17&lt;3,'Inventory - P06'!F17="",'Inventory - P06'!G17=""),9,MOD('Inventory - P06'!F17+2*'Inventory - P06'!G17/24,1))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P06'!E17&lt;4,'Inventory - P06'!F17="",'Inventory - P06'!G17=""),9,MOD('Inventory - P06'!F17+3*'Inventory - P06'!G17/24,1))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P06'!E18&lt;1,'Inventory - P06'!F18="",'Inventory - P06'!G18=""),9,MOD('Inventory - P06'!F18+0*'Inventory - P06'!G18/24,1))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P06'!E18&lt;2,'Inventory - P06'!F18="",'Inventory - P06'!G18=""),9,MOD('Inventory - P06'!F18+1*'Inventory - P06'!G18/24,1))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P06'!E18&lt;3,'Inventory - P06'!F18="",'Inventory - P06'!G18=""),9,MOD('Inventory - P06'!F18+2*'Inventory - P06'!G18/24,1))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P06'!E18&lt;4,'Inventory - P06'!F18="",'Inventory - P06'!G18=""),9,MOD('Inventory - P06'!F18+3*'Inventory - P06'!G18/24,1))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P06'!E19&lt;1,'Inventory - P06'!F19="",'Inventory - P06'!G19=""),9,MOD('Inventory - P06'!F19+0*'Inventory - P06'!G19/24,1))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P06'!E19&lt;2,'Inventory - P06'!F19="",'Inventory - P06'!G19=""),9,MOD('Inventory - P06'!F19+1*'Inventory - P06'!G19/24,1))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P06'!E19&lt;3,'Inventory - P06'!F19="",'Inventory - P06'!G19=""),9,MOD('Inventory - P06'!F19+2*'Inventory - P06'!G19/24,1))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P06'!E19&lt;4,'Inventory - P06'!F19="",'Inventory - P06'!G19=""),9,MOD('Inventory - P06'!F19+3*'Inventory - P06'!G19/24,1))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P06'!E20&lt;1,'Inventory - P06'!F20="",'Inventory - P06'!G20=""),9,MOD('Inventory - P06'!F20+0*'Inventory - P06'!G20/24,1))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P06'!E20&lt;2,'Inventory - P06'!F20="",'Inventory - P06'!G20=""),9,MOD('Inventory - P06'!F20+1*'Inventory - P06'!G20/24,1))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P06'!E20&lt;3,'Inventory - P06'!F20="",'Inventory - P06'!G20=""),9,MOD('Inventory - P06'!F20+2*'Inventory - P06'!G20/24,1))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P06'!E20&lt;4,'Inventory - P06'!F20="",'Inventory - P06'!G20=""),9,MOD('Inventory - P06'!F20+3*'Inventory - P06'!G20/24,1))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P06'!E21&lt;1,'Inventory - P06'!F21="",'Inventory - P06'!G21=""),9,MOD('Inventory - P06'!F21+0*'Inventory - P06'!G21/24,1))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P06'!E21&lt;2,'Inventory - P06'!F21="",'Inventory - P06'!G21=""),9,MOD('Inventory - P06'!F21+1*'Inventory - P06'!G21/24,1))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P06'!E21&lt;3,'Inventory - P06'!F21="",'Inventory - P06'!G21=""),9,MOD('Inventory - P06'!F21+2*'Inventory - P06'!G21/24,1))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P06'!E21&lt;4,'Inventory - P06'!F21="",'Inventory - P06'!G21=""),9,MOD('Inventory - P06'!F21+3*'Inventory - P06'!G21/24,1))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P06'!E22&lt;1,'Inventory - P06'!F22="",'Inventory - P06'!G22=""),9,MOD('Inventory - P06'!F22+0*'Inventory - P06'!G22/24,1))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P06'!E22&lt;2,'Inventory - P06'!F22="",'Inventory - P06'!G22=""),9,MOD('Inventory - P06'!F22+1*'Inventory - P06'!G22/24,1))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P06'!E22&lt;3,'Inventory - P06'!F22="",'Inventory - P06'!G22=""),9,MOD('Inventory - P06'!F22+2*'Inventory - P06'!G22/24,1))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P06'!E22&lt;4,'Inventory - P06'!F22="",'Inventory - P06'!G22=""),9,MOD('Inventory - P06'!F22+3*'Inventory - P06'!G22/24,1))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P06'!E23&lt;1,'Inventory - P06'!F23="",'Inventory - P06'!G23=""),9,MOD('Inventory - P06'!F23+0*'Inventory - P06'!G23/24,1))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P06'!E23&lt;2,'Inventory - P06'!F23="",'Inventory - P06'!G23=""),9,MOD('Inventory - P06'!F23+1*'Inventory - P06'!G23/24,1))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P06'!E23&lt;3,'Inventory - P06'!F23="",'Inventory - P06'!G23=""),9,MOD('Inventory - P06'!F23+2*'Inventory - P06'!G23/24,1))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P06'!E23&lt;4,'Inventory - P06'!F23="",'Inventory - P06'!G23=""),9,MOD('Inventory - P06'!F23+3*'Inventory - P06'!G23/24,1))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P06'!E24&lt;1,'Inventory - P06'!F24="",'Inventory - P06'!G24=""),9,MOD('Inventory - P06'!F24+0*'Inventory - P06'!G24/24,1))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P06'!E24&lt;2,'Inventory - P06'!F24="",'Inventory - P06'!G24=""),9,MOD('Inventory - P06'!F24+1*'Inventory - P06'!G24/24,1))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P06'!E24&lt;3,'Inventory - P06'!F24="",'Inventory - P06'!G24=""),9,MOD('Inventory - P06'!F24+2*'Inventory - P06'!G24/24,1))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P06'!E24&lt;4,'Inventory - P06'!F24="",'Inventory - P06'!G24=""),9,MOD('Inventory - P06'!F24+3*'Inventory - P06'!G24/24,1))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P06'!E25&lt;1,'Inventory - P06'!F25="",'Inventory - P06'!G25=""),9,MOD('Inventory - P06'!F25+0*'Inventory - P06'!G25/24,1))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P06'!E25&lt;2,'Inventory - P06'!F25="",'Inventory - P06'!G25=""),9,MOD('Inventory - P06'!F25+1*'Inventory - P06'!G25/24,1))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P06'!E25&lt;3,'Inventory - P06'!F25="",'Inventory - P06'!G25=""),9,MOD('Inventory - P06'!F25+2*'Inventory - P06'!G25/24,1))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P06'!E25&lt;4,'Inventory - P06'!F25="",'Inventory - P06'!G25=""),9,MOD('Inventory - P06'!F25+3*'Inventory - P06'!G25/24,1))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P06'!E26&lt;1,'Inventory - P06'!F26="",'Inventory - P06'!G26=""),9,MOD('Inventory - P06'!F26+0*'Inventory - P06'!G26/24,1))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P06'!E26&lt;2,'Inventory - P06'!F26="",'Inventory - P06'!G26=""),9,MOD('Inventory - P06'!F26+1*'Inventory - P06'!G26/24,1))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P06'!E26&lt;3,'Inventory - P06'!F26="",'Inventory - P06'!G26=""),9,MOD('Inventory - P06'!F26+2*'Inventory - P06'!G26/24,1))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P06'!E26&lt;4,'Inventory - P06'!F26="",'Inventory - P06'!G26=""),9,MOD('Inventory - P06'!F26+3*'Inventory - P06'!G26/24,1))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P06'!E27&lt;1,'Inventory - P06'!F27="",'Inventory - P06'!G27=""),9,MOD('Inventory - P06'!F27+0*'Inventory - P06'!G27/24,1))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P06'!E27&lt;2,'Inventory - P06'!F27="",'Inventory - P06'!G27=""),9,MOD('Inventory - P06'!F27+1*'Inventory - P06'!G27/24,1))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P06'!E27&lt;3,'Inventory - P06'!F27="",'Inventory - P06'!G27=""),9,MOD('Inventory - P06'!F27+2*'Inventory - P06'!G27/24,1))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P06'!E27&lt;4,'Inventory - P06'!F27="",'Inventory - P06'!G27=""),9,MOD('Inventory - P06'!F27+3*'Inventory - P06'!G27/24,1))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621" priority="1">
      <formula>$W11&gt;=9</formula>
    </cfRule>
  </conditionalFormatting>
  <conditionalFormatting sqref="A12:V12">
    <cfRule type="expression" dxfId="620" priority="2">
      <formula>$W12&gt;=9</formula>
    </cfRule>
  </conditionalFormatting>
  <conditionalFormatting sqref="A13:V13">
    <cfRule type="expression" dxfId="619" priority="3">
      <formula>$W13&gt;=9</formula>
    </cfRule>
  </conditionalFormatting>
  <conditionalFormatting sqref="A14:V14">
    <cfRule type="expression" dxfId="618" priority="4">
      <formula>$W14&gt;=9</formula>
    </cfRule>
  </conditionalFormatting>
  <conditionalFormatting sqref="A15:V15">
    <cfRule type="expression" dxfId="617" priority="5">
      <formula>$W15&gt;=9</formula>
    </cfRule>
  </conditionalFormatting>
  <conditionalFormatting sqref="A16:V16">
    <cfRule type="expression" dxfId="616" priority="6">
      <formula>$W16&gt;=9</formula>
    </cfRule>
  </conditionalFormatting>
  <conditionalFormatting sqref="A17:V17">
    <cfRule type="expression" dxfId="615" priority="7">
      <formula>$W17&gt;=9</formula>
    </cfRule>
  </conditionalFormatting>
  <conditionalFormatting sqref="A18:V18">
    <cfRule type="expression" dxfId="614" priority="8">
      <formula>$W18&gt;=9</formula>
    </cfRule>
  </conditionalFormatting>
  <conditionalFormatting sqref="A19:V19">
    <cfRule type="expression" dxfId="613" priority="9">
      <formula>$W19&gt;=9</formula>
    </cfRule>
  </conditionalFormatting>
  <conditionalFormatting sqref="A20:V20">
    <cfRule type="expression" dxfId="612" priority="10">
      <formula>$W20&gt;=9</formula>
    </cfRule>
  </conditionalFormatting>
  <conditionalFormatting sqref="A21:V21">
    <cfRule type="expression" dxfId="611" priority="11">
      <formula>$W21&gt;=9</formula>
    </cfRule>
  </conditionalFormatting>
  <conditionalFormatting sqref="A22:V22">
    <cfRule type="expression" dxfId="610" priority="12">
      <formula>$W22&gt;=9</formula>
    </cfRule>
  </conditionalFormatting>
  <conditionalFormatting sqref="A24:V24">
    <cfRule type="expression" dxfId="609" priority="13">
      <formula>$W24&gt;=9</formula>
    </cfRule>
  </conditionalFormatting>
  <conditionalFormatting sqref="A25:V25">
    <cfRule type="expression" dxfId="608" priority="14">
      <formula>$W25&gt;=9</formula>
    </cfRule>
  </conditionalFormatting>
  <conditionalFormatting sqref="A26:V26">
    <cfRule type="expression" dxfId="607" priority="15">
      <formula>$W26&gt;=9</formula>
    </cfRule>
  </conditionalFormatting>
  <conditionalFormatting sqref="A27:V27">
    <cfRule type="expression" dxfId="606" priority="16">
      <formula>$W27&gt;=9</formula>
    </cfRule>
  </conditionalFormatting>
  <conditionalFormatting sqref="A28:V28">
    <cfRule type="expression" dxfId="605" priority="17">
      <formula>$W28&gt;=9</formula>
    </cfRule>
  </conditionalFormatting>
  <conditionalFormatting sqref="A29:V29">
    <cfRule type="expression" dxfId="604" priority="18">
      <formula>$W29&gt;=9</formula>
    </cfRule>
  </conditionalFormatting>
  <conditionalFormatting sqref="A30:V30">
    <cfRule type="expression" dxfId="603" priority="19">
      <formula>$W30&gt;=9</formula>
    </cfRule>
  </conditionalFormatting>
  <conditionalFormatting sqref="A31:V31">
    <cfRule type="expression" dxfId="602" priority="20">
      <formula>$W31&gt;=9</formula>
    </cfRule>
  </conditionalFormatting>
  <conditionalFormatting sqref="A32:V32">
    <cfRule type="expression" dxfId="601" priority="21">
      <formula>$W32&gt;=9</formula>
    </cfRule>
  </conditionalFormatting>
  <conditionalFormatting sqref="A33:V33">
    <cfRule type="expression" dxfId="600" priority="22">
      <formula>$W33&gt;=9</formula>
    </cfRule>
  </conditionalFormatting>
  <conditionalFormatting sqref="A34:V34">
    <cfRule type="expression" dxfId="599" priority="23">
      <formula>$W34&gt;=9</formula>
    </cfRule>
  </conditionalFormatting>
  <conditionalFormatting sqref="A35:V35">
    <cfRule type="expression" dxfId="598" priority="24">
      <formula>$W35&gt;=9</formula>
    </cfRule>
  </conditionalFormatting>
  <conditionalFormatting sqref="A37:V37">
    <cfRule type="expression" dxfId="597" priority="25">
      <formula>$W37&gt;=9</formula>
    </cfRule>
  </conditionalFormatting>
  <conditionalFormatting sqref="A38:V38">
    <cfRule type="expression" dxfId="596" priority="26">
      <formula>$W38&gt;=9</formula>
    </cfRule>
  </conditionalFormatting>
  <conditionalFormatting sqref="A39:V39">
    <cfRule type="expression" dxfId="595" priority="27">
      <formula>$W39&gt;=9</formula>
    </cfRule>
  </conditionalFormatting>
  <conditionalFormatting sqref="A40:V40">
    <cfRule type="expression" dxfId="594" priority="28">
      <formula>$W40&gt;=9</formula>
    </cfRule>
  </conditionalFormatting>
  <conditionalFormatting sqref="A41:V41">
    <cfRule type="expression" dxfId="593" priority="29">
      <formula>$W41&gt;=9</formula>
    </cfRule>
  </conditionalFormatting>
  <conditionalFormatting sqref="A42:V42">
    <cfRule type="expression" dxfId="592" priority="30">
      <formula>$W42&gt;=9</formula>
    </cfRule>
  </conditionalFormatting>
  <conditionalFormatting sqref="A43:V43">
    <cfRule type="expression" dxfId="591" priority="31">
      <formula>$W43&gt;=9</formula>
    </cfRule>
  </conditionalFormatting>
  <conditionalFormatting sqref="A44:V44">
    <cfRule type="expression" dxfId="590" priority="32">
      <formula>$W44&gt;=9</formula>
    </cfRule>
  </conditionalFormatting>
  <conditionalFormatting sqref="A45:V45">
    <cfRule type="expression" dxfId="589" priority="33">
      <formula>$W45&gt;=9</formula>
    </cfRule>
  </conditionalFormatting>
  <conditionalFormatting sqref="A46:V46">
    <cfRule type="expression" dxfId="588" priority="34">
      <formula>$W46&gt;=9</formula>
    </cfRule>
  </conditionalFormatting>
  <conditionalFormatting sqref="A47:V47">
    <cfRule type="expression" dxfId="587" priority="35">
      <formula>$W47&gt;=9</formula>
    </cfRule>
  </conditionalFormatting>
  <conditionalFormatting sqref="A48:V48">
    <cfRule type="expression" dxfId="586" priority="36">
      <formula>$W48&gt;=9</formula>
    </cfRule>
  </conditionalFormatting>
  <conditionalFormatting sqref="A50:V50">
    <cfRule type="expression" dxfId="585" priority="37">
      <formula>$W50&gt;=9</formula>
    </cfRule>
  </conditionalFormatting>
  <conditionalFormatting sqref="A51:V51">
    <cfRule type="expression" dxfId="584" priority="38">
      <formula>$W51&gt;=9</formula>
    </cfRule>
  </conditionalFormatting>
  <conditionalFormatting sqref="A52:V52">
    <cfRule type="expression" dxfId="583" priority="39">
      <formula>$W52&gt;=9</formula>
    </cfRule>
  </conditionalFormatting>
  <conditionalFormatting sqref="A53:V53">
    <cfRule type="expression" dxfId="582" priority="40">
      <formula>$W53&gt;=9</formula>
    </cfRule>
  </conditionalFormatting>
  <conditionalFormatting sqref="A54:V54">
    <cfRule type="expression" dxfId="581" priority="41">
      <formula>$W54&gt;=9</formula>
    </cfRule>
  </conditionalFormatting>
  <conditionalFormatting sqref="A55:V55">
    <cfRule type="expression" dxfId="580" priority="42">
      <formula>$W55&gt;=9</formula>
    </cfRule>
  </conditionalFormatting>
  <conditionalFormatting sqref="A56:V56">
    <cfRule type="expression" dxfId="579" priority="43">
      <formula>$W56&gt;=9</formula>
    </cfRule>
  </conditionalFormatting>
  <conditionalFormatting sqref="A57:V57">
    <cfRule type="expression" dxfId="578" priority="44">
      <formula>$W57&gt;=9</formula>
    </cfRule>
  </conditionalFormatting>
  <conditionalFormatting sqref="A58:V58">
    <cfRule type="expression" dxfId="577" priority="45">
      <formula>$W58&gt;=9</formula>
    </cfRule>
  </conditionalFormatting>
  <conditionalFormatting sqref="A59:V59">
    <cfRule type="expression" dxfId="576" priority="46">
      <formula>$W59&gt;=9</formula>
    </cfRule>
  </conditionalFormatting>
  <conditionalFormatting sqref="A60:V60">
    <cfRule type="expression" dxfId="575" priority="47">
      <formula>$W60&gt;=9</formula>
    </cfRule>
  </conditionalFormatting>
  <conditionalFormatting sqref="A61:V61">
    <cfRule type="expression" dxfId="574" priority="48">
      <formula>$W61&gt;=9</formula>
    </cfRule>
  </conditionalFormatting>
  <conditionalFormatting sqref="H10:H61">
    <cfRule type="cellIs" dxfId="573" priority="49" operator="equal">
      <formula>"Physical"</formula>
    </cfRule>
  </conditionalFormatting>
  <conditionalFormatting sqref="H10:H61">
    <cfRule type="cellIs" dxfId="572" priority="50" operator="equal">
      <formula>"Psychological"</formula>
    </cfRule>
  </conditionalFormatting>
  <conditionalFormatting sqref="G10:G61">
    <cfRule type="cellIs" dxfId="571" priority="51" operator="equal">
      <formula>"Y"</formula>
    </cfRule>
  </conditionalFormatting>
  <conditionalFormatting sqref="G10:G61">
    <cfRule type="cellIs" dxfId="570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Tracker'!B11="","",UPPER(LEFT(TRIM('Client Needs Tracker'!B11),1))&amp;UPPER(MID('Client Needs Tracker'!B11,FIND("@",SUBSTITUTE('Client Needs Tracker'!B11," ","@",LEN('Client Needs Tracker'!B11)-LEN(SUBSTITUTE('Client Needs Tracker'!B11," ",""))))+1,1))&amp;"-"&amp;SUBSTITUTE('Client Needs Tracker'!S11,"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Tracker'!S11="","","INV-"&amp;SUBSTITUTE('Client Needs Tracker'!S11," ",""))</f>
        <v>INV-M-4A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Tracker'!B11="","(Add client on Client Needs Tracker, row 11)",'Client Needs Tracker'!B11)</f>
        <v>(Add client on Client Needs Tracker, row 11)</v>
      </c>
      <c r="B6" s="134"/>
      <c r="C6" s="134"/>
      <c r="D6" s="134"/>
      <c r="E6" s="134"/>
      <c r="F6" s="93">
        <f>'Client Needs Tracker'!A11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Tracker'!C11="","",'Client Needs Tracker'!C11)</f>
        <v/>
      </c>
      <c r="B8" s="134"/>
      <c r="C8" s="134"/>
      <c r="D8" s="134"/>
      <c r="E8" s="134"/>
      <c r="F8" s="95">
        <f>'Client Needs Tracker'!E11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Tracker'!F11="","",'Client Needs Tracker'!F11)</f>
        <v/>
      </c>
      <c r="B10" s="134"/>
      <c r="C10" s="134"/>
      <c r="D10" s="134"/>
      <c r="E10" s="134"/>
      <c r="F10" s="89" t="str">
        <f>IF('Client Status Board'!G11="","",'Client Status Board'!G11)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Board'!L11="","",'Client Status Board'!L11)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P07'!$B$10:$B$61=1)*(('MAR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P07'!$B$10:$B$61=2)*(('MAR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P07'!$B$10:$B$61=3)*(('MAR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P07'!$B$10:$B$61=4)*(('MAR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P07'!$B$10:$B$61=5)*(('MAR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P07'!$B$10:$B$61=6)*(('MAR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P07'!$B$10:$B$61=7)*(('MAR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P07'!$B$10:$B$61=8)*(('MAR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P07'!$B$10:$B$61=9)*(('MAR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P07'!$B$10:$B$61=10)*(('MAR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P07'!$B$10:$B$61=11)*(('MAR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P07'!$B$10:$B$61=12)*(('MAR - P07'!$I$10:$I$61&lt;&gt;"")+('MAR - P07'!$K$10:$K$61&lt;&gt;"")+('MAR - P07'!$M$10:$M$61&lt;&gt;"")+('MAR - P07'!$O$10:$O$61&lt;&gt;"")+('MAR - P07'!$Q$10:$Q$61&lt;&gt;"")+('MAR - P07'!$S$10:$S$61&lt;&gt;"")+('MAR - P07'!$U$10:$U$61&lt;&gt;""))))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569" priority="1" operator="equal">
      <formula>"Physical"</formula>
    </cfRule>
  </conditionalFormatting>
  <conditionalFormatting sqref="J16:J27">
    <cfRule type="cellIs" dxfId="568" priority="2" operator="equal">
      <formula>"Psychological"</formula>
    </cfRule>
  </conditionalFormatting>
  <conditionalFormatting sqref="I16:I27">
    <cfRule type="cellIs" dxfId="567" priority="3" operator="equal">
      <formula>"Y"</formula>
    </cfRule>
  </conditionalFormatting>
  <conditionalFormatting sqref="I16:I27">
    <cfRule type="cellIs" dxfId="566" priority="4" operator="equal">
      <formula>"N"</formula>
    </cfRule>
  </conditionalFormatting>
  <dataValidations count="5">
    <dataValidation type="list" allowBlank="1" sqref="I16:I27" xr:uid="{00000000-0002-0000-1100-000001000000}">
      <formula1>"Y,N"</formula1>
    </dataValidation>
    <dataValidation type="list" allowBlank="1" sqref="J16:J27" xr:uid="{00000000-0002-0000-1100-000002000000}">
      <formula1>"Physical,Psychological"</formula1>
    </dataValidation>
    <dataValidation type="list" allowBlank="1" sqref="C16:C27" xr:uid="{00000000-0002-0000-11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100-000004000000}">
      <formula1>"PO,IM,IV,SubQ,Topical,Inhaled,Sublingual,Rectal,Other"</formula1>
    </dataValidation>
    <dataValidation type="list" allowBlank="1" sqref="G16:G27" xr:uid="{00000000-0002-0000-11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1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Tracker'!B11="","",UPPER(LEFT(TRIM('Client Needs Tracker'!B11),1))&amp;UPPER(MID('Client Needs Tracker'!B11,FIND("@",SUBSTITUTE('Client Needs Tracker'!B11," ","@",LEN('Client Needs Tracker'!B11)-LEN(SUBSTITUTE('Client Needs Tracker'!B11," ",""))))+1,1))&amp;"-"&amp;SUBSTITUTE('Client Needs Tracker'!S11," ",""))</f>
        <v/>
      </c>
    </row>
    <row r="3" spans="1:33" ht="15" customHeight="1">
      <c r="A3" s="103" t="str">
        <f>IF('Inventory - P07'!A6="","(Enter name in Inventory - P07)",'Inventory - P07'!A6)</f>
        <v>(Add client on Client Needs Tracker, row 11)</v>
      </c>
      <c r="B3" s="145"/>
      <c r="C3" s="145"/>
      <c r="D3" s="145"/>
      <c r="E3" s="145"/>
      <c r="F3" s="104" t="str">
        <f>IF('Inventory - P07'!F6="","(Enter ID in Inventory - P07)","Member ID: "&amp;'Inventory - P07'!F6)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Tracker'!S11="","","INV-"&amp;SUBSTITUTE('Client Needs Tracker'!S11," ",""))</f>
        <v>INV-M-4A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P07'!F8="","-",'Inventory - P07'!F8)</f>
        <v>LOC: 0</v>
      </c>
      <c r="B5" s="106"/>
      <c r="C5" s="2"/>
      <c r="D5" s="102" t="str">
        <f>"Case Manager: "&amp;IF('Inventory - P07'!A10="","-",'Inventory - P07'!A10)</f>
        <v>Case Manager: -</v>
      </c>
      <c r="E5" s="106"/>
      <c r="F5" s="2"/>
      <c r="G5" s="102" t="str">
        <f>"Doctor: "&amp;IF('Inventory - P07'!F10="","-",'Inventory - P07'!F10)</f>
        <v>Doctor: -</v>
      </c>
      <c r="H5" s="106"/>
      <c r="I5" s="2"/>
      <c r="J5" s="102" t="str">
        <f>"Pharmacy: "&amp;IF('Inventory - P07'!A12="","-",'Inventory - P07'!A12)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P07'!A14="","",'Inventory - P07'!A14)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P07'!A14="","",'Inventory - P07'!A14+0)</f>
        <v/>
      </c>
      <c r="J8" s="134"/>
      <c r="K8" s="101" t="str">
        <f>IF('Inventory - P07'!A14="","",'Inventory - P07'!A14+1)</f>
        <v/>
      </c>
      <c r="L8" s="134"/>
      <c r="M8" s="101" t="str">
        <f>IF('Inventory - P07'!A14="","",'Inventory - P07'!A14+2)</f>
        <v/>
      </c>
      <c r="N8" s="134"/>
      <c r="O8" s="101" t="str">
        <f>IF('Inventory - P07'!A14="","",'Inventory - P07'!A14+3)</f>
        <v/>
      </c>
      <c r="P8" s="134"/>
      <c r="Q8" s="101" t="str">
        <f>IF('Inventory - P07'!A14="","",'Inventory - P07'!A14+4)</f>
        <v/>
      </c>
      <c r="R8" s="134"/>
      <c r="S8" s="101" t="str">
        <f>IF('Inventory - P07'!A14="","",'Inventory - P07'!A14+5)</f>
        <v/>
      </c>
      <c r="T8" s="134"/>
      <c r="U8" s="101" t="str">
        <f>IF('Inventory - P07'!A14="","",'Inventory - P07'!A14+6)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P07'!$B$16:$B$27,(INT((X11-1)/4)+1))&amp;IF(INDEX('Inventory - P07'!$C$16:$C$27,(INT((X11-1)/4)+1))="",""," ("&amp;INDEX('Inventory - P07'!$C$16:$C$27,(INT((X11-1)/4)+1))&amp;" mg)"))</f>
        <v/>
      </c>
      <c r="D11" s="7" t="str">
        <f t="array" ref="D11">IF(X11="","",INDEX('Inventory - P07'!$K$16:$K$27,(INT((X11-1)/4)+1))-SUMPRODUCT(($B$10:$B$61=B11)*(($I$10:$I$61&lt;&gt;"")+($K$10:$K$61&lt;&gt;"")+($M$10:$M$61&lt;&gt;"")+($O$10:$O$61&lt;&gt;"")+($Q$10:$Q$61&lt;&gt;"")+($S$10:$S$61&lt;&gt;"")+($U$10:$U$61&lt;&gt;""))))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P07'!$D$16:$D$27,(INT((X11-1)/4)+1)))</f>
        <v/>
      </c>
      <c r="F11" s="7" t="str">
        <f t="array" ref="F11">IF(X11="","",INDEX('Inventory - P07'!$E$16:$E$27,(INT((X11-1)/4)+1)))</f>
        <v/>
      </c>
      <c r="G11" s="7" t="str">
        <f t="array" ref="G11">IF(X11="","",INDEX('Inventory - P07'!$I$16:$I$27,(INT((X11-1)/4)+1)))</f>
        <v/>
      </c>
      <c r="H11" s="7" t="str">
        <f t="array" ref="H11">IF(X11="","",INDEX('Inventory - P07'!$J$16:$J$27,(INT((X11-1)/4)+1)))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P07'!$B$16:$B$27,(INT((X12-1)/4)+1))&amp;IF(INDEX('Inventory - P07'!$C$16:$C$27,(INT((X12-1)/4)+1))="",""," ("&amp;INDEX('Inventory - P07'!$C$16:$C$27,(INT((X12-1)/4)+1))&amp;" mg)"))</f>
        <v/>
      </c>
      <c r="D12" s="7" t="str">
        <f t="array" ref="D12">IF(X12="","",INDEX('Inventory - P07'!$K$16:$K$27,(INT((X12-1)/4)+1))-SUMPRODUCT(($B$10:$B$61=B12)*(($I$10:$I$61&lt;&gt;"")+($K$10:$K$61&lt;&gt;"")+($M$10:$M$61&lt;&gt;"")+($O$10:$O$61&lt;&gt;"")+($Q$10:$Q$61&lt;&gt;"")+($S$10:$S$61&lt;&gt;"")+($U$10:$U$61&lt;&gt;""))))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P07'!$D$16:$D$27,(INT((X12-1)/4)+1)))</f>
        <v/>
      </c>
      <c r="F12" s="7" t="str">
        <f t="array" ref="F12">IF(X12="","",INDEX('Inventory - P07'!$E$16:$E$27,(INT((X12-1)/4)+1)))</f>
        <v/>
      </c>
      <c r="G12" s="7" t="str">
        <f t="array" ref="G12">IF(X12="","",INDEX('Inventory - P07'!$I$16:$I$27,(INT((X12-1)/4)+1)))</f>
        <v/>
      </c>
      <c r="H12" s="7" t="str">
        <f t="array" ref="H12">IF(X12="","",INDEX('Inventory - P07'!$J$16:$J$27,(INT((X12-1)/4)+1)))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P07'!$B$16:$B$27,(INT((X13-1)/4)+1))&amp;IF(INDEX('Inventory - P07'!$C$16:$C$27,(INT((X13-1)/4)+1))="",""," ("&amp;INDEX('Inventory - P07'!$C$16:$C$27,(INT((X13-1)/4)+1))&amp;" mg)"))</f>
        <v/>
      </c>
      <c r="D13" s="7" t="str">
        <f t="array" ref="D13">IF(X13="","",INDEX('Inventory - P07'!$K$16:$K$27,(INT((X13-1)/4)+1))-SUMPRODUCT(($B$10:$B$61=B13)*(($I$10:$I$61&lt;&gt;"")+($K$10:$K$61&lt;&gt;"")+($M$10:$M$61&lt;&gt;"")+($O$10:$O$61&lt;&gt;"")+($Q$10:$Q$61&lt;&gt;"")+($S$10:$S$61&lt;&gt;"")+($U$10:$U$61&lt;&gt;""))))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P07'!$D$16:$D$27,(INT((X13-1)/4)+1)))</f>
        <v/>
      </c>
      <c r="F13" s="7" t="str">
        <f t="array" ref="F13">IF(X13="","",INDEX('Inventory - P07'!$E$16:$E$27,(INT((X13-1)/4)+1)))</f>
        <v/>
      </c>
      <c r="G13" s="7" t="str">
        <f t="array" ref="G13">IF(X13="","",INDEX('Inventory - P07'!$I$16:$I$27,(INT((X13-1)/4)+1)))</f>
        <v/>
      </c>
      <c r="H13" s="7" t="str">
        <f t="array" ref="H13">IF(X13="","",INDEX('Inventory - P07'!$J$16:$J$27,(INT((X13-1)/4)+1)))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P07'!$B$16:$B$27,(INT((X14-1)/4)+1))&amp;IF(INDEX('Inventory - P07'!$C$16:$C$27,(INT((X14-1)/4)+1))="",""," ("&amp;INDEX('Inventory - P07'!$C$16:$C$27,(INT((X14-1)/4)+1))&amp;" mg)"))</f>
        <v/>
      </c>
      <c r="D14" s="7" t="str">
        <f t="array" ref="D14">IF(X14="","",INDEX('Inventory - P07'!$K$16:$K$27,(INT((X14-1)/4)+1))-SUMPRODUCT(($B$10:$B$61=B14)*(($I$10:$I$61&lt;&gt;"")+($K$10:$K$61&lt;&gt;"")+($M$10:$M$61&lt;&gt;"")+($O$10:$O$61&lt;&gt;"")+($Q$10:$Q$61&lt;&gt;"")+($S$10:$S$61&lt;&gt;"")+($U$10:$U$61&lt;&gt;""))))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P07'!$D$16:$D$27,(INT((X14-1)/4)+1)))</f>
        <v/>
      </c>
      <c r="F14" s="7" t="str">
        <f t="array" ref="F14">IF(X14="","",INDEX('Inventory - P07'!$E$16:$E$27,(INT((X14-1)/4)+1)))</f>
        <v/>
      </c>
      <c r="G14" s="7" t="str">
        <f t="array" ref="G14">IF(X14="","",INDEX('Inventory - P07'!$I$16:$I$27,(INT((X14-1)/4)+1)))</f>
        <v/>
      </c>
      <c r="H14" s="7" t="str">
        <f t="array" ref="H14">IF(X14="","",INDEX('Inventory - P07'!$J$16:$J$27,(INT((X14-1)/4)+1)))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P07'!$B$16:$B$27,(INT((X15-1)/4)+1))&amp;IF(INDEX('Inventory - P07'!$C$16:$C$27,(INT((X15-1)/4)+1))="",""," ("&amp;INDEX('Inventory - P07'!$C$16:$C$27,(INT((X15-1)/4)+1))&amp;" mg)"))</f>
        <v/>
      </c>
      <c r="D15" s="7" t="str">
        <f t="array" ref="D15">IF(X15="","",INDEX('Inventory - P07'!$K$16:$K$27,(INT((X15-1)/4)+1))-SUMPRODUCT(($B$10:$B$61=B15)*(($I$10:$I$61&lt;&gt;"")+($K$10:$K$61&lt;&gt;"")+($M$10:$M$61&lt;&gt;"")+($O$10:$O$61&lt;&gt;"")+($Q$10:$Q$61&lt;&gt;"")+($S$10:$S$61&lt;&gt;"")+($U$10:$U$61&lt;&gt;""))))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P07'!$D$16:$D$27,(INT((X15-1)/4)+1)))</f>
        <v/>
      </c>
      <c r="F15" s="7" t="str">
        <f t="array" ref="F15">IF(X15="","",INDEX('Inventory - P07'!$E$16:$E$27,(INT((X15-1)/4)+1)))</f>
        <v/>
      </c>
      <c r="G15" s="7" t="str">
        <f t="array" ref="G15">IF(X15="","",INDEX('Inventory - P07'!$I$16:$I$27,(INT((X15-1)/4)+1)))</f>
        <v/>
      </c>
      <c r="H15" s="7" t="str">
        <f t="array" ref="H15">IF(X15="","",INDEX('Inventory - P07'!$J$16:$J$27,(INT((X15-1)/4)+1)))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P07'!$B$16:$B$27,(INT((X16-1)/4)+1))&amp;IF(INDEX('Inventory - P07'!$C$16:$C$27,(INT((X16-1)/4)+1))="",""," ("&amp;INDEX('Inventory - P07'!$C$16:$C$27,(INT((X16-1)/4)+1))&amp;" mg)"))</f>
        <v/>
      </c>
      <c r="D16" s="7" t="str">
        <f t="array" ref="D16">IF(X16="","",INDEX('Inventory - P07'!$K$16:$K$27,(INT((X16-1)/4)+1))-SUMPRODUCT(($B$10:$B$61=B16)*(($I$10:$I$61&lt;&gt;"")+($K$10:$K$61&lt;&gt;"")+($M$10:$M$61&lt;&gt;"")+($O$10:$O$61&lt;&gt;"")+($Q$10:$Q$61&lt;&gt;"")+($S$10:$S$61&lt;&gt;"")+($U$10:$U$61&lt;&gt;""))))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P07'!$D$16:$D$27,(INT((X16-1)/4)+1)))</f>
        <v/>
      </c>
      <c r="F16" s="7" t="str">
        <f t="array" ref="F16">IF(X16="","",INDEX('Inventory - P07'!$E$16:$E$27,(INT((X16-1)/4)+1)))</f>
        <v/>
      </c>
      <c r="G16" s="7" t="str">
        <f t="array" ref="G16">IF(X16="","",INDEX('Inventory - P07'!$I$16:$I$27,(INT((X16-1)/4)+1)))</f>
        <v/>
      </c>
      <c r="H16" s="7" t="str">
        <f t="array" ref="H16">IF(X16="","",INDEX('Inventory - P07'!$J$16:$J$27,(INT((X16-1)/4)+1)))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P07'!$B$16:$B$27,(INT((X17-1)/4)+1))&amp;IF(INDEX('Inventory - P07'!$C$16:$C$27,(INT((X17-1)/4)+1))="",""," ("&amp;INDEX('Inventory - P07'!$C$16:$C$27,(INT((X17-1)/4)+1))&amp;" mg)"))</f>
        <v/>
      </c>
      <c r="D17" s="7" t="str">
        <f t="array" ref="D17">IF(X17="","",INDEX('Inventory - P07'!$K$16:$K$27,(INT((X17-1)/4)+1))-SUMPRODUCT(($B$10:$B$61=B17)*(($I$10:$I$61&lt;&gt;"")+($K$10:$K$61&lt;&gt;"")+($M$10:$M$61&lt;&gt;"")+($O$10:$O$61&lt;&gt;"")+($Q$10:$Q$61&lt;&gt;"")+($S$10:$S$61&lt;&gt;"")+($U$10:$U$61&lt;&gt;""))))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P07'!$D$16:$D$27,(INT((X17-1)/4)+1)))</f>
        <v/>
      </c>
      <c r="F17" s="7" t="str">
        <f t="array" ref="F17">IF(X17="","",INDEX('Inventory - P07'!$E$16:$E$27,(INT((X17-1)/4)+1)))</f>
        <v/>
      </c>
      <c r="G17" s="7" t="str">
        <f t="array" ref="G17">IF(X17="","",INDEX('Inventory - P07'!$I$16:$I$27,(INT((X17-1)/4)+1)))</f>
        <v/>
      </c>
      <c r="H17" s="7" t="str">
        <f t="array" ref="H17">IF(X17="","",INDEX('Inventory - P07'!$J$16:$J$27,(INT((X17-1)/4)+1)))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P07'!$B$16:$B$27,(INT((X18-1)/4)+1))&amp;IF(INDEX('Inventory - P07'!$C$16:$C$27,(INT((X18-1)/4)+1))="",""," ("&amp;INDEX('Inventory - P07'!$C$16:$C$27,(INT((X18-1)/4)+1))&amp;" mg)"))</f>
        <v/>
      </c>
      <c r="D18" s="7" t="str">
        <f t="array" ref="D18">IF(X18="","",INDEX('Inventory - P07'!$K$16:$K$27,(INT((X18-1)/4)+1))-SUMPRODUCT(($B$10:$B$61=B18)*(($I$10:$I$61&lt;&gt;"")+($K$10:$K$61&lt;&gt;"")+($M$10:$M$61&lt;&gt;"")+($O$10:$O$61&lt;&gt;"")+($Q$10:$Q$61&lt;&gt;"")+($S$10:$S$61&lt;&gt;"")+($U$10:$U$61&lt;&gt;""))))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P07'!$D$16:$D$27,(INT((X18-1)/4)+1)))</f>
        <v/>
      </c>
      <c r="F18" s="7" t="str">
        <f t="array" ref="F18">IF(X18="","",INDEX('Inventory - P07'!$E$16:$E$27,(INT((X18-1)/4)+1)))</f>
        <v/>
      </c>
      <c r="G18" s="7" t="str">
        <f t="array" ref="G18">IF(X18="","",INDEX('Inventory - P07'!$I$16:$I$27,(INT((X18-1)/4)+1)))</f>
        <v/>
      </c>
      <c r="H18" s="7" t="str">
        <f t="array" ref="H18">IF(X18="","",INDEX('Inventory - P07'!$J$16:$J$27,(INT((X18-1)/4)+1)))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P07'!$B$16:$B$27,(INT((X19-1)/4)+1))&amp;IF(INDEX('Inventory - P07'!$C$16:$C$27,(INT((X19-1)/4)+1))="",""," ("&amp;INDEX('Inventory - P07'!$C$16:$C$27,(INT((X19-1)/4)+1))&amp;" mg)"))</f>
        <v/>
      </c>
      <c r="D19" s="7" t="str">
        <f t="array" ref="D19">IF(X19="","",INDEX('Inventory - P07'!$K$16:$K$27,(INT((X19-1)/4)+1))-SUMPRODUCT(($B$10:$B$61=B19)*(($I$10:$I$61&lt;&gt;"")+($K$10:$K$61&lt;&gt;"")+($M$10:$M$61&lt;&gt;"")+($O$10:$O$61&lt;&gt;"")+($Q$10:$Q$61&lt;&gt;"")+($S$10:$S$61&lt;&gt;"")+($U$10:$U$61&lt;&gt;""))))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P07'!$D$16:$D$27,(INT((X19-1)/4)+1)))</f>
        <v/>
      </c>
      <c r="F19" s="7" t="str">
        <f t="array" ref="F19">IF(X19="","",INDEX('Inventory - P07'!$E$16:$E$27,(INT((X19-1)/4)+1)))</f>
        <v/>
      </c>
      <c r="G19" s="7" t="str">
        <f t="array" ref="G19">IF(X19="","",INDEX('Inventory - P07'!$I$16:$I$27,(INT((X19-1)/4)+1)))</f>
        <v/>
      </c>
      <c r="H19" s="7" t="str">
        <f t="array" ref="H19">IF(X19="","",INDEX('Inventory - P07'!$J$16:$J$27,(INT((X19-1)/4)+1)))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P07'!$B$16:$B$27,(INT((X20-1)/4)+1))&amp;IF(INDEX('Inventory - P07'!$C$16:$C$27,(INT((X20-1)/4)+1))="",""," ("&amp;INDEX('Inventory - P07'!$C$16:$C$27,(INT((X20-1)/4)+1))&amp;" mg)"))</f>
        <v/>
      </c>
      <c r="D20" s="7" t="str">
        <f t="array" ref="D20">IF(X20="","",INDEX('Inventory - P07'!$K$16:$K$27,(INT((X20-1)/4)+1))-SUMPRODUCT(($B$10:$B$61=B20)*(($I$10:$I$61&lt;&gt;"")+($K$10:$K$61&lt;&gt;"")+($M$10:$M$61&lt;&gt;"")+($O$10:$O$61&lt;&gt;"")+($Q$10:$Q$61&lt;&gt;"")+($S$10:$S$61&lt;&gt;"")+($U$10:$U$61&lt;&gt;""))))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P07'!$D$16:$D$27,(INT((X20-1)/4)+1)))</f>
        <v/>
      </c>
      <c r="F20" s="7" t="str">
        <f t="array" ref="F20">IF(X20="","",INDEX('Inventory - P07'!$E$16:$E$27,(INT((X20-1)/4)+1)))</f>
        <v/>
      </c>
      <c r="G20" s="7" t="str">
        <f t="array" ref="G20">IF(X20="","",INDEX('Inventory - P07'!$I$16:$I$27,(INT((X20-1)/4)+1)))</f>
        <v/>
      </c>
      <c r="H20" s="7" t="str">
        <f t="array" ref="H20">IF(X20="","",INDEX('Inventory - P07'!$J$16:$J$27,(INT((X20-1)/4)+1)))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P07'!$B$16:$B$27,(INT((X21-1)/4)+1))&amp;IF(INDEX('Inventory - P07'!$C$16:$C$27,(INT((X21-1)/4)+1))="",""," ("&amp;INDEX('Inventory - P07'!$C$16:$C$27,(INT((X21-1)/4)+1))&amp;" mg)"))</f>
        <v/>
      </c>
      <c r="D21" s="7" t="str">
        <f t="array" ref="D21">IF(X21="","",INDEX('Inventory - P07'!$K$16:$K$27,(INT((X21-1)/4)+1))-SUMPRODUCT(($B$10:$B$61=B21)*(($I$10:$I$61&lt;&gt;"")+($K$10:$K$61&lt;&gt;"")+($M$10:$M$61&lt;&gt;"")+($O$10:$O$61&lt;&gt;"")+($Q$10:$Q$61&lt;&gt;"")+($S$10:$S$61&lt;&gt;"")+($U$10:$U$61&lt;&gt;""))))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P07'!$D$16:$D$27,(INT((X21-1)/4)+1)))</f>
        <v/>
      </c>
      <c r="F21" s="7" t="str">
        <f t="array" ref="F21">IF(X21="","",INDEX('Inventory - P07'!$E$16:$E$27,(INT((X21-1)/4)+1)))</f>
        <v/>
      </c>
      <c r="G21" s="7" t="str">
        <f t="array" ref="G21">IF(X21="","",INDEX('Inventory - P07'!$I$16:$I$27,(INT((X21-1)/4)+1)))</f>
        <v/>
      </c>
      <c r="H21" s="7" t="str">
        <f t="array" ref="H21">IF(X21="","",INDEX('Inventory - P07'!$J$16:$J$27,(INT((X21-1)/4)+1)))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P07'!$B$16:$B$27,(INT((X22-1)/4)+1))&amp;IF(INDEX('Inventory - P07'!$C$16:$C$27,(INT((X22-1)/4)+1))="",""," ("&amp;INDEX('Inventory - P07'!$C$16:$C$27,(INT((X22-1)/4)+1))&amp;" mg)"))</f>
        <v/>
      </c>
      <c r="D22" s="7" t="str">
        <f t="array" ref="D22">IF(X22="","",INDEX('Inventory - P07'!$K$16:$K$27,(INT((X22-1)/4)+1))-SUMPRODUCT(($B$10:$B$61=B22)*(($I$10:$I$61&lt;&gt;"")+($K$10:$K$61&lt;&gt;"")+($M$10:$M$61&lt;&gt;"")+($O$10:$O$61&lt;&gt;"")+($Q$10:$Q$61&lt;&gt;"")+($S$10:$S$61&lt;&gt;"")+($U$10:$U$61&lt;&gt;""))))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P07'!$D$16:$D$27,(INT((X22-1)/4)+1)))</f>
        <v/>
      </c>
      <c r="F22" s="7" t="str">
        <f t="array" ref="F22">IF(X22="","",INDEX('Inventory - P07'!$E$16:$E$27,(INT((X22-1)/4)+1)))</f>
        <v/>
      </c>
      <c r="G22" s="7" t="str">
        <f t="array" ref="G22">IF(X22="","",INDEX('Inventory - P07'!$I$16:$I$27,(INT((X22-1)/4)+1)))</f>
        <v/>
      </c>
      <c r="H22" s="7" t="str">
        <f t="array" ref="H22">IF(X22="","",INDEX('Inventory - P07'!$J$16:$J$27,(INT((X22-1)/4)+1)))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P07'!$B$16:$B$27,(INT((X24-1)/4)+1))&amp;IF(INDEX('Inventory - P07'!$C$16:$C$27,(INT((X24-1)/4)+1))="",""," ("&amp;INDEX('Inventory - P07'!$C$16:$C$27,(INT((X24-1)/4)+1))&amp;" mg)"))</f>
        <v/>
      </c>
      <c r="D24" s="7" t="str">
        <f t="array" ref="D24">IF(X24="","",INDEX('Inventory - P07'!$K$16:$K$27,(INT((X24-1)/4)+1))-SUMPRODUCT(($B$10:$B$61=B24)*(($I$10:$I$61&lt;&gt;"")+($K$10:$K$61&lt;&gt;"")+($M$10:$M$61&lt;&gt;"")+($O$10:$O$61&lt;&gt;"")+($Q$10:$Q$61&lt;&gt;"")+($S$10:$S$61&lt;&gt;"")+($U$10:$U$61&lt;&gt;""))))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P07'!$D$16:$D$27,(INT((X24-1)/4)+1)))</f>
        <v/>
      </c>
      <c r="F24" s="7" t="str">
        <f t="array" ref="F24">IF(X24="","",INDEX('Inventory - P07'!$E$16:$E$27,(INT((X24-1)/4)+1)))</f>
        <v/>
      </c>
      <c r="G24" s="7" t="str">
        <f t="array" ref="G24">IF(X24="","",INDEX('Inventory - P07'!$I$16:$I$27,(INT((X24-1)/4)+1)))</f>
        <v/>
      </c>
      <c r="H24" s="7" t="str">
        <f t="array" ref="H24">IF(X24="","",INDEX('Inventory - P07'!$J$16:$J$27,(INT((X24-1)/4)+1)))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P07'!$B$16:$B$27,(INT((X25-1)/4)+1))&amp;IF(INDEX('Inventory - P07'!$C$16:$C$27,(INT((X25-1)/4)+1))="",""," ("&amp;INDEX('Inventory - P07'!$C$16:$C$27,(INT((X25-1)/4)+1))&amp;" mg)"))</f>
        <v/>
      </c>
      <c r="D25" s="7" t="str">
        <f t="array" ref="D25">IF(X25="","",INDEX('Inventory - P07'!$K$16:$K$27,(INT((X25-1)/4)+1))-SUMPRODUCT(($B$10:$B$61=B25)*(($I$10:$I$61&lt;&gt;"")+($K$10:$K$61&lt;&gt;"")+($M$10:$M$61&lt;&gt;"")+($O$10:$O$61&lt;&gt;"")+($Q$10:$Q$61&lt;&gt;"")+($S$10:$S$61&lt;&gt;"")+($U$10:$U$61&lt;&gt;""))))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P07'!$D$16:$D$27,(INT((X25-1)/4)+1)))</f>
        <v/>
      </c>
      <c r="F25" s="7" t="str">
        <f t="array" ref="F25">IF(X25="","",INDEX('Inventory - P07'!$E$16:$E$27,(INT((X25-1)/4)+1)))</f>
        <v/>
      </c>
      <c r="G25" s="7" t="str">
        <f t="array" ref="G25">IF(X25="","",INDEX('Inventory - P07'!$I$16:$I$27,(INT((X25-1)/4)+1)))</f>
        <v/>
      </c>
      <c r="H25" s="7" t="str">
        <f t="array" ref="H25">IF(X25="","",INDEX('Inventory - P07'!$J$16:$J$27,(INT((X25-1)/4)+1)))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P07'!$B$16:$B$27,(INT((X26-1)/4)+1))&amp;IF(INDEX('Inventory - P07'!$C$16:$C$27,(INT((X26-1)/4)+1))="",""," ("&amp;INDEX('Inventory - P07'!$C$16:$C$27,(INT((X26-1)/4)+1))&amp;" mg)"))</f>
        <v/>
      </c>
      <c r="D26" s="7" t="str">
        <f t="array" ref="D26">IF(X26="","",INDEX('Inventory - P07'!$K$16:$K$27,(INT((X26-1)/4)+1))-SUMPRODUCT(($B$10:$B$61=B26)*(($I$10:$I$61&lt;&gt;"")+($K$10:$K$61&lt;&gt;"")+($M$10:$M$61&lt;&gt;"")+($O$10:$O$61&lt;&gt;"")+($Q$10:$Q$61&lt;&gt;"")+($S$10:$S$61&lt;&gt;"")+($U$10:$U$61&lt;&gt;""))))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P07'!$D$16:$D$27,(INT((X26-1)/4)+1)))</f>
        <v/>
      </c>
      <c r="F26" s="7" t="str">
        <f t="array" ref="F26">IF(X26="","",INDEX('Inventory - P07'!$E$16:$E$27,(INT((X26-1)/4)+1)))</f>
        <v/>
      </c>
      <c r="G26" s="7" t="str">
        <f t="array" ref="G26">IF(X26="","",INDEX('Inventory - P07'!$I$16:$I$27,(INT((X26-1)/4)+1)))</f>
        <v/>
      </c>
      <c r="H26" s="7" t="str">
        <f t="array" ref="H26">IF(X26="","",INDEX('Inventory - P07'!$J$16:$J$27,(INT((X26-1)/4)+1)))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P07'!$B$16:$B$27,(INT((X27-1)/4)+1))&amp;IF(INDEX('Inventory - P07'!$C$16:$C$27,(INT((X27-1)/4)+1))="",""," ("&amp;INDEX('Inventory - P07'!$C$16:$C$27,(INT((X27-1)/4)+1))&amp;" mg)"))</f>
        <v/>
      </c>
      <c r="D27" s="7" t="str">
        <f t="array" ref="D27">IF(X27="","",INDEX('Inventory - P07'!$K$16:$K$27,(INT((X27-1)/4)+1))-SUMPRODUCT(($B$10:$B$61=B27)*(($I$10:$I$61&lt;&gt;"")+($K$10:$K$61&lt;&gt;"")+($M$10:$M$61&lt;&gt;"")+($O$10:$O$61&lt;&gt;"")+($Q$10:$Q$61&lt;&gt;"")+($S$10:$S$61&lt;&gt;"")+($U$10:$U$61&lt;&gt;""))))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P07'!$D$16:$D$27,(INT((X27-1)/4)+1)))</f>
        <v/>
      </c>
      <c r="F27" s="7" t="str">
        <f t="array" ref="F27">IF(X27="","",INDEX('Inventory - P07'!$E$16:$E$27,(INT((X27-1)/4)+1)))</f>
        <v/>
      </c>
      <c r="G27" s="7" t="str">
        <f t="array" ref="G27">IF(X27="","",INDEX('Inventory - P07'!$I$16:$I$27,(INT((X27-1)/4)+1)))</f>
        <v/>
      </c>
      <c r="H27" s="7" t="str">
        <f t="array" ref="H27">IF(X27="","",INDEX('Inventory - P07'!$J$16:$J$27,(INT((X27-1)/4)+1)))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P07'!$B$16:$B$27,(INT((X28-1)/4)+1))&amp;IF(INDEX('Inventory - P07'!$C$16:$C$27,(INT((X28-1)/4)+1))="",""," ("&amp;INDEX('Inventory - P07'!$C$16:$C$27,(INT((X28-1)/4)+1))&amp;" mg)"))</f>
        <v/>
      </c>
      <c r="D28" s="7" t="str">
        <f t="array" ref="D28">IF(X28="","",INDEX('Inventory - P07'!$K$16:$K$27,(INT((X28-1)/4)+1))-SUMPRODUCT(($B$10:$B$61=B28)*(($I$10:$I$61&lt;&gt;"")+($K$10:$K$61&lt;&gt;"")+($M$10:$M$61&lt;&gt;"")+($O$10:$O$61&lt;&gt;"")+($Q$10:$Q$61&lt;&gt;"")+($S$10:$S$61&lt;&gt;"")+($U$10:$U$61&lt;&gt;""))))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P07'!$D$16:$D$27,(INT((X28-1)/4)+1)))</f>
        <v/>
      </c>
      <c r="F28" s="7" t="str">
        <f t="array" ref="F28">IF(X28="","",INDEX('Inventory - P07'!$E$16:$E$27,(INT((X28-1)/4)+1)))</f>
        <v/>
      </c>
      <c r="G28" s="7" t="str">
        <f t="array" ref="G28">IF(X28="","",INDEX('Inventory - P07'!$I$16:$I$27,(INT((X28-1)/4)+1)))</f>
        <v/>
      </c>
      <c r="H28" s="7" t="str">
        <f t="array" ref="H28">IF(X28="","",INDEX('Inventory - P07'!$J$16:$J$27,(INT((X28-1)/4)+1)))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P07'!$B$16:$B$27,(INT((X29-1)/4)+1))&amp;IF(INDEX('Inventory - P07'!$C$16:$C$27,(INT((X29-1)/4)+1))="",""," ("&amp;INDEX('Inventory - P07'!$C$16:$C$27,(INT((X29-1)/4)+1))&amp;" mg)"))</f>
        <v/>
      </c>
      <c r="D29" s="7" t="str">
        <f t="array" ref="D29">IF(X29="","",INDEX('Inventory - P07'!$K$16:$K$27,(INT((X29-1)/4)+1))-SUMPRODUCT(($B$10:$B$61=B29)*(($I$10:$I$61&lt;&gt;"")+($K$10:$K$61&lt;&gt;"")+($M$10:$M$61&lt;&gt;"")+($O$10:$O$61&lt;&gt;"")+($Q$10:$Q$61&lt;&gt;"")+($S$10:$S$61&lt;&gt;"")+($U$10:$U$61&lt;&gt;""))))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P07'!$D$16:$D$27,(INT((X29-1)/4)+1)))</f>
        <v/>
      </c>
      <c r="F29" s="7" t="str">
        <f t="array" ref="F29">IF(X29="","",INDEX('Inventory - P07'!$E$16:$E$27,(INT((X29-1)/4)+1)))</f>
        <v/>
      </c>
      <c r="G29" s="7" t="str">
        <f t="array" ref="G29">IF(X29="","",INDEX('Inventory - P07'!$I$16:$I$27,(INT((X29-1)/4)+1)))</f>
        <v/>
      </c>
      <c r="H29" s="7" t="str">
        <f t="array" ref="H29">IF(X29="","",INDEX('Inventory - P07'!$J$16:$J$27,(INT((X29-1)/4)+1)))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P07'!$B$16:$B$27,(INT((X30-1)/4)+1))&amp;IF(INDEX('Inventory - P07'!$C$16:$C$27,(INT((X30-1)/4)+1))="",""," ("&amp;INDEX('Inventory - P07'!$C$16:$C$27,(INT((X30-1)/4)+1))&amp;" mg)"))</f>
        <v/>
      </c>
      <c r="D30" s="7" t="str">
        <f t="array" ref="D30">IF(X30="","",INDEX('Inventory - P07'!$K$16:$K$27,(INT((X30-1)/4)+1))-SUMPRODUCT(($B$10:$B$61=B30)*(($I$10:$I$61&lt;&gt;"")+($K$10:$K$61&lt;&gt;"")+($M$10:$M$61&lt;&gt;"")+($O$10:$O$61&lt;&gt;"")+($Q$10:$Q$61&lt;&gt;"")+($S$10:$S$61&lt;&gt;"")+($U$10:$U$61&lt;&gt;""))))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P07'!$D$16:$D$27,(INT((X30-1)/4)+1)))</f>
        <v/>
      </c>
      <c r="F30" s="7" t="str">
        <f t="array" ref="F30">IF(X30="","",INDEX('Inventory - P07'!$E$16:$E$27,(INT((X30-1)/4)+1)))</f>
        <v/>
      </c>
      <c r="G30" s="7" t="str">
        <f t="array" ref="G30">IF(X30="","",INDEX('Inventory - P07'!$I$16:$I$27,(INT((X30-1)/4)+1)))</f>
        <v/>
      </c>
      <c r="H30" s="7" t="str">
        <f t="array" ref="H30">IF(X30="","",INDEX('Inventory - P07'!$J$16:$J$27,(INT((X30-1)/4)+1)))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P07'!$B$16:$B$27,(INT((X31-1)/4)+1))&amp;IF(INDEX('Inventory - P07'!$C$16:$C$27,(INT((X31-1)/4)+1))="",""," ("&amp;INDEX('Inventory - P07'!$C$16:$C$27,(INT((X31-1)/4)+1))&amp;" mg)"))</f>
        <v/>
      </c>
      <c r="D31" s="7" t="str">
        <f t="array" ref="D31">IF(X31="","",INDEX('Inventory - P07'!$K$16:$K$27,(INT((X31-1)/4)+1))-SUMPRODUCT(($B$10:$B$61=B31)*(($I$10:$I$61&lt;&gt;"")+($K$10:$K$61&lt;&gt;"")+($M$10:$M$61&lt;&gt;"")+($O$10:$O$61&lt;&gt;"")+($Q$10:$Q$61&lt;&gt;"")+($S$10:$S$61&lt;&gt;"")+($U$10:$U$61&lt;&gt;""))))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P07'!$D$16:$D$27,(INT((X31-1)/4)+1)))</f>
        <v/>
      </c>
      <c r="F31" s="7" t="str">
        <f t="array" ref="F31">IF(X31="","",INDEX('Inventory - P07'!$E$16:$E$27,(INT((X31-1)/4)+1)))</f>
        <v/>
      </c>
      <c r="G31" s="7" t="str">
        <f t="array" ref="G31">IF(X31="","",INDEX('Inventory - P07'!$I$16:$I$27,(INT((X31-1)/4)+1)))</f>
        <v/>
      </c>
      <c r="H31" s="7" t="str">
        <f t="array" ref="H31">IF(X31="","",INDEX('Inventory - P07'!$J$16:$J$27,(INT((X31-1)/4)+1)))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P07'!$B$16:$B$27,(INT((X32-1)/4)+1))&amp;IF(INDEX('Inventory - P07'!$C$16:$C$27,(INT((X32-1)/4)+1))="",""," ("&amp;INDEX('Inventory - P07'!$C$16:$C$27,(INT((X32-1)/4)+1))&amp;" mg)"))</f>
        <v/>
      </c>
      <c r="D32" s="7" t="str">
        <f t="array" ref="D32">IF(X32="","",INDEX('Inventory - P07'!$K$16:$K$27,(INT((X32-1)/4)+1))-SUMPRODUCT(($B$10:$B$61=B32)*(($I$10:$I$61&lt;&gt;"")+($K$10:$K$61&lt;&gt;"")+($M$10:$M$61&lt;&gt;"")+($O$10:$O$61&lt;&gt;"")+($Q$10:$Q$61&lt;&gt;"")+($S$10:$S$61&lt;&gt;"")+($U$10:$U$61&lt;&gt;""))))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P07'!$D$16:$D$27,(INT((X32-1)/4)+1)))</f>
        <v/>
      </c>
      <c r="F32" s="7" t="str">
        <f t="array" ref="F32">IF(X32="","",INDEX('Inventory - P07'!$E$16:$E$27,(INT((X32-1)/4)+1)))</f>
        <v/>
      </c>
      <c r="G32" s="7" t="str">
        <f t="array" ref="G32">IF(X32="","",INDEX('Inventory - P07'!$I$16:$I$27,(INT((X32-1)/4)+1)))</f>
        <v/>
      </c>
      <c r="H32" s="7" t="str">
        <f t="array" ref="H32">IF(X32="","",INDEX('Inventory - P07'!$J$16:$J$27,(INT((X32-1)/4)+1)))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P07'!$B$16:$B$27,(INT((X33-1)/4)+1))&amp;IF(INDEX('Inventory - P07'!$C$16:$C$27,(INT((X33-1)/4)+1))="",""," ("&amp;INDEX('Inventory - P07'!$C$16:$C$27,(INT((X33-1)/4)+1))&amp;" mg)"))</f>
        <v/>
      </c>
      <c r="D33" s="7" t="str">
        <f t="array" ref="D33">IF(X33="","",INDEX('Inventory - P07'!$K$16:$K$27,(INT((X33-1)/4)+1))-SUMPRODUCT(($B$10:$B$61=B33)*(($I$10:$I$61&lt;&gt;"")+($K$10:$K$61&lt;&gt;"")+($M$10:$M$61&lt;&gt;"")+($O$10:$O$61&lt;&gt;"")+($Q$10:$Q$61&lt;&gt;"")+($S$10:$S$61&lt;&gt;"")+($U$10:$U$61&lt;&gt;""))))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P07'!$D$16:$D$27,(INT((X33-1)/4)+1)))</f>
        <v/>
      </c>
      <c r="F33" s="7" t="str">
        <f t="array" ref="F33">IF(X33="","",INDEX('Inventory - P07'!$E$16:$E$27,(INT((X33-1)/4)+1)))</f>
        <v/>
      </c>
      <c r="G33" s="7" t="str">
        <f t="array" ref="G33">IF(X33="","",INDEX('Inventory - P07'!$I$16:$I$27,(INT((X33-1)/4)+1)))</f>
        <v/>
      </c>
      <c r="H33" s="7" t="str">
        <f t="array" ref="H33">IF(X33="","",INDEX('Inventory - P07'!$J$16:$J$27,(INT((X33-1)/4)+1)))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P07'!$B$16:$B$27,(INT((X34-1)/4)+1))&amp;IF(INDEX('Inventory - P07'!$C$16:$C$27,(INT((X34-1)/4)+1))="",""," ("&amp;INDEX('Inventory - P07'!$C$16:$C$27,(INT((X34-1)/4)+1))&amp;" mg)"))</f>
        <v/>
      </c>
      <c r="D34" s="7" t="str">
        <f t="array" ref="D34">IF(X34="","",INDEX('Inventory - P07'!$K$16:$K$27,(INT((X34-1)/4)+1))-SUMPRODUCT(($B$10:$B$61=B34)*(($I$10:$I$61&lt;&gt;"")+($K$10:$K$61&lt;&gt;"")+($M$10:$M$61&lt;&gt;"")+($O$10:$O$61&lt;&gt;"")+($Q$10:$Q$61&lt;&gt;"")+($S$10:$S$61&lt;&gt;"")+($U$10:$U$61&lt;&gt;""))))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P07'!$D$16:$D$27,(INT((X34-1)/4)+1)))</f>
        <v/>
      </c>
      <c r="F34" s="7" t="str">
        <f t="array" ref="F34">IF(X34="","",INDEX('Inventory - P07'!$E$16:$E$27,(INT((X34-1)/4)+1)))</f>
        <v/>
      </c>
      <c r="G34" s="7" t="str">
        <f t="array" ref="G34">IF(X34="","",INDEX('Inventory - P07'!$I$16:$I$27,(INT((X34-1)/4)+1)))</f>
        <v/>
      </c>
      <c r="H34" s="7" t="str">
        <f t="array" ref="H34">IF(X34="","",INDEX('Inventory - P07'!$J$16:$J$27,(INT((X34-1)/4)+1)))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P07'!$B$16:$B$27,(INT((X35-1)/4)+1))&amp;IF(INDEX('Inventory - P07'!$C$16:$C$27,(INT((X35-1)/4)+1))="",""," ("&amp;INDEX('Inventory - P07'!$C$16:$C$27,(INT((X35-1)/4)+1))&amp;" mg)"))</f>
        <v/>
      </c>
      <c r="D35" s="7" t="str">
        <f t="array" ref="D35">IF(X35="","",INDEX('Inventory - P07'!$K$16:$K$27,(INT((X35-1)/4)+1))-SUMPRODUCT(($B$10:$B$61=B35)*(($I$10:$I$61&lt;&gt;"")+($K$10:$K$61&lt;&gt;"")+($M$10:$M$61&lt;&gt;"")+($O$10:$O$61&lt;&gt;"")+($Q$10:$Q$61&lt;&gt;"")+($S$10:$S$61&lt;&gt;"")+($U$10:$U$61&lt;&gt;""))))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P07'!$D$16:$D$27,(INT((X35-1)/4)+1)))</f>
        <v/>
      </c>
      <c r="F35" s="7" t="str">
        <f t="array" ref="F35">IF(X35="","",INDEX('Inventory - P07'!$E$16:$E$27,(INT((X35-1)/4)+1)))</f>
        <v/>
      </c>
      <c r="G35" s="7" t="str">
        <f t="array" ref="G35">IF(X35="","",INDEX('Inventory - P07'!$I$16:$I$27,(INT((X35-1)/4)+1)))</f>
        <v/>
      </c>
      <c r="H35" s="7" t="str">
        <f t="array" ref="H35">IF(X35="","",INDEX('Inventory - P07'!$J$16:$J$27,(INT((X35-1)/4)+1)))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P07'!$B$16:$B$27,(INT((X37-1)/4)+1))&amp;IF(INDEX('Inventory - P07'!$C$16:$C$27,(INT((X37-1)/4)+1))="",""," ("&amp;INDEX('Inventory - P07'!$C$16:$C$27,(INT((X37-1)/4)+1))&amp;" mg)"))</f>
        <v/>
      </c>
      <c r="D37" s="7" t="str">
        <f t="array" ref="D37">IF(X37="","",INDEX('Inventory - P07'!$K$16:$K$27,(INT((X37-1)/4)+1))-SUMPRODUCT(($B$10:$B$61=B37)*(($I$10:$I$61&lt;&gt;"")+($K$10:$K$61&lt;&gt;"")+($M$10:$M$61&lt;&gt;"")+($O$10:$O$61&lt;&gt;"")+($Q$10:$Q$61&lt;&gt;"")+($S$10:$S$61&lt;&gt;"")+($U$10:$U$61&lt;&gt;""))))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P07'!$D$16:$D$27,(INT((X37-1)/4)+1)))</f>
        <v/>
      </c>
      <c r="F37" s="7" t="str">
        <f t="array" ref="F37">IF(X37="","",INDEX('Inventory - P07'!$E$16:$E$27,(INT((X37-1)/4)+1)))</f>
        <v/>
      </c>
      <c r="G37" s="7" t="str">
        <f t="array" ref="G37">IF(X37="","",INDEX('Inventory - P07'!$I$16:$I$27,(INT((X37-1)/4)+1)))</f>
        <v/>
      </c>
      <c r="H37" s="7" t="str">
        <f t="array" ref="H37">IF(X37="","",INDEX('Inventory - P07'!$J$16:$J$27,(INT((X37-1)/4)+1)))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P07'!$B$16:$B$27,(INT((X38-1)/4)+1))&amp;IF(INDEX('Inventory - P07'!$C$16:$C$27,(INT((X38-1)/4)+1))="",""," ("&amp;INDEX('Inventory - P07'!$C$16:$C$27,(INT((X38-1)/4)+1))&amp;" mg)"))</f>
        <v/>
      </c>
      <c r="D38" s="7" t="str">
        <f t="array" ref="D38">IF(X38="","",INDEX('Inventory - P07'!$K$16:$K$27,(INT((X38-1)/4)+1))-SUMPRODUCT(($B$10:$B$61=B38)*(($I$10:$I$61&lt;&gt;"")+($K$10:$K$61&lt;&gt;"")+($M$10:$M$61&lt;&gt;"")+($O$10:$O$61&lt;&gt;"")+($Q$10:$Q$61&lt;&gt;"")+($S$10:$S$61&lt;&gt;"")+($U$10:$U$61&lt;&gt;""))))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P07'!$D$16:$D$27,(INT((X38-1)/4)+1)))</f>
        <v/>
      </c>
      <c r="F38" s="7" t="str">
        <f t="array" ref="F38">IF(X38="","",INDEX('Inventory - P07'!$E$16:$E$27,(INT((X38-1)/4)+1)))</f>
        <v/>
      </c>
      <c r="G38" s="7" t="str">
        <f t="array" ref="G38">IF(X38="","",INDEX('Inventory - P07'!$I$16:$I$27,(INT((X38-1)/4)+1)))</f>
        <v/>
      </c>
      <c r="H38" s="7" t="str">
        <f t="array" ref="H38">IF(X38="","",INDEX('Inventory - P07'!$J$16:$J$27,(INT((X38-1)/4)+1)))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P07'!$B$16:$B$27,(INT((X39-1)/4)+1))&amp;IF(INDEX('Inventory - P07'!$C$16:$C$27,(INT((X39-1)/4)+1))="",""," ("&amp;INDEX('Inventory - P07'!$C$16:$C$27,(INT((X39-1)/4)+1))&amp;" mg)"))</f>
        <v/>
      </c>
      <c r="D39" s="7" t="str">
        <f t="array" ref="D39">IF(X39="","",INDEX('Inventory - P07'!$K$16:$K$27,(INT((X39-1)/4)+1))-SUMPRODUCT(($B$10:$B$61=B39)*(($I$10:$I$61&lt;&gt;"")+($K$10:$K$61&lt;&gt;"")+($M$10:$M$61&lt;&gt;"")+($O$10:$O$61&lt;&gt;"")+($Q$10:$Q$61&lt;&gt;"")+($S$10:$S$61&lt;&gt;"")+($U$10:$U$61&lt;&gt;""))))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P07'!$D$16:$D$27,(INT((X39-1)/4)+1)))</f>
        <v/>
      </c>
      <c r="F39" s="7" t="str">
        <f t="array" ref="F39">IF(X39="","",INDEX('Inventory - P07'!$E$16:$E$27,(INT((X39-1)/4)+1)))</f>
        <v/>
      </c>
      <c r="G39" s="7" t="str">
        <f t="array" ref="G39">IF(X39="","",INDEX('Inventory - P07'!$I$16:$I$27,(INT((X39-1)/4)+1)))</f>
        <v/>
      </c>
      <c r="H39" s="7" t="str">
        <f t="array" ref="H39">IF(X39="","",INDEX('Inventory - P07'!$J$16:$J$27,(INT((X39-1)/4)+1)))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P07'!$B$16:$B$27,(INT((X40-1)/4)+1))&amp;IF(INDEX('Inventory - P07'!$C$16:$C$27,(INT((X40-1)/4)+1))="",""," ("&amp;INDEX('Inventory - P07'!$C$16:$C$27,(INT((X40-1)/4)+1))&amp;" mg)"))</f>
        <v/>
      </c>
      <c r="D40" s="7" t="str">
        <f t="array" ref="D40">IF(X40="","",INDEX('Inventory - P07'!$K$16:$K$27,(INT((X40-1)/4)+1))-SUMPRODUCT(($B$10:$B$61=B40)*(($I$10:$I$61&lt;&gt;"")+($K$10:$K$61&lt;&gt;"")+($M$10:$M$61&lt;&gt;"")+($O$10:$O$61&lt;&gt;"")+($Q$10:$Q$61&lt;&gt;"")+($S$10:$S$61&lt;&gt;"")+($U$10:$U$61&lt;&gt;""))))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P07'!$D$16:$D$27,(INT((X40-1)/4)+1)))</f>
        <v/>
      </c>
      <c r="F40" s="7" t="str">
        <f t="array" ref="F40">IF(X40="","",INDEX('Inventory - P07'!$E$16:$E$27,(INT((X40-1)/4)+1)))</f>
        <v/>
      </c>
      <c r="G40" s="7" t="str">
        <f t="array" ref="G40">IF(X40="","",INDEX('Inventory - P07'!$I$16:$I$27,(INT((X40-1)/4)+1)))</f>
        <v/>
      </c>
      <c r="H40" s="7" t="str">
        <f t="array" ref="H40">IF(X40="","",INDEX('Inventory - P07'!$J$16:$J$27,(INT((X40-1)/4)+1)))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P07'!$B$16:$B$27,(INT((X41-1)/4)+1))&amp;IF(INDEX('Inventory - P07'!$C$16:$C$27,(INT((X41-1)/4)+1))="",""," ("&amp;INDEX('Inventory - P07'!$C$16:$C$27,(INT((X41-1)/4)+1))&amp;" mg)"))</f>
        <v/>
      </c>
      <c r="D41" s="7" t="str">
        <f t="array" ref="D41">IF(X41="","",INDEX('Inventory - P07'!$K$16:$K$27,(INT((X41-1)/4)+1))-SUMPRODUCT(($B$10:$B$61=B41)*(($I$10:$I$61&lt;&gt;"")+($K$10:$K$61&lt;&gt;"")+($M$10:$M$61&lt;&gt;"")+($O$10:$O$61&lt;&gt;"")+($Q$10:$Q$61&lt;&gt;"")+($S$10:$S$61&lt;&gt;"")+($U$10:$U$61&lt;&gt;""))))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P07'!$D$16:$D$27,(INT((X41-1)/4)+1)))</f>
        <v/>
      </c>
      <c r="F41" s="7" t="str">
        <f t="array" ref="F41">IF(X41="","",INDEX('Inventory - P07'!$E$16:$E$27,(INT((X41-1)/4)+1)))</f>
        <v/>
      </c>
      <c r="G41" s="7" t="str">
        <f t="array" ref="G41">IF(X41="","",INDEX('Inventory - P07'!$I$16:$I$27,(INT((X41-1)/4)+1)))</f>
        <v/>
      </c>
      <c r="H41" s="7" t="str">
        <f t="array" ref="H41">IF(X41="","",INDEX('Inventory - P07'!$J$16:$J$27,(INT((X41-1)/4)+1)))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P07'!$B$16:$B$27,(INT((X42-1)/4)+1))&amp;IF(INDEX('Inventory - P07'!$C$16:$C$27,(INT((X42-1)/4)+1))="",""," ("&amp;INDEX('Inventory - P07'!$C$16:$C$27,(INT((X42-1)/4)+1))&amp;" mg)"))</f>
        <v/>
      </c>
      <c r="D42" s="7" t="str">
        <f t="array" ref="D42">IF(X42="","",INDEX('Inventory - P07'!$K$16:$K$27,(INT((X42-1)/4)+1))-SUMPRODUCT(($B$10:$B$61=B42)*(($I$10:$I$61&lt;&gt;"")+($K$10:$K$61&lt;&gt;"")+($M$10:$M$61&lt;&gt;"")+($O$10:$O$61&lt;&gt;"")+($Q$10:$Q$61&lt;&gt;"")+($S$10:$S$61&lt;&gt;"")+($U$10:$U$61&lt;&gt;""))))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P07'!$D$16:$D$27,(INT((X42-1)/4)+1)))</f>
        <v/>
      </c>
      <c r="F42" s="7" t="str">
        <f t="array" ref="F42">IF(X42="","",INDEX('Inventory - P07'!$E$16:$E$27,(INT((X42-1)/4)+1)))</f>
        <v/>
      </c>
      <c r="G42" s="7" t="str">
        <f t="array" ref="G42">IF(X42="","",INDEX('Inventory - P07'!$I$16:$I$27,(INT((X42-1)/4)+1)))</f>
        <v/>
      </c>
      <c r="H42" s="7" t="str">
        <f t="array" ref="H42">IF(X42="","",INDEX('Inventory - P07'!$J$16:$J$27,(INT((X42-1)/4)+1)))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P07'!$B$16:$B$27,(INT((X43-1)/4)+1))&amp;IF(INDEX('Inventory - P07'!$C$16:$C$27,(INT((X43-1)/4)+1))="",""," ("&amp;INDEX('Inventory - P07'!$C$16:$C$27,(INT((X43-1)/4)+1))&amp;" mg)"))</f>
        <v/>
      </c>
      <c r="D43" s="7" t="str">
        <f t="array" ref="D43">IF(X43="","",INDEX('Inventory - P07'!$K$16:$K$27,(INT((X43-1)/4)+1))-SUMPRODUCT(($B$10:$B$61=B43)*(($I$10:$I$61&lt;&gt;"")+($K$10:$K$61&lt;&gt;"")+($M$10:$M$61&lt;&gt;"")+($O$10:$O$61&lt;&gt;"")+($Q$10:$Q$61&lt;&gt;"")+($S$10:$S$61&lt;&gt;"")+($U$10:$U$61&lt;&gt;""))))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P07'!$D$16:$D$27,(INT((X43-1)/4)+1)))</f>
        <v/>
      </c>
      <c r="F43" s="7" t="str">
        <f t="array" ref="F43">IF(X43="","",INDEX('Inventory - P07'!$E$16:$E$27,(INT((X43-1)/4)+1)))</f>
        <v/>
      </c>
      <c r="G43" s="7" t="str">
        <f t="array" ref="G43">IF(X43="","",INDEX('Inventory - P07'!$I$16:$I$27,(INT((X43-1)/4)+1)))</f>
        <v/>
      </c>
      <c r="H43" s="7" t="str">
        <f t="array" ref="H43">IF(X43="","",INDEX('Inventory - P07'!$J$16:$J$27,(INT((X43-1)/4)+1)))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P07'!$B$16:$B$27,(INT((X44-1)/4)+1))&amp;IF(INDEX('Inventory - P07'!$C$16:$C$27,(INT((X44-1)/4)+1))="",""," ("&amp;INDEX('Inventory - P07'!$C$16:$C$27,(INT((X44-1)/4)+1))&amp;" mg)"))</f>
        <v/>
      </c>
      <c r="D44" s="7" t="str">
        <f t="array" ref="D44">IF(X44="","",INDEX('Inventory - P07'!$K$16:$K$27,(INT((X44-1)/4)+1))-SUMPRODUCT(($B$10:$B$61=B44)*(($I$10:$I$61&lt;&gt;"")+($K$10:$K$61&lt;&gt;"")+($M$10:$M$61&lt;&gt;"")+($O$10:$O$61&lt;&gt;"")+($Q$10:$Q$61&lt;&gt;"")+($S$10:$S$61&lt;&gt;"")+($U$10:$U$61&lt;&gt;""))))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P07'!$D$16:$D$27,(INT((X44-1)/4)+1)))</f>
        <v/>
      </c>
      <c r="F44" s="7" t="str">
        <f t="array" ref="F44">IF(X44="","",INDEX('Inventory - P07'!$E$16:$E$27,(INT((X44-1)/4)+1)))</f>
        <v/>
      </c>
      <c r="G44" s="7" t="str">
        <f t="array" ref="G44">IF(X44="","",INDEX('Inventory - P07'!$I$16:$I$27,(INT((X44-1)/4)+1)))</f>
        <v/>
      </c>
      <c r="H44" s="7" t="str">
        <f t="array" ref="H44">IF(X44="","",INDEX('Inventory - P07'!$J$16:$J$27,(INT((X44-1)/4)+1)))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P07'!$B$16:$B$27,(INT((X45-1)/4)+1))&amp;IF(INDEX('Inventory - P07'!$C$16:$C$27,(INT((X45-1)/4)+1))="",""," ("&amp;INDEX('Inventory - P07'!$C$16:$C$27,(INT((X45-1)/4)+1))&amp;" mg)"))</f>
        <v/>
      </c>
      <c r="D45" s="7" t="str">
        <f t="array" ref="D45">IF(X45="","",INDEX('Inventory - P07'!$K$16:$K$27,(INT((X45-1)/4)+1))-SUMPRODUCT(($B$10:$B$61=B45)*(($I$10:$I$61&lt;&gt;"")+($K$10:$K$61&lt;&gt;"")+($M$10:$M$61&lt;&gt;"")+($O$10:$O$61&lt;&gt;"")+($Q$10:$Q$61&lt;&gt;"")+($S$10:$S$61&lt;&gt;"")+($U$10:$U$61&lt;&gt;""))))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P07'!$D$16:$D$27,(INT((X45-1)/4)+1)))</f>
        <v/>
      </c>
      <c r="F45" s="7" t="str">
        <f t="array" ref="F45">IF(X45="","",INDEX('Inventory - P07'!$E$16:$E$27,(INT((X45-1)/4)+1)))</f>
        <v/>
      </c>
      <c r="G45" s="7" t="str">
        <f t="array" ref="G45">IF(X45="","",INDEX('Inventory - P07'!$I$16:$I$27,(INT((X45-1)/4)+1)))</f>
        <v/>
      </c>
      <c r="H45" s="7" t="str">
        <f t="array" ref="H45">IF(X45="","",INDEX('Inventory - P07'!$J$16:$J$27,(INT((X45-1)/4)+1)))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P07'!$B$16:$B$27,(INT((X46-1)/4)+1))&amp;IF(INDEX('Inventory - P07'!$C$16:$C$27,(INT((X46-1)/4)+1))="",""," ("&amp;INDEX('Inventory - P07'!$C$16:$C$27,(INT((X46-1)/4)+1))&amp;" mg)"))</f>
        <v/>
      </c>
      <c r="D46" s="7" t="str">
        <f t="array" ref="D46">IF(X46="","",INDEX('Inventory - P07'!$K$16:$K$27,(INT((X46-1)/4)+1))-SUMPRODUCT(($B$10:$B$61=B46)*(($I$10:$I$61&lt;&gt;"")+($K$10:$K$61&lt;&gt;"")+($M$10:$M$61&lt;&gt;"")+($O$10:$O$61&lt;&gt;"")+($Q$10:$Q$61&lt;&gt;"")+($S$10:$S$61&lt;&gt;"")+($U$10:$U$61&lt;&gt;""))))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P07'!$D$16:$D$27,(INT((X46-1)/4)+1)))</f>
        <v/>
      </c>
      <c r="F46" s="7" t="str">
        <f t="array" ref="F46">IF(X46="","",INDEX('Inventory - P07'!$E$16:$E$27,(INT((X46-1)/4)+1)))</f>
        <v/>
      </c>
      <c r="G46" s="7" t="str">
        <f t="array" ref="G46">IF(X46="","",INDEX('Inventory - P07'!$I$16:$I$27,(INT((X46-1)/4)+1)))</f>
        <v/>
      </c>
      <c r="H46" s="7" t="str">
        <f t="array" ref="H46">IF(X46="","",INDEX('Inventory - P07'!$J$16:$J$27,(INT((X46-1)/4)+1)))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P07'!$B$16:$B$27,(INT((X47-1)/4)+1))&amp;IF(INDEX('Inventory - P07'!$C$16:$C$27,(INT((X47-1)/4)+1))="",""," ("&amp;INDEX('Inventory - P07'!$C$16:$C$27,(INT((X47-1)/4)+1))&amp;" mg)"))</f>
        <v/>
      </c>
      <c r="D47" s="7" t="str">
        <f t="array" ref="D47">IF(X47="","",INDEX('Inventory - P07'!$K$16:$K$27,(INT((X47-1)/4)+1))-SUMPRODUCT(($B$10:$B$61=B47)*(($I$10:$I$61&lt;&gt;"")+($K$10:$K$61&lt;&gt;"")+($M$10:$M$61&lt;&gt;"")+($O$10:$O$61&lt;&gt;"")+($Q$10:$Q$61&lt;&gt;"")+($S$10:$S$61&lt;&gt;"")+($U$10:$U$61&lt;&gt;""))))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P07'!$D$16:$D$27,(INT((X47-1)/4)+1)))</f>
        <v/>
      </c>
      <c r="F47" s="7" t="str">
        <f t="array" ref="F47">IF(X47="","",INDEX('Inventory - P07'!$E$16:$E$27,(INT((X47-1)/4)+1)))</f>
        <v/>
      </c>
      <c r="G47" s="7" t="str">
        <f t="array" ref="G47">IF(X47="","",INDEX('Inventory - P07'!$I$16:$I$27,(INT((X47-1)/4)+1)))</f>
        <v/>
      </c>
      <c r="H47" s="7" t="str">
        <f t="array" ref="H47">IF(X47="","",INDEX('Inventory - P07'!$J$16:$J$27,(INT((X47-1)/4)+1)))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P07'!$B$16:$B$27,(INT((X48-1)/4)+1))&amp;IF(INDEX('Inventory - P07'!$C$16:$C$27,(INT((X48-1)/4)+1))="",""," ("&amp;INDEX('Inventory - P07'!$C$16:$C$27,(INT((X48-1)/4)+1))&amp;" mg)"))</f>
        <v/>
      </c>
      <c r="D48" s="7" t="str">
        <f t="array" ref="D48">IF(X48="","",INDEX('Inventory - P07'!$K$16:$K$27,(INT((X48-1)/4)+1))-SUMPRODUCT(($B$10:$B$61=B48)*(($I$10:$I$61&lt;&gt;"")+($K$10:$K$61&lt;&gt;"")+($M$10:$M$61&lt;&gt;"")+($O$10:$O$61&lt;&gt;"")+($Q$10:$Q$61&lt;&gt;"")+($S$10:$S$61&lt;&gt;"")+($U$10:$U$61&lt;&gt;""))))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P07'!$D$16:$D$27,(INT((X48-1)/4)+1)))</f>
        <v/>
      </c>
      <c r="F48" s="7" t="str">
        <f t="array" ref="F48">IF(X48="","",INDEX('Inventory - P07'!$E$16:$E$27,(INT((X48-1)/4)+1)))</f>
        <v/>
      </c>
      <c r="G48" s="7" t="str">
        <f t="array" ref="G48">IF(X48="","",INDEX('Inventory - P07'!$I$16:$I$27,(INT((X48-1)/4)+1)))</f>
        <v/>
      </c>
      <c r="H48" s="7" t="str">
        <f t="array" ref="H48">IF(X48="","",INDEX('Inventory - P07'!$J$16:$J$27,(INT((X48-1)/4)+1)))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P07'!$B$16:$B$27,(INT((X50-1)/4)+1))&amp;IF(INDEX('Inventory - P07'!$C$16:$C$27,(INT((X50-1)/4)+1))="",""," ("&amp;INDEX('Inventory - P07'!$C$16:$C$27,(INT((X50-1)/4)+1))&amp;" mg)"))</f>
        <v/>
      </c>
      <c r="D50" s="7" t="str">
        <f t="array" ref="D50">IF(X50="","",INDEX('Inventory - P07'!$K$16:$K$27,(INT((X50-1)/4)+1))-SUMPRODUCT(($B$10:$B$61=B50)*(($I$10:$I$61&lt;&gt;"")+($K$10:$K$61&lt;&gt;"")+($M$10:$M$61&lt;&gt;"")+($O$10:$O$61&lt;&gt;"")+($Q$10:$Q$61&lt;&gt;"")+($S$10:$S$61&lt;&gt;"")+($U$10:$U$61&lt;&gt;""))))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P07'!$D$16:$D$27,(INT((X50-1)/4)+1)))</f>
        <v/>
      </c>
      <c r="F50" s="7" t="str">
        <f t="array" ref="F50">IF(X50="","",INDEX('Inventory - P07'!$E$16:$E$27,(INT((X50-1)/4)+1)))</f>
        <v/>
      </c>
      <c r="G50" s="7" t="str">
        <f t="array" ref="G50">IF(X50="","",INDEX('Inventory - P07'!$I$16:$I$27,(INT((X50-1)/4)+1)))</f>
        <v/>
      </c>
      <c r="H50" s="7" t="str">
        <f t="array" ref="H50">IF(X50="","",INDEX('Inventory - P07'!$J$16:$J$27,(INT((X50-1)/4)+1)))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P07'!$B$16:$B$27,(INT((X51-1)/4)+1))&amp;IF(INDEX('Inventory - P07'!$C$16:$C$27,(INT((X51-1)/4)+1))="",""," ("&amp;INDEX('Inventory - P07'!$C$16:$C$27,(INT((X51-1)/4)+1))&amp;" mg)"))</f>
        <v/>
      </c>
      <c r="D51" s="7" t="str">
        <f t="array" ref="D51">IF(X51="","",INDEX('Inventory - P07'!$K$16:$K$27,(INT((X51-1)/4)+1))-SUMPRODUCT(($B$10:$B$61=B51)*(($I$10:$I$61&lt;&gt;"")+($K$10:$K$61&lt;&gt;"")+($M$10:$M$61&lt;&gt;"")+($O$10:$O$61&lt;&gt;"")+($Q$10:$Q$61&lt;&gt;"")+($S$10:$S$61&lt;&gt;"")+($U$10:$U$61&lt;&gt;""))))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P07'!$D$16:$D$27,(INT((X51-1)/4)+1)))</f>
        <v/>
      </c>
      <c r="F51" s="7" t="str">
        <f t="array" ref="F51">IF(X51="","",INDEX('Inventory - P07'!$E$16:$E$27,(INT((X51-1)/4)+1)))</f>
        <v/>
      </c>
      <c r="G51" s="7" t="str">
        <f t="array" ref="G51">IF(X51="","",INDEX('Inventory - P07'!$I$16:$I$27,(INT((X51-1)/4)+1)))</f>
        <v/>
      </c>
      <c r="H51" s="7" t="str">
        <f t="array" ref="H51">IF(X51="","",INDEX('Inventory - P07'!$J$16:$J$27,(INT((X51-1)/4)+1)))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P07'!$B$16:$B$27,(INT((X52-1)/4)+1))&amp;IF(INDEX('Inventory - P07'!$C$16:$C$27,(INT((X52-1)/4)+1))="",""," ("&amp;INDEX('Inventory - P07'!$C$16:$C$27,(INT((X52-1)/4)+1))&amp;" mg)"))</f>
        <v/>
      </c>
      <c r="D52" s="7" t="str">
        <f t="array" ref="D52">IF(X52="","",INDEX('Inventory - P07'!$K$16:$K$27,(INT((X52-1)/4)+1))-SUMPRODUCT(($B$10:$B$61=B52)*(($I$10:$I$61&lt;&gt;"")+($K$10:$K$61&lt;&gt;"")+($M$10:$M$61&lt;&gt;"")+($O$10:$O$61&lt;&gt;"")+($Q$10:$Q$61&lt;&gt;"")+($S$10:$S$61&lt;&gt;"")+($U$10:$U$61&lt;&gt;""))))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P07'!$D$16:$D$27,(INT((X52-1)/4)+1)))</f>
        <v/>
      </c>
      <c r="F52" s="7" t="str">
        <f t="array" ref="F52">IF(X52="","",INDEX('Inventory - P07'!$E$16:$E$27,(INT((X52-1)/4)+1)))</f>
        <v/>
      </c>
      <c r="G52" s="7" t="str">
        <f t="array" ref="G52">IF(X52="","",INDEX('Inventory - P07'!$I$16:$I$27,(INT((X52-1)/4)+1)))</f>
        <v/>
      </c>
      <c r="H52" s="7" t="str">
        <f t="array" ref="H52">IF(X52="","",INDEX('Inventory - P07'!$J$16:$J$27,(INT((X52-1)/4)+1)))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P07'!$B$16:$B$27,(INT((X53-1)/4)+1))&amp;IF(INDEX('Inventory - P07'!$C$16:$C$27,(INT((X53-1)/4)+1))="",""," ("&amp;INDEX('Inventory - P07'!$C$16:$C$27,(INT((X53-1)/4)+1))&amp;" mg)"))</f>
        <v/>
      </c>
      <c r="D53" s="7" t="str">
        <f t="array" ref="D53">IF(X53="","",INDEX('Inventory - P07'!$K$16:$K$27,(INT((X53-1)/4)+1))-SUMPRODUCT(($B$10:$B$61=B53)*(($I$10:$I$61&lt;&gt;"")+($K$10:$K$61&lt;&gt;"")+($M$10:$M$61&lt;&gt;"")+($O$10:$O$61&lt;&gt;"")+($Q$10:$Q$61&lt;&gt;"")+($S$10:$S$61&lt;&gt;"")+($U$10:$U$61&lt;&gt;""))))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P07'!$D$16:$D$27,(INT((X53-1)/4)+1)))</f>
        <v/>
      </c>
      <c r="F53" s="7" t="str">
        <f t="array" ref="F53">IF(X53="","",INDEX('Inventory - P07'!$E$16:$E$27,(INT((X53-1)/4)+1)))</f>
        <v/>
      </c>
      <c r="G53" s="7" t="str">
        <f t="array" ref="G53">IF(X53="","",INDEX('Inventory - P07'!$I$16:$I$27,(INT((X53-1)/4)+1)))</f>
        <v/>
      </c>
      <c r="H53" s="7" t="str">
        <f t="array" ref="H53">IF(X53="","",INDEX('Inventory - P07'!$J$16:$J$27,(INT((X53-1)/4)+1)))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P07'!$B$16:$B$27,(INT((X54-1)/4)+1))&amp;IF(INDEX('Inventory - P07'!$C$16:$C$27,(INT((X54-1)/4)+1))="",""," ("&amp;INDEX('Inventory - P07'!$C$16:$C$27,(INT((X54-1)/4)+1))&amp;" mg)"))</f>
        <v/>
      </c>
      <c r="D54" s="7" t="str">
        <f t="array" ref="D54">IF(X54="","",INDEX('Inventory - P07'!$K$16:$K$27,(INT((X54-1)/4)+1))-SUMPRODUCT(($B$10:$B$61=B54)*(($I$10:$I$61&lt;&gt;"")+($K$10:$K$61&lt;&gt;"")+($M$10:$M$61&lt;&gt;"")+($O$10:$O$61&lt;&gt;"")+($Q$10:$Q$61&lt;&gt;"")+($S$10:$S$61&lt;&gt;"")+($U$10:$U$61&lt;&gt;""))))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P07'!$D$16:$D$27,(INT((X54-1)/4)+1)))</f>
        <v/>
      </c>
      <c r="F54" s="7" t="str">
        <f t="array" ref="F54">IF(X54="","",INDEX('Inventory - P07'!$E$16:$E$27,(INT((X54-1)/4)+1)))</f>
        <v/>
      </c>
      <c r="G54" s="7" t="str">
        <f t="array" ref="G54">IF(X54="","",INDEX('Inventory - P07'!$I$16:$I$27,(INT((X54-1)/4)+1)))</f>
        <v/>
      </c>
      <c r="H54" s="7" t="str">
        <f t="array" ref="H54">IF(X54="","",INDEX('Inventory - P07'!$J$16:$J$27,(INT((X54-1)/4)+1)))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P07'!$B$16:$B$27,(INT((X55-1)/4)+1))&amp;IF(INDEX('Inventory - P07'!$C$16:$C$27,(INT((X55-1)/4)+1))="",""," ("&amp;INDEX('Inventory - P07'!$C$16:$C$27,(INT((X55-1)/4)+1))&amp;" mg)"))</f>
        <v/>
      </c>
      <c r="D55" s="7" t="str">
        <f t="array" ref="D55">IF(X55="","",INDEX('Inventory - P07'!$K$16:$K$27,(INT((X55-1)/4)+1))-SUMPRODUCT(($B$10:$B$61=B55)*(($I$10:$I$61&lt;&gt;"")+($K$10:$K$61&lt;&gt;"")+($M$10:$M$61&lt;&gt;"")+($O$10:$O$61&lt;&gt;"")+($Q$10:$Q$61&lt;&gt;"")+($S$10:$S$61&lt;&gt;"")+($U$10:$U$61&lt;&gt;""))))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P07'!$D$16:$D$27,(INT((X55-1)/4)+1)))</f>
        <v/>
      </c>
      <c r="F55" s="7" t="str">
        <f t="array" ref="F55">IF(X55="","",INDEX('Inventory - P07'!$E$16:$E$27,(INT((X55-1)/4)+1)))</f>
        <v/>
      </c>
      <c r="G55" s="7" t="str">
        <f t="array" ref="G55">IF(X55="","",INDEX('Inventory - P07'!$I$16:$I$27,(INT((X55-1)/4)+1)))</f>
        <v/>
      </c>
      <c r="H55" s="7" t="str">
        <f t="array" ref="H55">IF(X55="","",INDEX('Inventory - P07'!$J$16:$J$27,(INT((X55-1)/4)+1)))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P07'!$B$16:$B$27,(INT((X56-1)/4)+1))&amp;IF(INDEX('Inventory - P07'!$C$16:$C$27,(INT((X56-1)/4)+1))="",""," ("&amp;INDEX('Inventory - P07'!$C$16:$C$27,(INT((X56-1)/4)+1))&amp;" mg)"))</f>
        <v/>
      </c>
      <c r="D56" s="7" t="str">
        <f t="array" ref="D56">IF(X56="","",INDEX('Inventory - P07'!$K$16:$K$27,(INT((X56-1)/4)+1))-SUMPRODUCT(($B$10:$B$61=B56)*(($I$10:$I$61&lt;&gt;"")+($K$10:$K$61&lt;&gt;"")+($M$10:$M$61&lt;&gt;"")+($O$10:$O$61&lt;&gt;"")+($Q$10:$Q$61&lt;&gt;"")+($S$10:$S$61&lt;&gt;"")+($U$10:$U$61&lt;&gt;""))))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P07'!$D$16:$D$27,(INT((X56-1)/4)+1)))</f>
        <v/>
      </c>
      <c r="F56" s="7" t="str">
        <f t="array" ref="F56">IF(X56="","",INDEX('Inventory - P07'!$E$16:$E$27,(INT((X56-1)/4)+1)))</f>
        <v/>
      </c>
      <c r="G56" s="7" t="str">
        <f t="array" ref="G56">IF(X56="","",INDEX('Inventory - P07'!$I$16:$I$27,(INT((X56-1)/4)+1)))</f>
        <v/>
      </c>
      <c r="H56" s="7" t="str">
        <f t="array" ref="H56">IF(X56="","",INDEX('Inventory - P07'!$J$16:$J$27,(INT((X56-1)/4)+1)))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P07'!$B$16:$B$27,(INT((X57-1)/4)+1))&amp;IF(INDEX('Inventory - P07'!$C$16:$C$27,(INT((X57-1)/4)+1))="",""," ("&amp;INDEX('Inventory - P07'!$C$16:$C$27,(INT((X57-1)/4)+1))&amp;" mg)"))</f>
        <v/>
      </c>
      <c r="D57" s="7" t="str">
        <f t="array" ref="D57">IF(X57="","",INDEX('Inventory - P07'!$K$16:$K$27,(INT((X57-1)/4)+1))-SUMPRODUCT(($B$10:$B$61=B57)*(($I$10:$I$61&lt;&gt;"")+($K$10:$K$61&lt;&gt;"")+($M$10:$M$61&lt;&gt;"")+($O$10:$O$61&lt;&gt;"")+($Q$10:$Q$61&lt;&gt;"")+($S$10:$S$61&lt;&gt;"")+($U$10:$U$61&lt;&gt;""))))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P07'!$D$16:$D$27,(INT((X57-1)/4)+1)))</f>
        <v/>
      </c>
      <c r="F57" s="7" t="str">
        <f t="array" ref="F57">IF(X57="","",INDEX('Inventory - P07'!$E$16:$E$27,(INT((X57-1)/4)+1)))</f>
        <v/>
      </c>
      <c r="G57" s="7" t="str">
        <f t="array" ref="G57">IF(X57="","",INDEX('Inventory - P07'!$I$16:$I$27,(INT((X57-1)/4)+1)))</f>
        <v/>
      </c>
      <c r="H57" s="7" t="str">
        <f t="array" ref="H57">IF(X57="","",INDEX('Inventory - P07'!$J$16:$J$27,(INT((X57-1)/4)+1)))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P07'!$B$16:$B$27,(INT((X58-1)/4)+1))&amp;IF(INDEX('Inventory - P07'!$C$16:$C$27,(INT((X58-1)/4)+1))="",""," ("&amp;INDEX('Inventory - P07'!$C$16:$C$27,(INT((X58-1)/4)+1))&amp;" mg)"))</f>
        <v/>
      </c>
      <c r="D58" s="7" t="str">
        <f t="array" ref="D58">IF(X58="","",INDEX('Inventory - P07'!$K$16:$K$27,(INT((X58-1)/4)+1))-SUMPRODUCT(($B$10:$B$61=B58)*(($I$10:$I$61&lt;&gt;"")+($K$10:$K$61&lt;&gt;"")+($M$10:$M$61&lt;&gt;"")+($O$10:$O$61&lt;&gt;"")+($Q$10:$Q$61&lt;&gt;"")+($S$10:$S$61&lt;&gt;"")+($U$10:$U$61&lt;&gt;""))))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P07'!$D$16:$D$27,(INT((X58-1)/4)+1)))</f>
        <v/>
      </c>
      <c r="F58" s="7" t="str">
        <f t="array" ref="F58">IF(X58="","",INDEX('Inventory - P07'!$E$16:$E$27,(INT((X58-1)/4)+1)))</f>
        <v/>
      </c>
      <c r="G58" s="7" t="str">
        <f t="array" ref="G58">IF(X58="","",INDEX('Inventory - P07'!$I$16:$I$27,(INT((X58-1)/4)+1)))</f>
        <v/>
      </c>
      <c r="H58" s="7" t="str">
        <f t="array" ref="H58">IF(X58="","",INDEX('Inventory - P07'!$J$16:$J$27,(INT((X58-1)/4)+1)))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P07'!$B$16:$B$27,(INT((X59-1)/4)+1))&amp;IF(INDEX('Inventory - P07'!$C$16:$C$27,(INT((X59-1)/4)+1))="",""," ("&amp;INDEX('Inventory - P07'!$C$16:$C$27,(INT((X59-1)/4)+1))&amp;" mg)"))</f>
        <v/>
      </c>
      <c r="D59" s="7" t="str">
        <f t="array" ref="D59">IF(X59="","",INDEX('Inventory - P07'!$K$16:$K$27,(INT((X59-1)/4)+1))-SUMPRODUCT(($B$10:$B$61=B59)*(($I$10:$I$61&lt;&gt;"")+($K$10:$K$61&lt;&gt;"")+($M$10:$M$61&lt;&gt;"")+($O$10:$O$61&lt;&gt;"")+($Q$10:$Q$61&lt;&gt;"")+($S$10:$S$61&lt;&gt;"")+($U$10:$U$61&lt;&gt;""))))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P07'!$D$16:$D$27,(INT((X59-1)/4)+1)))</f>
        <v/>
      </c>
      <c r="F59" s="7" t="str">
        <f t="array" ref="F59">IF(X59="","",INDEX('Inventory - P07'!$E$16:$E$27,(INT((X59-1)/4)+1)))</f>
        <v/>
      </c>
      <c r="G59" s="7" t="str">
        <f t="array" ref="G59">IF(X59="","",INDEX('Inventory - P07'!$I$16:$I$27,(INT((X59-1)/4)+1)))</f>
        <v/>
      </c>
      <c r="H59" s="7" t="str">
        <f t="array" ref="H59">IF(X59="","",INDEX('Inventory - P07'!$J$16:$J$27,(INT((X59-1)/4)+1)))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P07'!$B$16:$B$27,(INT((X60-1)/4)+1))&amp;IF(INDEX('Inventory - P07'!$C$16:$C$27,(INT((X60-1)/4)+1))="",""," ("&amp;INDEX('Inventory - P07'!$C$16:$C$27,(INT((X60-1)/4)+1))&amp;" mg)"))</f>
        <v/>
      </c>
      <c r="D60" s="7" t="str">
        <f t="array" ref="D60">IF(X60="","",INDEX('Inventory - P07'!$K$16:$K$27,(INT((X60-1)/4)+1))-SUMPRODUCT(($B$10:$B$61=B60)*(($I$10:$I$61&lt;&gt;"")+($K$10:$K$61&lt;&gt;"")+($M$10:$M$61&lt;&gt;"")+($O$10:$O$61&lt;&gt;"")+($Q$10:$Q$61&lt;&gt;"")+($S$10:$S$61&lt;&gt;"")+($U$10:$U$61&lt;&gt;""))))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P07'!$D$16:$D$27,(INT((X60-1)/4)+1)))</f>
        <v/>
      </c>
      <c r="F60" s="7" t="str">
        <f t="array" ref="F60">IF(X60="","",INDEX('Inventory - P07'!$E$16:$E$27,(INT((X60-1)/4)+1)))</f>
        <v/>
      </c>
      <c r="G60" s="7" t="str">
        <f t="array" ref="G60">IF(X60="","",INDEX('Inventory - P07'!$I$16:$I$27,(INT((X60-1)/4)+1)))</f>
        <v/>
      </c>
      <c r="H60" s="7" t="str">
        <f t="array" ref="H60">IF(X60="","",INDEX('Inventory - P07'!$J$16:$J$27,(INT((X60-1)/4)+1)))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P07'!$B$16:$B$27,(INT((X61-1)/4)+1))&amp;IF(INDEX('Inventory - P07'!$C$16:$C$27,(INT((X61-1)/4)+1))="",""," ("&amp;INDEX('Inventory - P07'!$C$16:$C$27,(INT((X61-1)/4)+1))&amp;" mg)"))</f>
        <v/>
      </c>
      <c r="D61" s="7" t="str">
        <f t="array" ref="D61">IF(X61="","",INDEX('Inventory - P07'!$K$16:$K$27,(INT((X61-1)/4)+1))-SUMPRODUCT(($B$10:$B$61=B61)*(($I$10:$I$61&lt;&gt;"")+($K$10:$K$61&lt;&gt;"")+($M$10:$M$61&lt;&gt;"")+($O$10:$O$61&lt;&gt;"")+($Q$10:$Q$61&lt;&gt;"")+($S$10:$S$61&lt;&gt;"")+($U$10:$U$61&lt;&gt;""))))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P07'!$D$16:$D$27,(INT((X61-1)/4)+1)))</f>
        <v/>
      </c>
      <c r="F61" s="7" t="str">
        <f t="array" ref="F61">IF(X61="","",INDEX('Inventory - P07'!$E$16:$E$27,(INT((X61-1)/4)+1)))</f>
        <v/>
      </c>
      <c r="G61" s="7" t="str">
        <f t="array" ref="G61">IF(X61="","",INDEX('Inventory - P07'!$I$16:$I$27,(INT((X61-1)/4)+1)))</f>
        <v/>
      </c>
      <c r="H61" s="7" t="str">
        <f t="array" ref="H61">IF(X61="","",INDEX('Inventory - P07'!$J$16:$J$27,(INT((X61-1)/4)+1)))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P07'!E16&lt;1,'Inventory - P07'!F16="",'Inventory - P07'!G16=""),9,MOD('Inventory - P07'!F16+0*'Inventory - P07'!G16/24,1))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P07'!E16&lt;2,'Inventory - P07'!F16="",'Inventory - P07'!G16=""),9,MOD('Inventory - P07'!F16+1*'Inventory - P07'!G16/24,1))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P07'!E16&lt;3,'Inventory - P07'!F16="",'Inventory - P07'!G16=""),9,MOD('Inventory - P07'!F16+2*'Inventory - P07'!G16/24,1))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P07'!E16&lt;4,'Inventory - P07'!F16="",'Inventory - P07'!G16=""),9,MOD('Inventory - P07'!F16+3*'Inventory - P07'!G16/24,1))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P07'!E17&lt;1,'Inventory - P07'!F17="",'Inventory - P07'!G17=""),9,MOD('Inventory - P07'!F17+0*'Inventory - P07'!G17/24,1))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P07'!E17&lt;2,'Inventory - P07'!F17="",'Inventory - P07'!G17=""),9,MOD('Inventory - P07'!F17+1*'Inventory - P07'!G17/24,1))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P07'!E17&lt;3,'Inventory - P07'!F17="",'Inventory - P07'!G17=""),9,MOD('Inventory - P07'!F17+2*'Inventory - P07'!G17/24,1))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P07'!E17&lt;4,'Inventory - P07'!F17="",'Inventory - P07'!G17=""),9,MOD('Inventory - P07'!F17+3*'Inventory - P07'!G17/24,1))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P07'!E18&lt;1,'Inventory - P07'!F18="",'Inventory - P07'!G18=""),9,MOD('Inventory - P07'!F18+0*'Inventory - P07'!G18/24,1))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P07'!E18&lt;2,'Inventory - P07'!F18="",'Inventory - P07'!G18=""),9,MOD('Inventory - P07'!F18+1*'Inventory - P07'!G18/24,1))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P07'!E18&lt;3,'Inventory - P07'!F18="",'Inventory - P07'!G18=""),9,MOD('Inventory - P07'!F18+2*'Inventory - P07'!G18/24,1))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P07'!E18&lt;4,'Inventory - P07'!F18="",'Inventory - P07'!G18=""),9,MOD('Inventory - P07'!F18+3*'Inventory - P07'!G18/24,1))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P07'!E19&lt;1,'Inventory - P07'!F19="",'Inventory - P07'!G19=""),9,MOD('Inventory - P07'!F19+0*'Inventory - P07'!G19/24,1))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P07'!E19&lt;2,'Inventory - P07'!F19="",'Inventory - P07'!G19=""),9,MOD('Inventory - P07'!F19+1*'Inventory - P07'!G19/24,1))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P07'!E19&lt;3,'Inventory - P07'!F19="",'Inventory - P07'!G19=""),9,MOD('Inventory - P07'!F19+2*'Inventory - P07'!G19/24,1))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P07'!E19&lt;4,'Inventory - P07'!F19="",'Inventory - P07'!G19=""),9,MOD('Inventory - P07'!F19+3*'Inventory - P07'!G19/24,1))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P07'!E20&lt;1,'Inventory - P07'!F20="",'Inventory - P07'!G20=""),9,MOD('Inventory - P07'!F20+0*'Inventory - P07'!G20/24,1))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P07'!E20&lt;2,'Inventory - P07'!F20="",'Inventory - P07'!G20=""),9,MOD('Inventory - P07'!F20+1*'Inventory - P07'!G20/24,1))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P07'!E20&lt;3,'Inventory - P07'!F20="",'Inventory - P07'!G20=""),9,MOD('Inventory - P07'!F20+2*'Inventory - P07'!G20/24,1))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P07'!E20&lt;4,'Inventory - P07'!F20="",'Inventory - P07'!G20=""),9,MOD('Inventory - P07'!F20+3*'Inventory - P07'!G20/24,1))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P07'!E21&lt;1,'Inventory - P07'!F21="",'Inventory - P07'!G21=""),9,MOD('Inventory - P07'!F21+0*'Inventory - P07'!G21/24,1))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P07'!E21&lt;2,'Inventory - P07'!F21="",'Inventory - P07'!G21=""),9,MOD('Inventory - P07'!F21+1*'Inventory - P07'!G21/24,1))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P07'!E21&lt;3,'Inventory - P07'!F21="",'Inventory - P07'!G21=""),9,MOD('Inventory - P07'!F21+2*'Inventory - P07'!G21/24,1))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P07'!E21&lt;4,'Inventory - P07'!F21="",'Inventory - P07'!G21=""),9,MOD('Inventory - P07'!F21+3*'Inventory - P07'!G21/24,1))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P07'!E22&lt;1,'Inventory - P07'!F22="",'Inventory - P07'!G22=""),9,MOD('Inventory - P07'!F22+0*'Inventory - P07'!G22/24,1))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P07'!E22&lt;2,'Inventory - P07'!F22="",'Inventory - P07'!G22=""),9,MOD('Inventory - P07'!F22+1*'Inventory - P07'!G22/24,1))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P07'!E22&lt;3,'Inventory - P07'!F22="",'Inventory - P07'!G22=""),9,MOD('Inventory - P07'!F22+2*'Inventory - P07'!G22/24,1))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P07'!E22&lt;4,'Inventory - P07'!F22="",'Inventory - P07'!G22=""),9,MOD('Inventory - P07'!F22+3*'Inventory - P07'!G22/24,1))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P07'!E23&lt;1,'Inventory - P07'!F23="",'Inventory - P07'!G23=""),9,MOD('Inventory - P07'!F23+0*'Inventory - P07'!G23/24,1))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P07'!E23&lt;2,'Inventory - P07'!F23="",'Inventory - P07'!G23=""),9,MOD('Inventory - P07'!F23+1*'Inventory - P07'!G23/24,1))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P07'!E23&lt;3,'Inventory - P07'!F23="",'Inventory - P07'!G23=""),9,MOD('Inventory - P07'!F23+2*'Inventory - P07'!G23/24,1))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P07'!E23&lt;4,'Inventory - P07'!F23="",'Inventory - P07'!G23=""),9,MOD('Inventory - P07'!F23+3*'Inventory - P07'!G23/24,1))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P07'!E24&lt;1,'Inventory - P07'!F24="",'Inventory - P07'!G24=""),9,MOD('Inventory - P07'!F24+0*'Inventory - P07'!G24/24,1))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P07'!E24&lt;2,'Inventory - P07'!F24="",'Inventory - P07'!G24=""),9,MOD('Inventory - P07'!F24+1*'Inventory - P07'!G24/24,1))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P07'!E24&lt;3,'Inventory - P07'!F24="",'Inventory - P07'!G24=""),9,MOD('Inventory - P07'!F24+2*'Inventory - P07'!G24/24,1))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P07'!E24&lt;4,'Inventory - P07'!F24="",'Inventory - P07'!G24=""),9,MOD('Inventory - P07'!F24+3*'Inventory - P07'!G24/24,1))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P07'!E25&lt;1,'Inventory - P07'!F25="",'Inventory - P07'!G25=""),9,MOD('Inventory - P07'!F25+0*'Inventory - P07'!G25/24,1))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P07'!E25&lt;2,'Inventory - P07'!F25="",'Inventory - P07'!G25=""),9,MOD('Inventory - P07'!F25+1*'Inventory - P07'!G25/24,1))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P07'!E25&lt;3,'Inventory - P07'!F25="",'Inventory - P07'!G25=""),9,MOD('Inventory - P07'!F25+2*'Inventory - P07'!G25/24,1))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P07'!E25&lt;4,'Inventory - P07'!F25="",'Inventory - P07'!G25=""),9,MOD('Inventory - P07'!F25+3*'Inventory - P07'!G25/24,1))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P07'!E26&lt;1,'Inventory - P07'!F26="",'Inventory - P07'!G26=""),9,MOD('Inventory - P07'!F26+0*'Inventory - P07'!G26/24,1))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P07'!E26&lt;2,'Inventory - P07'!F26="",'Inventory - P07'!G26=""),9,MOD('Inventory - P07'!F26+1*'Inventory - P07'!G26/24,1))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P07'!E26&lt;3,'Inventory - P07'!F26="",'Inventory - P07'!G26=""),9,MOD('Inventory - P07'!F26+2*'Inventory - P07'!G26/24,1))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P07'!E26&lt;4,'Inventory - P07'!F26="",'Inventory - P07'!G26=""),9,MOD('Inventory - P07'!F26+3*'Inventory - P07'!G26/24,1))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P07'!E27&lt;1,'Inventory - P07'!F27="",'Inventory - P07'!G27=""),9,MOD('Inventory - P07'!F27+0*'Inventory - P07'!G27/24,1))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P07'!E27&lt;2,'Inventory - P07'!F27="",'Inventory - P07'!G27=""),9,MOD('Inventory - P07'!F27+1*'Inventory - P07'!G27/24,1))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P07'!E27&lt;3,'Inventory - P07'!F27="",'Inventory - P07'!G27=""),9,MOD('Inventory - P07'!F27+2*'Inventory - P07'!G27/24,1))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P07'!E27&lt;4,'Inventory - P07'!F27="",'Inventory - P07'!G27=""),9,MOD('Inventory - P07'!F27+3*'Inventory - P07'!G27/24,1))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565" priority="1">
      <formula>$W11&gt;=9</formula>
    </cfRule>
  </conditionalFormatting>
  <conditionalFormatting sqref="A12:V12">
    <cfRule type="expression" dxfId="564" priority="2">
      <formula>$W12&gt;=9</formula>
    </cfRule>
  </conditionalFormatting>
  <conditionalFormatting sqref="A13:V13">
    <cfRule type="expression" dxfId="563" priority="3">
      <formula>$W13&gt;=9</formula>
    </cfRule>
  </conditionalFormatting>
  <conditionalFormatting sqref="A14:V14">
    <cfRule type="expression" dxfId="562" priority="4">
      <formula>$W14&gt;=9</formula>
    </cfRule>
  </conditionalFormatting>
  <conditionalFormatting sqref="A15:V15">
    <cfRule type="expression" dxfId="561" priority="5">
      <formula>$W15&gt;=9</formula>
    </cfRule>
  </conditionalFormatting>
  <conditionalFormatting sqref="A16:V16">
    <cfRule type="expression" dxfId="560" priority="6">
      <formula>$W16&gt;=9</formula>
    </cfRule>
  </conditionalFormatting>
  <conditionalFormatting sqref="A17:V17">
    <cfRule type="expression" dxfId="559" priority="7">
      <formula>$W17&gt;=9</formula>
    </cfRule>
  </conditionalFormatting>
  <conditionalFormatting sqref="A18:V18">
    <cfRule type="expression" dxfId="558" priority="8">
      <formula>$W18&gt;=9</formula>
    </cfRule>
  </conditionalFormatting>
  <conditionalFormatting sqref="A19:V19">
    <cfRule type="expression" dxfId="557" priority="9">
      <formula>$W19&gt;=9</formula>
    </cfRule>
  </conditionalFormatting>
  <conditionalFormatting sqref="A20:V20">
    <cfRule type="expression" dxfId="556" priority="10">
      <formula>$W20&gt;=9</formula>
    </cfRule>
  </conditionalFormatting>
  <conditionalFormatting sqref="A21:V21">
    <cfRule type="expression" dxfId="555" priority="11">
      <formula>$W21&gt;=9</formula>
    </cfRule>
  </conditionalFormatting>
  <conditionalFormatting sqref="A22:V22">
    <cfRule type="expression" dxfId="554" priority="12">
      <formula>$W22&gt;=9</formula>
    </cfRule>
  </conditionalFormatting>
  <conditionalFormatting sqref="A24:V24">
    <cfRule type="expression" dxfId="553" priority="13">
      <formula>$W24&gt;=9</formula>
    </cfRule>
  </conditionalFormatting>
  <conditionalFormatting sqref="A25:V25">
    <cfRule type="expression" dxfId="552" priority="14">
      <formula>$W25&gt;=9</formula>
    </cfRule>
  </conditionalFormatting>
  <conditionalFormatting sqref="A26:V26">
    <cfRule type="expression" dxfId="551" priority="15">
      <formula>$W26&gt;=9</formula>
    </cfRule>
  </conditionalFormatting>
  <conditionalFormatting sqref="A27:V27">
    <cfRule type="expression" dxfId="550" priority="16">
      <formula>$W27&gt;=9</formula>
    </cfRule>
  </conditionalFormatting>
  <conditionalFormatting sqref="A28:V28">
    <cfRule type="expression" dxfId="549" priority="17">
      <formula>$W28&gt;=9</formula>
    </cfRule>
  </conditionalFormatting>
  <conditionalFormatting sqref="A29:V29">
    <cfRule type="expression" dxfId="548" priority="18">
      <formula>$W29&gt;=9</formula>
    </cfRule>
  </conditionalFormatting>
  <conditionalFormatting sqref="A30:V30">
    <cfRule type="expression" dxfId="547" priority="19">
      <formula>$W30&gt;=9</formula>
    </cfRule>
  </conditionalFormatting>
  <conditionalFormatting sqref="A31:V31">
    <cfRule type="expression" dxfId="546" priority="20">
      <formula>$W31&gt;=9</formula>
    </cfRule>
  </conditionalFormatting>
  <conditionalFormatting sqref="A32:V32">
    <cfRule type="expression" dxfId="545" priority="21">
      <formula>$W32&gt;=9</formula>
    </cfRule>
  </conditionalFormatting>
  <conditionalFormatting sqref="A33:V33">
    <cfRule type="expression" dxfId="544" priority="22">
      <formula>$W33&gt;=9</formula>
    </cfRule>
  </conditionalFormatting>
  <conditionalFormatting sqref="A34:V34">
    <cfRule type="expression" dxfId="543" priority="23">
      <formula>$W34&gt;=9</formula>
    </cfRule>
  </conditionalFormatting>
  <conditionalFormatting sqref="A35:V35">
    <cfRule type="expression" dxfId="542" priority="24">
      <formula>$W35&gt;=9</formula>
    </cfRule>
  </conditionalFormatting>
  <conditionalFormatting sqref="A37:V37">
    <cfRule type="expression" dxfId="541" priority="25">
      <formula>$W37&gt;=9</formula>
    </cfRule>
  </conditionalFormatting>
  <conditionalFormatting sqref="A38:V38">
    <cfRule type="expression" dxfId="540" priority="26">
      <formula>$W38&gt;=9</formula>
    </cfRule>
  </conditionalFormatting>
  <conditionalFormatting sqref="A39:V39">
    <cfRule type="expression" dxfId="539" priority="27">
      <formula>$W39&gt;=9</formula>
    </cfRule>
  </conditionalFormatting>
  <conditionalFormatting sqref="A40:V40">
    <cfRule type="expression" dxfId="538" priority="28">
      <formula>$W40&gt;=9</formula>
    </cfRule>
  </conditionalFormatting>
  <conditionalFormatting sqref="A41:V41">
    <cfRule type="expression" dxfId="537" priority="29">
      <formula>$W41&gt;=9</formula>
    </cfRule>
  </conditionalFormatting>
  <conditionalFormatting sqref="A42:V42">
    <cfRule type="expression" dxfId="536" priority="30">
      <formula>$W42&gt;=9</formula>
    </cfRule>
  </conditionalFormatting>
  <conditionalFormatting sqref="A43:V43">
    <cfRule type="expression" dxfId="535" priority="31">
      <formula>$W43&gt;=9</formula>
    </cfRule>
  </conditionalFormatting>
  <conditionalFormatting sqref="A44:V44">
    <cfRule type="expression" dxfId="534" priority="32">
      <formula>$W44&gt;=9</formula>
    </cfRule>
  </conditionalFormatting>
  <conditionalFormatting sqref="A45:V45">
    <cfRule type="expression" dxfId="533" priority="33">
      <formula>$W45&gt;=9</formula>
    </cfRule>
  </conditionalFormatting>
  <conditionalFormatting sqref="A46:V46">
    <cfRule type="expression" dxfId="532" priority="34">
      <formula>$W46&gt;=9</formula>
    </cfRule>
  </conditionalFormatting>
  <conditionalFormatting sqref="A47:V47">
    <cfRule type="expression" dxfId="531" priority="35">
      <formula>$W47&gt;=9</formula>
    </cfRule>
  </conditionalFormatting>
  <conditionalFormatting sqref="A48:V48">
    <cfRule type="expression" dxfId="530" priority="36">
      <formula>$W48&gt;=9</formula>
    </cfRule>
  </conditionalFormatting>
  <conditionalFormatting sqref="A50:V50">
    <cfRule type="expression" dxfId="529" priority="37">
      <formula>$W50&gt;=9</formula>
    </cfRule>
  </conditionalFormatting>
  <conditionalFormatting sqref="A51:V51">
    <cfRule type="expression" dxfId="528" priority="38">
      <formula>$W51&gt;=9</formula>
    </cfRule>
  </conditionalFormatting>
  <conditionalFormatting sqref="A52:V52">
    <cfRule type="expression" dxfId="527" priority="39">
      <formula>$W52&gt;=9</formula>
    </cfRule>
  </conditionalFormatting>
  <conditionalFormatting sqref="A53:V53">
    <cfRule type="expression" dxfId="526" priority="40">
      <formula>$W53&gt;=9</formula>
    </cfRule>
  </conditionalFormatting>
  <conditionalFormatting sqref="A54:V54">
    <cfRule type="expression" dxfId="525" priority="41">
      <formula>$W54&gt;=9</formula>
    </cfRule>
  </conditionalFormatting>
  <conditionalFormatting sqref="A55:V55">
    <cfRule type="expression" dxfId="524" priority="42">
      <formula>$W55&gt;=9</formula>
    </cfRule>
  </conditionalFormatting>
  <conditionalFormatting sqref="A56:V56">
    <cfRule type="expression" dxfId="523" priority="43">
      <formula>$W56&gt;=9</formula>
    </cfRule>
  </conditionalFormatting>
  <conditionalFormatting sqref="A57:V57">
    <cfRule type="expression" dxfId="522" priority="44">
      <formula>$W57&gt;=9</formula>
    </cfRule>
  </conditionalFormatting>
  <conditionalFormatting sqref="A58:V58">
    <cfRule type="expression" dxfId="521" priority="45">
      <formula>$W58&gt;=9</formula>
    </cfRule>
  </conditionalFormatting>
  <conditionalFormatting sqref="A59:V59">
    <cfRule type="expression" dxfId="520" priority="46">
      <formula>$W59&gt;=9</formula>
    </cfRule>
  </conditionalFormatting>
  <conditionalFormatting sqref="A60:V60">
    <cfRule type="expression" dxfId="519" priority="47">
      <formula>$W60&gt;=9</formula>
    </cfRule>
  </conditionalFormatting>
  <conditionalFormatting sqref="A61:V61">
    <cfRule type="expression" dxfId="518" priority="48">
      <formula>$W61&gt;=9</formula>
    </cfRule>
  </conditionalFormatting>
  <conditionalFormatting sqref="H10:H61">
    <cfRule type="cellIs" dxfId="517" priority="49" operator="equal">
      <formula>"Physical"</formula>
    </cfRule>
  </conditionalFormatting>
  <conditionalFormatting sqref="H10:H61">
    <cfRule type="cellIs" dxfId="516" priority="50" operator="equal">
      <formula>"Psychological"</formula>
    </cfRule>
  </conditionalFormatting>
  <conditionalFormatting sqref="G10:G61">
    <cfRule type="cellIs" dxfId="515" priority="51" operator="equal">
      <formula>"Y"</formula>
    </cfRule>
  </conditionalFormatting>
  <conditionalFormatting sqref="G10:G61">
    <cfRule type="cellIs" dxfId="514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Tracker'!B12="","",UPPER(LEFT(TRIM('Client Needs Tracker'!B12),1))&amp;UPPER(MID('Client Needs Tracker'!B12,FIND("@",SUBSTITUTE('Client Needs Tracker'!B12," ","@",LEN('Client Needs Tracker'!B12)-LEN(SUBSTITUTE('Client Needs Tracker'!B12," ",""))))+1,1))&amp;"-"&amp;SUBSTITUTE('Client Needs Tracker'!S12,"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Tracker'!S12="","","INV-"&amp;SUBSTITUTE('Client Needs Tracker'!S12," ",""))</f>
        <v>INV-M-4B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Tracker'!B12="","(Add client on Client Needs Tracker, row 12)",'Client Needs Tracker'!B12)</f>
        <v>(Add client on Client Needs Tracker, row 12)</v>
      </c>
      <c r="B6" s="134"/>
      <c r="C6" s="134"/>
      <c r="D6" s="134"/>
      <c r="E6" s="134"/>
      <c r="F6" s="93">
        <f>'Client Needs Tracker'!A12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Tracker'!C12="","",'Client Needs Tracker'!C12)</f>
        <v/>
      </c>
      <c r="B8" s="134"/>
      <c r="C8" s="134"/>
      <c r="D8" s="134"/>
      <c r="E8" s="134"/>
      <c r="F8" s="95">
        <f>'Client Needs Tracker'!E12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Tracker'!F12="","",'Client Needs Tracker'!F12)</f>
        <v/>
      </c>
      <c r="B10" s="134"/>
      <c r="C10" s="134"/>
      <c r="D10" s="134"/>
      <c r="E10" s="134"/>
      <c r="F10" s="89" t="str">
        <f>IF('Client Status Board'!G12="","",'Client Status Board'!G12)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Board'!L12="","",'Client Status Board'!L12)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P08'!$B$10:$B$61=1)*(('MAR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P08'!$B$10:$B$61=2)*(('MAR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P08'!$B$10:$B$61=3)*(('MAR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P08'!$B$10:$B$61=4)*(('MAR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P08'!$B$10:$B$61=5)*(('MAR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P08'!$B$10:$B$61=6)*(('MAR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P08'!$B$10:$B$61=7)*(('MAR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P08'!$B$10:$B$61=8)*(('MAR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P08'!$B$10:$B$61=9)*(('MAR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P08'!$B$10:$B$61=10)*(('MAR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P08'!$B$10:$B$61=11)*(('MAR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P08'!$B$10:$B$61=12)*(('MAR - P08'!$I$10:$I$61&lt;&gt;"")+('MAR - P08'!$K$10:$K$61&lt;&gt;"")+('MAR - P08'!$M$10:$M$61&lt;&gt;"")+('MAR - P08'!$O$10:$O$61&lt;&gt;"")+('MAR - P08'!$Q$10:$Q$61&lt;&gt;"")+('MAR - P08'!$S$10:$S$61&lt;&gt;"")+('MAR - P08'!$U$10:$U$61&lt;&gt;""))))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513" priority="1" operator="equal">
      <formula>"Physical"</formula>
    </cfRule>
  </conditionalFormatting>
  <conditionalFormatting sqref="J16:J27">
    <cfRule type="cellIs" dxfId="512" priority="2" operator="equal">
      <formula>"Psychological"</formula>
    </cfRule>
  </conditionalFormatting>
  <conditionalFormatting sqref="I16:I27">
    <cfRule type="cellIs" dxfId="511" priority="3" operator="equal">
      <formula>"Y"</formula>
    </cfRule>
  </conditionalFormatting>
  <conditionalFormatting sqref="I16:I27">
    <cfRule type="cellIs" dxfId="510" priority="4" operator="equal">
      <formula>"N"</formula>
    </cfRule>
  </conditionalFormatting>
  <dataValidations count="5">
    <dataValidation type="list" allowBlank="1" sqref="I16:I27" xr:uid="{00000000-0002-0000-1300-000001000000}">
      <formula1>"Y,N"</formula1>
    </dataValidation>
    <dataValidation type="list" allowBlank="1" sqref="J16:J27" xr:uid="{00000000-0002-0000-1300-000002000000}">
      <formula1>"Physical,Psychological"</formula1>
    </dataValidation>
    <dataValidation type="list" allowBlank="1" sqref="C16:C27" xr:uid="{00000000-0002-0000-13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300-000004000000}">
      <formula1>"PO,IM,IV,SubQ,Topical,Inhaled,Sublingual,Rectal,Other"</formula1>
    </dataValidation>
    <dataValidation type="list" allowBlank="1" sqref="G16:G27" xr:uid="{00000000-0002-0000-13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3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Tracker'!B12="","",UPPER(LEFT(TRIM('Client Needs Tracker'!B12),1))&amp;UPPER(MID('Client Needs Tracker'!B12,FIND("@",SUBSTITUTE('Client Needs Tracker'!B12," ","@",LEN('Client Needs Tracker'!B12)-LEN(SUBSTITUTE('Client Needs Tracker'!B12," ",""))))+1,1))&amp;"-"&amp;SUBSTITUTE('Client Needs Tracker'!S12," ",""))</f>
        <v/>
      </c>
    </row>
    <row r="3" spans="1:33" ht="15" customHeight="1">
      <c r="A3" s="103" t="str">
        <f>IF('Inventory - P08'!A6="","(Enter name in Inventory - P08)",'Inventory - P08'!A6)</f>
        <v>(Add client on Client Needs Tracker, row 12)</v>
      </c>
      <c r="B3" s="145"/>
      <c r="C3" s="145"/>
      <c r="D3" s="145"/>
      <c r="E3" s="145"/>
      <c r="F3" s="104" t="str">
        <f>IF('Inventory - P08'!F6="","(Enter ID in Inventory - P08)","Member ID: "&amp;'Inventory - P08'!F6)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Tracker'!S12="","","INV-"&amp;SUBSTITUTE('Client Needs Tracker'!S12," ",""))</f>
        <v>INV-M-4B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P08'!F8="","-",'Inventory - P08'!F8)</f>
        <v>LOC: 0</v>
      </c>
      <c r="B5" s="106"/>
      <c r="C5" s="2"/>
      <c r="D5" s="102" t="str">
        <f>"Case Manager: "&amp;IF('Inventory - P08'!A10="","-",'Inventory - P08'!A10)</f>
        <v>Case Manager: -</v>
      </c>
      <c r="E5" s="106"/>
      <c r="F5" s="2"/>
      <c r="G5" s="102" t="str">
        <f>"Doctor: "&amp;IF('Inventory - P08'!F10="","-",'Inventory - P08'!F10)</f>
        <v>Doctor: -</v>
      </c>
      <c r="H5" s="106"/>
      <c r="I5" s="2"/>
      <c r="J5" s="102" t="str">
        <f>"Pharmacy: "&amp;IF('Inventory - P08'!A12="","-",'Inventory - P08'!A12)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P08'!A14="","",'Inventory - P08'!A14)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P08'!A14="","",'Inventory - P08'!A14+0)</f>
        <v/>
      </c>
      <c r="J8" s="134"/>
      <c r="K8" s="101" t="str">
        <f>IF('Inventory - P08'!A14="","",'Inventory - P08'!A14+1)</f>
        <v/>
      </c>
      <c r="L8" s="134"/>
      <c r="M8" s="101" t="str">
        <f>IF('Inventory - P08'!A14="","",'Inventory - P08'!A14+2)</f>
        <v/>
      </c>
      <c r="N8" s="134"/>
      <c r="O8" s="101" t="str">
        <f>IF('Inventory - P08'!A14="","",'Inventory - P08'!A14+3)</f>
        <v/>
      </c>
      <c r="P8" s="134"/>
      <c r="Q8" s="101" t="str">
        <f>IF('Inventory - P08'!A14="","",'Inventory - P08'!A14+4)</f>
        <v/>
      </c>
      <c r="R8" s="134"/>
      <c r="S8" s="101" t="str">
        <f>IF('Inventory - P08'!A14="","",'Inventory - P08'!A14+5)</f>
        <v/>
      </c>
      <c r="T8" s="134"/>
      <c r="U8" s="101" t="str">
        <f>IF('Inventory - P08'!A14="","",'Inventory - P08'!A14+6)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P08'!$B$16:$B$27,(INT((X11-1)/4)+1))&amp;IF(INDEX('Inventory - P08'!$C$16:$C$27,(INT((X11-1)/4)+1))="",""," ("&amp;INDEX('Inventory - P08'!$C$16:$C$27,(INT((X11-1)/4)+1))&amp;" mg)"))</f>
        <v/>
      </c>
      <c r="D11" s="7" t="str">
        <f t="array" ref="D11">IF(X11="","",INDEX('Inventory - P08'!$K$16:$K$27,(INT((X11-1)/4)+1))-SUMPRODUCT(($B$10:$B$61=B11)*(($I$10:$I$61&lt;&gt;"")+($K$10:$K$61&lt;&gt;"")+($M$10:$M$61&lt;&gt;"")+($O$10:$O$61&lt;&gt;"")+($Q$10:$Q$61&lt;&gt;"")+($S$10:$S$61&lt;&gt;"")+($U$10:$U$61&lt;&gt;""))))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P08'!$D$16:$D$27,(INT((X11-1)/4)+1)))</f>
        <v/>
      </c>
      <c r="F11" s="7" t="str">
        <f t="array" ref="F11">IF(X11="","",INDEX('Inventory - P08'!$E$16:$E$27,(INT((X11-1)/4)+1)))</f>
        <v/>
      </c>
      <c r="G11" s="7" t="str">
        <f t="array" ref="G11">IF(X11="","",INDEX('Inventory - P08'!$I$16:$I$27,(INT((X11-1)/4)+1)))</f>
        <v/>
      </c>
      <c r="H11" s="7" t="str">
        <f t="array" ref="H11">IF(X11="","",INDEX('Inventory - P08'!$J$16:$J$27,(INT((X11-1)/4)+1)))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P08'!$B$16:$B$27,(INT((X12-1)/4)+1))&amp;IF(INDEX('Inventory - P08'!$C$16:$C$27,(INT((X12-1)/4)+1))="",""," ("&amp;INDEX('Inventory - P08'!$C$16:$C$27,(INT((X12-1)/4)+1))&amp;" mg)"))</f>
        <v/>
      </c>
      <c r="D12" s="7" t="str">
        <f t="array" ref="D12">IF(X12="","",INDEX('Inventory - P08'!$K$16:$K$27,(INT((X12-1)/4)+1))-SUMPRODUCT(($B$10:$B$61=B12)*(($I$10:$I$61&lt;&gt;"")+($K$10:$K$61&lt;&gt;"")+($M$10:$M$61&lt;&gt;"")+($O$10:$O$61&lt;&gt;"")+($Q$10:$Q$61&lt;&gt;"")+($S$10:$S$61&lt;&gt;"")+($U$10:$U$61&lt;&gt;""))))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P08'!$D$16:$D$27,(INT((X12-1)/4)+1)))</f>
        <v/>
      </c>
      <c r="F12" s="7" t="str">
        <f t="array" ref="F12">IF(X12="","",INDEX('Inventory - P08'!$E$16:$E$27,(INT((X12-1)/4)+1)))</f>
        <v/>
      </c>
      <c r="G12" s="7" t="str">
        <f t="array" ref="G12">IF(X12="","",INDEX('Inventory - P08'!$I$16:$I$27,(INT((X12-1)/4)+1)))</f>
        <v/>
      </c>
      <c r="H12" s="7" t="str">
        <f t="array" ref="H12">IF(X12="","",INDEX('Inventory - P08'!$J$16:$J$27,(INT((X12-1)/4)+1)))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P08'!$B$16:$B$27,(INT((X13-1)/4)+1))&amp;IF(INDEX('Inventory - P08'!$C$16:$C$27,(INT((X13-1)/4)+1))="",""," ("&amp;INDEX('Inventory - P08'!$C$16:$C$27,(INT((X13-1)/4)+1))&amp;" mg)"))</f>
        <v/>
      </c>
      <c r="D13" s="7" t="str">
        <f t="array" ref="D13">IF(X13="","",INDEX('Inventory - P08'!$K$16:$K$27,(INT((X13-1)/4)+1))-SUMPRODUCT(($B$10:$B$61=B13)*(($I$10:$I$61&lt;&gt;"")+($K$10:$K$61&lt;&gt;"")+($M$10:$M$61&lt;&gt;"")+($O$10:$O$61&lt;&gt;"")+($Q$10:$Q$61&lt;&gt;"")+($S$10:$S$61&lt;&gt;"")+($U$10:$U$61&lt;&gt;""))))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P08'!$D$16:$D$27,(INT((X13-1)/4)+1)))</f>
        <v/>
      </c>
      <c r="F13" s="7" t="str">
        <f t="array" ref="F13">IF(X13="","",INDEX('Inventory - P08'!$E$16:$E$27,(INT((X13-1)/4)+1)))</f>
        <v/>
      </c>
      <c r="G13" s="7" t="str">
        <f t="array" ref="G13">IF(X13="","",INDEX('Inventory - P08'!$I$16:$I$27,(INT((X13-1)/4)+1)))</f>
        <v/>
      </c>
      <c r="H13" s="7" t="str">
        <f t="array" ref="H13">IF(X13="","",INDEX('Inventory - P08'!$J$16:$J$27,(INT((X13-1)/4)+1)))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P08'!$B$16:$B$27,(INT((X14-1)/4)+1))&amp;IF(INDEX('Inventory - P08'!$C$16:$C$27,(INT((X14-1)/4)+1))="",""," ("&amp;INDEX('Inventory - P08'!$C$16:$C$27,(INT((X14-1)/4)+1))&amp;" mg)"))</f>
        <v/>
      </c>
      <c r="D14" s="7" t="str">
        <f t="array" ref="D14">IF(X14="","",INDEX('Inventory - P08'!$K$16:$K$27,(INT((X14-1)/4)+1))-SUMPRODUCT(($B$10:$B$61=B14)*(($I$10:$I$61&lt;&gt;"")+($K$10:$K$61&lt;&gt;"")+($M$10:$M$61&lt;&gt;"")+($O$10:$O$61&lt;&gt;"")+($Q$10:$Q$61&lt;&gt;"")+($S$10:$S$61&lt;&gt;"")+($U$10:$U$61&lt;&gt;""))))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P08'!$D$16:$D$27,(INT((X14-1)/4)+1)))</f>
        <v/>
      </c>
      <c r="F14" s="7" t="str">
        <f t="array" ref="F14">IF(X14="","",INDEX('Inventory - P08'!$E$16:$E$27,(INT((X14-1)/4)+1)))</f>
        <v/>
      </c>
      <c r="G14" s="7" t="str">
        <f t="array" ref="G14">IF(X14="","",INDEX('Inventory - P08'!$I$16:$I$27,(INT((X14-1)/4)+1)))</f>
        <v/>
      </c>
      <c r="H14" s="7" t="str">
        <f t="array" ref="H14">IF(X14="","",INDEX('Inventory - P08'!$J$16:$J$27,(INT((X14-1)/4)+1)))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P08'!$B$16:$B$27,(INT((X15-1)/4)+1))&amp;IF(INDEX('Inventory - P08'!$C$16:$C$27,(INT((X15-1)/4)+1))="",""," ("&amp;INDEX('Inventory - P08'!$C$16:$C$27,(INT((X15-1)/4)+1))&amp;" mg)"))</f>
        <v/>
      </c>
      <c r="D15" s="7" t="str">
        <f t="array" ref="D15">IF(X15="","",INDEX('Inventory - P08'!$K$16:$K$27,(INT((X15-1)/4)+1))-SUMPRODUCT(($B$10:$B$61=B15)*(($I$10:$I$61&lt;&gt;"")+($K$10:$K$61&lt;&gt;"")+($M$10:$M$61&lt;&gt;"")+($O$10:$O$61&lt;&gt;"")+($Q$10:$Q$61&lt;&gt;"")+($S$10:$S$61&lt;&gt;"")+($U$10:$U$61&lt;&gt;""))))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P08'!$D$16:$D$27,(INT((X15-1)/4)+1)))</f>
        <v/>
      </c>
      <c r="F15" s="7" t="str">
        <f t="array" ref="F15">IF(X15="","",INDEX('Inventory - P08'!$E$16:$E$27,(INT((X15-1)/4)+1)))</f>
        <v/>
      </c>
      <c r="G15" s="7" t="str">
        <f t="array" ref="G15">IF(X15="","",INDEX('Inventory - P08'!$I$16:$I$27,(INT((X15-1)/4)+1)))</f>
        <v/>
      </c>
      <c r="H15" s="7" t="str">
        <f t="array" ref="H15">IF(X15="","",INDEX('Inventory - P08'!$J$16:$J$27,(INT((X15-1)/4)+1)))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P08'!$B$16:$B$27,(INT((X16-1)/4)+1))&amp;IF(INDEX('Inventory - P08'!$C$16:$C$27,(INT((X16-1)/4)+1))="",""," ("&amp;INDEX('Inventory - P08'!$C$16:$C$27,(INT((X16-1)/4)+1))&amp;" mg)"))</f>
        <v/>
      </c>
      <c r="D16" s="7" t="str">
        <f t="array" ref="D16">IF(X16="","",INDEX('Inventory - P08'!$K$16:$K$27,(INT((X16-1)/4)+1))-SUMPRODUCT(($B$10:$B$61=B16)*(($I$10:$I$61&lt;&gt;"")+($K$10:$K$61&lt;&gt;"")+($M$10:$M$61&lt;&gt;"")+($O$10:$O$61&lt;&gt;"")+($Q$10:$Q$61&lt;&gt;"")+($S$10:$S$61&lt;&gt;"")+($U$10:$U$61&lt;&gt;""))))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P08'!$D$16:$D$27,(INT((X16-1)/4)+1)))</f>
        <v/>
      </c>
      <c r="F16" s="7" t="str">
        <f t="array" ref="F16">IF(X16="","",INDEX('Inventory - P08'!$E$16:$E$27,(INT((X16-1)/4)+1)))</f>
        <v/>
      </c>
      <c r="G16" s="7" t="str">
        <f t="array" ref="G16">IF(X16="","",INDEX('Inventory - P08'!$I$16:$I$27,(INT((X16-1)/4)+1)))</f>
        <v/>
      </c>
      <c r="H16" s="7" t="str">
        <f t="array" ref="H16">IF(X16="","",INDEX('Inventory - P08'!$J$16:$J$27,(INT((X16-1)/4)+1)))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P08'!$B$16:$B$27,(INT((X17-1)/4)+1))&amp;IF(INDEX('Inventory - P08'!$C$16:$C$27,(INT((X17-1)/4)+1))="",""," ("&amp;INDEX('Inventory - P08'!$C$16:$C$27,(INT((X17-1)/4)+1))&amp;" mg)"))</f>
        <v/>
      </c>
      <c r="D17" s="7" t="str">
        <f t="array" ref="D17">IF(X17="","",INDEX('Inventory - P08'!$K$16:$K$27,(INT((X17-1)/4)+1))-SUMPRODUCT(($B$10:$B$61=B17)*(($I$10:$I$61&lt;&gt;"")+($K$10:$K$61&lt;&gt;"")+($M$10:$M$61&lt;&gt;"")+($O$10:$O$61&lt;&gt;"")+($Q$10:$Q$61&lt;&gt;"")+($S$10:$S$61&lt;&gt;"")+($U$10:$U$61&lt;&gt;""))))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P08'!$D$16:$D$27,(INT((X17-1)/4)+1)))</f>
        <v/>
      </c>
      <c r="F17" s="7" t="str">
        <f t="array" ref="F17">IF(X17="","",INDEX('Inventory - P08'!$E$16:$E$27,(INT((X17-1)/4)+1)))</f>
        <v/>
      </c>
      <c r="G17" s="7" t="str">
        <f t="array" ref="G17">IF(X17="","",INDEX('Inventory - P08'!$I$16:$I$27,(INT((X17-1)/4)+1)))</f>
        <v/>
      </c>
      <c r="H17" s="7" t="str">
        <f t="array" ref="H17">IF(X17="","",INDEX('Inventory - P08'!$J$16:$J$27,(INT((X17-1)/4)+1)))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P08'!$B$16:$B$27,(INT((X18-1)/4)+1))&amp;IF(INDEX('Inventory - P08'!$C$16:$C$27,(INT((X18-1)/4)+1))="",""," ("&amp;INDEX('Inventory - P08'!$C$16:$C$27,(INT((X18-1)/4)+1))&amp;" mg)"))</f>
        <v/>
      </c>
      <c r="D18" s="7" t="str">
        <f t="array" ref="D18">IF(X18="","",INDEX('Inventory - P08'!$K$16:$K$27,(INT((X18-1)/4)+1))-SUMPRODUCT(($B$10:$B$61=B18)*(($I$10:$I$61&lt;&gt;"")+($K$10:$K$61&lt;&gt;"")+($M$10:$M$61&lt;&gt;"")+($O$10:$O$61&lt;&gt;"")+($Q$10:$Q$61&lt;&gt;"")+($S$10:$S$61&lt;&gt;"")+($U$10:$U$61&lt;&gt;""))))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P08'!$D$16:$D$27,(INT((X18-1)/4)+1)))</f>
        <v/>
      </c>
      <c r="F18" s="7" t="str">
        <f t="array" ref="F18">IF(X18="","",INDEX('Inventory - P08'!$E$16:$E$27,(INT((X18-1)/4)+1)))</f>
        <v/>
      </c>
      <c r="G18" s="7" t="str">
        <f t="array" ref="G18">IF(X18="","",INDEX('Inventory - P08'!$I$16:$I$27,(INT((X18-1)/4)+1)))</f>
        <v/>
      </c>
      <c r="H18" s="7" t="str">
        <f t="array" ref="H18">IF(X18="","",INDEX('Inventory - P08'!$J$16:$J$27,(INT((X18-1)/4)+1)))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P08'!$B$16:$B$27,(INT((X19-1)/4)+1))&amp;IF(INDEX('Inventory - P08'!$C$16:$C$27,(INT((X19-1)/4)+1))="",""," ("&amp;INDEX('Inventory - P08'!$C$16:$C$27,(INT((X19-1)/4)+1))&amp;" mg)"))</f>
        <v/>
      </c>
      <c r="D19" s="7" t="str">
        <f t="array" ref="D19">IF(X19="","",INDEX('Inventory - P08'!$K$16:$K$27,(INT((X19-1)/4)+1))-SUMPRODUCT(($B$10:$B$61=B19)*(($I$10:$I$61&lt;&gt;"")+($K$10:$K$61&lt;&gt;"")+($M$10:$M$61&lt;&gt;"")+($O$10:$O$61&lt;&gt;"")+($Q$10:$Q$61&lt;&gt;"")+($S$10:$S$61&lt;&gt;"")+($U$10:$U$61&lt;&gt;""))))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P08'!$D$16:$D$27,(INT((X19-1)/4)+1)))</f>
        <v/>
      </c>
      <c r="F19" s="7" t="str">
        <f t="array" ref="F19">IF(X19="","",INDEX('Inventory - P08'!$E$16:$E$27,(INT((X19-1)/4)+1)))</f>
        <v/>
      </c>
      <c r="G19" s="7" t="str">
        <f t="array" ref="G19">IF(X19="","",INDEX('Inventory - P08'!$I$16:$I$27,(INT((X19-1)/4)+1)))</f>
        <v/>
      </c>
      <c r="H19" s="7" t="str">
        <f t="array" ref="H19">IF(X19="","",INDEX('Inventory - P08'!$J$16:$J$27,(INT((X19-1)/4)+1)))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P08'!$B$16:$B$27,(INT((X20-1)/4)+1))&amp;IF(INDEX('Inventory - P08'!$C$16:$C$27,(INT((X20-1)/4)+1))="",""," ("&amp;INDEX('Inventory - P08'!$C$16:$C$27,(INT((X20-1)/4)+1))&amp;" mg)"))</f>
        <v/>
      </c>
      <c r="D20" s="7" t="str">
        <f t="array" ref="D20">IF(X20="","",INDEX('Inventory - P08'!$K$16:$K$27,(INT((X20-1)/4)+1))-SUMPRODUCT(($B$10:$B$61=B20)*(($I$10:$I$61&lt;&gt;"")+($K$10:$K$61&lt;&gt;"")+($M$10:$M$61&lt;&gt;"")+($O$10:$O$61&lt;&gt;"")+($Q$10:$Q$61&lt;&gt;"")+($S$10:$S$61&lt;&gt;"")+($U$10:$U$61&lt;&gt;""))))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P08'!$D$16:$D$27,(INT((X20-1)/4)+1)))</f>
        <v/>
      </c>
      <c r="F20" s="7" t="str">
        <f t="array" ref="F20">IF(X20="","",INDEX('Inventory - P08'!$E$16:$E$27,(INT((X20-1)/4)+1)))</f>
        <v/>
      </c>
      <c r="G20" s="7" t="str">
        <f t="array" ref="G20">IF(X20="","",INDEX('Inventory - P08'!$I$16:$I$27,(INT((X20-1)/4)+1)))</f>
        <v/>
      </c>
      <c r="H20" s="7" t="str">
        <f t="array" ref="H20">IF(X20="","",INDEX('Inventory - P08'!$J$16:$J$27,(INT((X20-1)/4)+1)))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P08'!$B$16:$B$27,(INT((X21-1)/4)+1))&amp;IF(INDEX('Inventory - P08'!$C$16:$C$27,(INT((X21-1)/4)+1))="",""," ("&amp;INDEX('Inventory - P08'!$C$16:$C$27,(INT((X21-1)/4)+1))&amp;" mg)"))</f>
        <v/>
      </c>
      <c r="D21" s="7" t="str">
        <f t="array" ref="D21">IF(X21="","",INDEX('Inventory - P08'!$K$16:$K$27,(INT((X21-1)/4)+1))-SUMPRODUCT(($B$10:$B$61=B21)*(($I$10:$I$61&lt;&gt;"")+($K$10:$K$61&lt;&gt;"")+($M$10:$M$61&lt;&gt;"")+($O$10:$O$61&lt;&gt;"")+($Q$10:$Q$61&lt;&gt;"")+($S$10:$S$61&lt;&gt;"")+($U$10:$U$61&lt;&gt;""))))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P08'!$D$16:$D$27,(INT((X21-1)/4)+1)))</f>
        <v/>
      </c>
      <c r="F21" s="7" t="str">
        <f t="array" ref="F21">IF(X21="","",INDEX('Inventory - P08'!$E$16:$E$27,(INT((X21-1)/4)+1)))</f>
        <v/>
      </c>
      <c r="G21" s="7" t="str">
        <f t="array" ref="G21">IF(X21="","",INDEX('Inventory - P08'!$I$16:$I$27,(INT((X21-1)/4)+1)))</f>
        <v/>
      </c>
      <c r="H21" s="7" t="str">
        <f t="array" ref="H21">IF(X21="","",INDEX('Inventory - P08'!$J$16:$J$27,(INT((X21-1)/4)+1)))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P08'!$B$16:$B$27,(INT((X22-1)/4)+1))&amp;IF(INDEX('Inventory - P08'!$C$16:$C$27,(INT((X22-1)/4)+1))="",""," ("&amp;INDEX('Inventory - P08'!$C$16:$C$27,(INT((X22-1)/4)+1))&amp;" mg)"))</f>
        <v/>
      </c>
      <c r="D22" s="7" t="str">
        <f t="array" ref="D22">IF(X22="","",INDEX('Inventory - P08'!$K$16:$K$27,(INT((X22-1)/4)+1))-SUMPRODUCT(($B$10:$B$61=B22)*(($I$10:$I$61&lt;&gt;"")+($K$10:$K$61&lt;&gt;"")+($M$10:$M$61&lt;&gt;"")+($O$10:$O$61&lt;&gt;"")+($Q$10:$Q$61&lt;&gt;"")+($S$10:$S$61&lt;&gt;"")+($U$10:$U$61&lt;&gt;""))))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P08'!$D$16:$D$27,(INT((X22-1)/4)+1)))</f>
        <v/>
      </c>
      <c r="F22" s="7" t="str">
        <f t="array" ref="F22">IF(X22="","",INDEX('Inventory - P08'!$E$16:$E$27,(INT((X22-1)/4)+1)))</f>
        <v/>
      </c>
      <c r="G22" s="7" t="str">
        <f t="array" ref="G22">IF(X22="","",INDEX('Inventory - P08'!$I$16:$I$27,(INT((X22-1)/4)+1)))</f>
        <v/>
      </c>
      <c r="H22" s="7" t="str">
        <f t="array" ref="H22">IF(X22="","",INDEX('Inventory - P08'!$J$16:$J$27,(INT((X22-1)/4)+1)))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P08'!$B$16:$B$27,(INT((X24-1)/4)+1))&amp;IF(INDEX('Inventory - P08'!$C$16:$C$27,(INT((X24-1)/4)+1))="",""," ("&amp;INDEX('Inventory - P08'!$C$16:$C$27,(INT((X24-1)/4)+1))&amp;" mg)"))</f>
        <v/>
      </c>
      <c r="D24" s="7" t="str">
        <f t="array" ref="D24">IF(X24="","",INDEX('Inventory - P08'!$K$16:$K$27,(INT((X24-1)/4)+1))-SUMPRODUCT(($B$10:$B$61=B24)*(($I$10:$I$61&lt;&gt;"")+($K$10:$K$61&lt;&gt;"")+($M$10:$M$61&lt;&gt;"")+($O$10:$O$61&lt;&gt;"")+($Q$10:$Q$61&lt;&gt;"")+($S$10:$S$61&lt;&gt;"")+($U$10:$U$61&lt;&gt;""))))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P08'!$D$16:$D$27,(INT((X24-1)/4)+1)))</f>
        <v/>
      </c>
      <c r="F24" s="7" t="str">
        <f t="array" ref="F24">IF(X24="","",INDEX('Inventory - P08'!$E$16:$E$27,(INT((X24-1)/4)+1)))</f>
        <v/>
      </c>
      <c r="G24" s="7" t="str">
        <f t="array" ref="G24">IF(X24="","",INDEX('Inventory - P08'!$I$16:$I$27,(INT((X24-1)/4)+1)))</f>
        <v/>
      </c>
      <c r="H24" s="7" t="str">
        <f t="array" ref="H24">IF(X24="","",INDEX('Inventory - P08'!$J$16:$J$27,(INT((X24-1)/4)+1)))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P08'!$B$16:$B$27,(INT((X25-1)/4)+1))&amp;IF(INDEX('Inventory - P08'!$C$16:$C$27,(INT((X25-1)/4)+1))="",""," ("&amp;INDEX('Inventory - P08'!$C$16:$C$27,(INT((X25-1)/4)+1))&amp;" mg)"))</f>
        <v/>
      </c>
      <c r="D25" s="7" t="str">
        <f t="array" ref="D25">IF(X25="","",INDEX('Inventory - P08'!$K$16:$K$27,(INT((X25-1)/4)+1))-SUMPRODUCT(($B$10:$B$61=B25)*(($I$10:$I$61&lt;&gt;"")+($K$10:$K$61&lt;&gt;"")+($M$10:$M$61&lt;&gt;"")+($O$10:$O$61&lt;&gt;"")+($Q$10:$Q$61&lt;&gt;"")+($S$10:$S$61&lt;&gt;"")+($U$10:$U$61&lt;&gt;""))))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P08'!$D$16:$D$27,(INT((X25-1)/4)+1)))</f>
        <v/>
      </c>
      <c r="F25" s="7" t="str">
        <f t="array" ref="F25">IF(X25="","",INDEX('Inventory - P08'!$E$16:$E$27,(INT((X25-1)/4)+1)))</f>
        <v/>
      </c>
      <c r="G25" s="7" t="str">
        <f t="array" ref="G25">IF(X25="","",INDEX('Inventory - P08'!$I$16:$I$27,(INT((X25-1)/4)+1)))</f>
        <v/>
      </c>
      <c r="H25" s="7" t="str">
        <f t="array" ref="H25">IF(X25="","",INDEX('Inventory - P08'!$J$16:$J$27,(INT((X25-1)/4)+1)))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P08'!$B$16:$B$27,(INT((X26-1)/4)+1))&amp;IF(INDEX('Inventory - P08'!$C$16:$C$27,(INT((X26-1)/4)+1))="",""," ("&amp;INDEX('Inventory - P08'!$C$16:$C$27,(INT((X26-1)/4)+1))&amp;" mg)"))</f>
        <v/>
      </c>
      <c r="D26" s="7" t="str">
        <f t="array" ref="D26">IF(X26="","",INDEX('Inventory - P08'!$K$16:$K$27,(INT((X26-1)/4)+1))-SUMPRODUCT(($B$10:$B$61=B26)*(($I$10:$I$61&lt;&gt;"")+($K$10:$K$61&lt;&gt;"")+($M$10:$M$61&lt;&gt;"")+($O$10:$O$61&lt;&gt;"")+($Q$10:$Q$61&lt;&gt;"")+($S$10:$S$61&lt;&gt;"")+($U$10:$U$61&lt;&gt;""))))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P08'!$D$16:$D$27,(INT((X26-1)/4)+1)))</f>
        <v/>
      </c>
      <c r="F26" s="7" t="str">
        <f t="array" ref="F26">IF(X26="","",INDEX('Inventory - P08'!$E$16:$E$27,(INT((X26-1)/4)+1)))</f>
        <v/>
      </c>
      <c r="G26" s="7" t="str">
        <f t="array" ref="G26">IF(X26="","",INDEX('Inventory - P08'!$I$16:$I$27,(INT((X26-1)/4)+1)))</f>
        <v/>
      </c>
      <c r="H26" s="7" t="str">
        <f t="array" ref="H26">IF(X26="","",INDEX('Inventory - P08'!$J$16:$J$27,(INT((X26-1)/4)+1)))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P08'!$B$16:$B$27,(INT((X27-1)/4)+1))&amp;IF(INDEX('Inventory - P08'!$C$16:$C$27,(INT((X27-1)/4)+1))="",""," ("&amp;INDEX('Inventory - P08'!$C$16:$C$27,(INT((X27-1)/4)+1))&amp;" mg)"))</f>
        <v/>
      </c>
      <c r="D27" s="7" t="str">
        <f t="array" ref="D27">IF(X27="","",INDEX('Inventory - P08'!$K$16:$K$27,(INT((X27-1)/4)+1))-SUMPRODUCT(($B$10:$B$61=B27)*(($I$10:$I$61&lt;&gt;"")+($K$10:$K$61&lt;&gt;"")+($M$10:$M$61&lt;&gt;"")+($O$10:$O$61&lt;&gt;"")+($Q$10:$Q$61&lt;&gt;"")+($S$10:$S$61&lt;&gt;"")+($U$10:$U$61&lt;&gt;""))))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P08'!$D$16:$D$27,(INT((X27-1)/4)+1)))</f>
        <v/>
      </c>
      <c r="F27" s="7" t="str">
        <f t="array" ref="F27">IF(X27="","",INDEX('Inventory - P08'!$E$16:$E$27,(INT((X27-1)/4)+1)))</f>
        <v/>
      </c>
      <c r="G27" s="7" t="str">
        <f t="array" ref="G27">IF(X27="","",INDEX('Inventory - P08'!$I$16:$I$27,(INT((X27-1)/4)+1)))</f>
        <v/>
      </c>
      <c r="H27" s="7" t="str">
        <f t="array" ref="H27">IF(X27="","",INDEX('Inventory - P08'!$J$16:$J$27,(INT((X27-1)/4)+1)))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P08'!$B$16:$B$27,(INT((X28-1)/4)+1))&amp;IF(INDEX('Inventory - P08'!$C$16:$C$27,(INT((X28-1)/4)+1))="",""," ("&amp;INDEX('Inventory - P08'!$C$16:$C$27,(INT((X28-1)/4)+1))&amp;" mg)"))</f>
        <v/>
      </c>
      <c r="D28" s="7" t="str">
        <f t="array" ref="D28">IF(X28="","",INDEX('Inventory - P08'!$K$16:$K$27,(INT((X28-1)/4)+1))-SUMPRODUCT(($B$10:$B$61=B28)*(($I$10:$I$61&lt;&gt;"")+($K$10:$K$61&lt;&gt;"")+($M$10:$M$61&lt;&gt;"")+($O$10:$O$61&lt;&gt;"")+($Q$10:$Q$61&lt;&gt;"")+($S$10:$S$61&lt;&gt;"")+($U$10:$U$61&lt;&gt;""))))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P08'!$D$16:$D$27,(INT((X28-1)/4)+1)))</f>
        <v/>
      </c>
      <c r="F28" s="7" t="str">
        <f t="array" ref="F28">IF(X28="","",INDEX('Inventory - P08'!$E$16:$E$27,(INT((X28-1)/4)+1)))</f>
        <v/>
      </c>
      <c r="G28" s="7" t="str">
        <f t="array" ref="G28">IF(X28="","",INDEX('Inventory - P08'!$I$16:$I$27,(INT((X28-1)/4)+1)))</f>
        <v/>
      </c>
      <c r="H28" s="7" t="str">
        <f t="array" ref="H28">IF(X28="","",INDEX('Inventory - P08'!$J$16:$J$27,(INT((X28-1)/4)+1)))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P08'!$B$16:$B$27,(INT((X29-1)/4)+1))&amp;IF(INDEX('Inventory - P08'!$C$16:$C$27,(INT((X29-1)/4)+1))="",""," ("&amp;INDEX('Inventory - P08'!$C$16:$C$27,(INT((X29-1)/4)+1))&amp;" mg)"))</f>
        <v/>
      </c>
      <c r="D29" s="7" t="str">
        <f t="array" ref="D29">IF(X29="","",INDEX('Inventory - P08'!$K$16:$K$27,(INT((X29-1)/4)+1))-SUMPRODUCT(($B$10:$B$61=B29)*(($I$10:$I$61&lt;&gt;"")+($K$10:$K$61&lt;&gt;"")+($M$10:$M$61&lt;&gt;"")+($O$10:$O$61&lt;&gt;"")+($Q$10:$Q$61&lt;&gt;"")+($S$10:$S$61&lt;&gt;"")+($U$10:$U$61&lt;&gt;""))))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P08'!$D$16:$D$27,(INT((X29-1)/4)+1)))</f>
        <v/>
      </c>
      <c r="F29" s="7" t="str">
        <f t="array" ref="F29">IF(X29="","",INDEX('Inventory - P08'!$E$16:$E$27,(INT((X29-1)/4)+1)))</f>
        <v/>
      </c>
      <c r="G29" s="7" t="str">
        <f t="array" ref="G29">IF(X29="","",INDEX('Inventory - P08'!$I$16:$I$27,(INT((X29-1)/4)+1)))</f>
        <v/>
      </c>
      <c r="H29" s="7" t="str">
        <f t="array" ref="H29">IF(X29="","",INDEX('Inventory - P08'!$J$16:$J$27,(INT((X29-1)/4)+1)))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P08'!$B$16:$B$27,(INT((X30-1)/4)+1))&amp;IF(INDEX('Inventory - P08'!$C$16:$C$27,(INT((X30-1)/4)+1))="",""," ("&amp;INDEX('Inventory - P08'!$C$16:$C$27,(INT((X30-1)/4)+1))&amp;" mg)"))</f>
        <v/>
      </c>
      <c r="D30" s="7" t="str">
        <f t="array" ref="D30">IF(X30="","",INDEX('Inventory - P08'!$K$16:$K$27,(INT((X30-1)/4)+1))-SUMPRODUCT(($B$10:$B$61=B30)*(($I$10:$I$61&lt;&gt;"")+($K$10:$K$61&lt;&gt;"")+($M$10:$M$61&lt;&gt;"")+($O$10:$O$61&lt;&gt;"")+($Q$10:$Q$61&lt;&gt;"")+($S$10:$S$61&lt;&gt;"")+($U$10:$U$61&lt;&gt;""))))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P08'!$D$16:$D$27,(INT((X30-1)/4)+1)))</f>
        <v/>
      </c>
      <c r="F30" s="7" t="str">
        <f t="array" ref="F30">IF(X30="","",INDEX('Inventory - P08'!$E$16:$E$27,(INT((X30-1)/4)+1)))</f>
        <v/>
      </c>
      <c r="G30" s="7" t="str">
        <f t="array" ref="G30">IF(X30="","",INDEX('Inventory - P08'!$I$16:$I$27,(INT((X30-1)/4)+1)))</f>
        <v/>
      </c>
      <c r="H30" s="7" t="str">
        <f t="array" ref="H30">IF(X30="","",INDEX('Inventory - P08'!$J$16:$J$27,(INT((X30-1)/4)+1)))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P08'!$B$16:$B$27,(INT((X31-1)/4)+1))&amp;IF(INDEX('Inventory - P08'!$C$16:$C$27,(INT((X31-1)/4)+1))="",""," ("&amp;INDEX('Inventory - P08'!$C$16:$C$27,(INT((X31-1)/4)+1))&amp;" mg)"))</f>
        <v/>
      </c>
      <c r="D31" s="7" t="str">
        <f t="array" ref="D31">IF(X31="","",INDEX('Inventory - P08'!$K$16:$K$27,(INT((X31-1)/4)+1))-SUMPRODUCT(($B$10:$B$61=B31)*(($I$10:$I$61&lt;&gt;"")+($K$10:$K$61&lt;&gt;"")+($M$10:$M$61&lt;&gt;"")+($O$10:$O$61&lt;&gt;"")+($Q$10:$Q$61&lt;&gt;"")+($S$10:$S$61&lt;&gt;"")+($U$10:$U$61&lt;&gt;""))))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P08'!$D$16:$D$27,(INT((X31-1)/4)+1)))</f>
        <v/>
      </c>
      <c r="F31" s="7" t="str">
        <f t="array" ref="F31">IF(X31="","",INDEX('Inventory - P08'!$E$16:$E$27,(INT((X31-1)/4)+1)))</f>
        <v/>
      </c>
      <c r="G31" s="7" t="str">
        <f t="array" ref="G31">IF(X31="","",INDEX('Inventory - P08'!$I$16:$I$27,(INT((X31-1)/4)+1)))</f>
        <v/>
      </c>
      <c r="H31" s="7" t="str">
        <f t="array" ref="H31">IF(X31="","",INDEX('Inventory - P08'!$J$16:$J$27,(INT((X31-1)/4)+1)))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P08'!$B$16:$B$27,(INT((X32-1)/4)+1))&amp;IF(INDEX('Inventory - P08'!$C$16:$C$27,(INT((X32-1)/4)+1))="",""," ("&amp;INDEX('Inventory - P08'!$C$16:$C$27,(INT((X32-1)/4)+1))&amp;" mg)"))</f>
        <v/>
      </c>
      <c r="D32" s="7" t="str">
        <f t="array" ref="D32">IF(X32="","",INDEX('Inventory - P08'!$K$16:$K$27,(INT((X32-1)/4)+1))-SUMPRODUCT(($B$10:$B$61=B32)*(($I$10:$I$61&lt;&gt;"")+($K$10:$K$61&lt;&gt;"")+($M$10:$M$61&lt;&gt;"")+($O$10:$O$61&lt;&gt;"")+($Q$10:$Q$61&lt;&gt;"")+($S$10:$S$61&lt;&gt;"")+($U$10:$U$61&lt;&gt;""))))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P08'!$D$16:$D$27,(INT((X32-1)/4)+1)))</f>
        <v/>
      </c>
      <c r="F32" s="7" t="str">
        <f t="array" ref="F32">IF(X32="","",INDEX('Inventory - P08'!$E$16:$E$27,(INT((X32-1)/4)+1)))</f>
        <v/>
      </c>
      <c r="G32" s="7" t="str">
        <f t="array" ref="G32">IF(X32="","",INDEX('Inventory - P08'!$I$16:$I$27,(INT((X32-1)/4)+1)))</f>
        <v/>
      </c>
      <c r="H32" s="7" t="str">
        <f t="array" ref="H32">IF(X32="","",INDEX('Inventory - P08'!$J$16:$J$27,(INT((X32-1)/4)+1)))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P08'!$B$16:$B$27,(INT((X33-1)/4)+1))&amp;IF(INDEX('Inventory - P08'!$C$16:$C$27,(INT((X33-1)/4)+1))="",""," ("&amp;INDEX('Inventory - P08'!$C$16:$C$27,(INT((X33-1)/4)+1))&amp;" mg)"))</f>
        <v/>
      </c>
      <c r="D33" s="7" t="str">
        <f t="array" ref="D33">IF(X33="","",INDEX('Inventory - P08'!$K$16:$K$27,(INT((X33-1)/4)+1))-SUMPRODUCT(($B$10:$B$61=B33)*(($I$10:$I$61&lt;&gt;"")+($K$10:$K$61&lt;&gt;"")+($M$10:$M$61&lt;&gt;"")+($O$10:$O$61&lt;&gt;"")+($Q$10:$Q$61&lt;&gt;"")+($S$10:$S$61&lt;&gt;"")+($U$10:$U$61&lt;&gt;""))))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P08'!$D$16:$D$27,(INT((X33-1)/4)+1)))</f>
        <v/>
      </c>
      <c r="F33" s="7" t="str">
        <f t="array" ref="F33">IF(X33="","",INDEX('Inventory - P08'!$E$16:$E$27,(INT((X33-1)/4)+1)))</f>
        <v/>
      </c>
      <c r="G33" s="7" t="str">
        <f t="array" ref="G33">IF(X33="","",INDEX('Inventory - P08'!$I$16:$I$27,(INT((X33-1)/4)+1)))</f>
        <v/>
      </c>
      <c r="H33" s="7" t="str">
        <f t="array" ref="H33">IF(X33="","",INDEX('Inventory - P08'!$J$16:$J$27,(INT((X33-1)/4)+1)))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P08'!$B$16:$B$27,(INT((X34-1)/4)+1))&amp;IF(INDEX('Inventory - P08'!$C$16:$C$27,(INT((X34-1)/4)+1))="",""," ("&amp;INDEX('Inventory - P08'!$C$16:$C$27,(INT((X34-1)/4)+1))&amp;" mg)"))</f>
        <v/>
      </c>
      <c r="D34" s="7" t="str">
        <f t="array" ref="D34">IF(X34="","",INDEX('Inventory - P08'!$K$16:$K$27,(INT((X34-1)/4)+1))-SUMPRODUCT(($B$10:$B$61=B34)*(($I$10:$I$61&lt;&gt;"")+($K$10:$K$61&lt;&gt;"")+($M$10:$M$61&lt;&gt;"")+($O$10:$O$61&lt;&gt;"")+($Q$10:$Q$61&lt;&gt;"")+($S$10:$S$61&lt;&gt;"")+($U$10:$U$61&lt;&gt;""))))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P08'!$D$16:$D$27,(INT((X34-1)/4)+1)))</f>
        <v/>
      </c>
      <c r="F34" s="7" t="str">
        <f t="array" ref="F34">IF(X34="","",INDEX('Inventory - P08'!$E$16:$E$27,(INT((X34-1)/4)+1)))</f>
        <v/>
      </c>
      <c r="G34" s="7" t="str">
        <f t="array" ref="G34">IF(X34="","",INDEX('Inventory - P08'!$I$16:$I$27,(INT((X34-1)/4)+1)))</f>
        <v/>
      </c>
      <c r="H34" s="7" t="str">
        <f t="array" ref="H34">IF(X34="","",INDEX('Inventory - P08'!$J$16:$J$27,(INT((X34-1)/4)+1)))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P08'!$B$16:$B$27,(INT((X35-1)/4)+1))&amp;IF(INDEX('Inventory - P08'!$C$16:$C$27,(INT((X35-1)/4)+1))="",""," ("&amp;INDEX('Inventory - P08'!$C$16:$C$27,(INT((X35-1)/4)+1))&amp;" mg)"))</f>
        <v/>
      </c>
      <c r="D35" s="7" t="str">
        <f t="array" ref="D35">IF(X35="","",INDEX('Inventory - P08'!$K$16:$K$27,(INT((X35-1)/4)+1))-SUMPRODUCT(($B$10:$B$61=B35)*(($I$10:$I$61&lt;&gt;"")+($K$10:$K$61&lt;&gt;"")+($M$10:$M$61&lt;&gt;"")+($O$10:$O$61&lt;&gt;"")+($Q$10:$Q$61&lt;&gt;"")+($S$10:$S$61&lt;&gt;"")+($U$10:$U$61&lt;&gt;""))))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P08'!$D$16:$D$27,(INT((X35-1)/4)+1)))</f>
        <v/>
      </c>
      <c r="F35" s="7" t="str">
        <f t="array" ref="F35">IF(X35="","",INDEX('Inventory - P08'!$E$16:$E$27,(INT((X35-1)/4)+1)))</f>
        <v/>
      </c>
      <c r="G35" s="7" t="str">
        <f t="array" ref="G35">IF(X35="","",INDEX('Inventory - P08'!$I$16:$I$27,(INT((X35-1)/4)+1)))</f>
        <v/>
      </c>
      <c r="H35" s="7" t="str">
        <f t="array" ref="H35">IF(X35="","",INDEX('Inventory - P08'!$J$16:$J$27,(INT((X35-1)/4)+1)))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P08'!$B$16:$B$27,(INT((X37-1)/4)+1))&amp;IF(INDEX('Inventory - P08'!$C$16:$C$27,(INT((X37-1)/4)+1))="",""," ("&amp;INDEX('Inventory - P08'!$C$16:$C$27,(INT((X37-1)/4)+1))&amp;" mg)"))</f>
        <v/>
      </c>
      <c r="D37" s="7" t="str">
        <f t="array" ref="D37">IF(X37="","",INDEX('Inventory - P08'!$K$16:$K$27,(INT((X37-1)/4)+1))-SUMPRODUCT(($B$10:$B$61=B37)*(($I$10:$I$61&lt;&gt;"")+($K$10:$K$61&lt;&gt;"")+($M$10:$M$61&lt;&gt;"")+($O$10:$O$61&lt;&gt;"")+($Q$10:$Q$61&lt;&gt;"")+($S$10:$S$61&lt;&gt;"")+($U$10:$U$61&lt;&gt;""))))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P08'!$D$16:$D$27,(INT((X37-1)/4)+1)))</f>
        <v/>
      </c>
      <c r="F37" s="7" t="str">
        <f t="array" ref="F37">IF(X37="","",INDEX('Inventory - P08'!$E$16:$E$27,(INT((X37-1)/4)+1)))</f>
        <v/>
      </c>
      <c r="G37" s="7" t="str">
        <f t="array" ref="G37">IF(X37="","",INDEX('Inventory - P08'!$I$16:$I$27,(INT((X37-1)/4)+1)))</f>
        <v/>
      </c>
      <c r="H37" s="7" t="str">
        <f t="array" ref="H37">IF(X37="","",INDEX('Inventory - P08'!$J$16:$J$27,(INT((X37-1)/4)+1)))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P08'!$B$16:$B$27,(INT((X38-1)/4)+1))&amp;IF(INDEX('Inventory - P08'!$C$16:$C$27,(INT((X38-1)/4)+1))="",""," ("&amp;INDEX('Inventory - P08'!$C$16:$C$27,(INT((X38-1)/4)+1))&amp;" mg)"))</f>
        <v/>
      </c>
      <c r="D38" s="7" t="str">
        <f t="array" ref="D38">IF(X38="","",INDEX('Inventory - P08'!$K$16:$K$27,(INT((X38-1)/4)+1))-SUMPRODUCT(($B$10:$B$61=B38)*(($I$10:$I$61&lt;&gt;"")+($K$10:$K$61&lt;&gt;"")+($M$10:$M$61&lt;&gt;"")+($O$10:$O$61&lt;&gt;"")+($Q$10:$Q$61&lt;&gt;"")+($S$10:$S$61&lt;&gt;"")+($U$10:$U$61&lt;&gt;""))))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P08'!$D$16:$D$27,(INT((X38-1)/4)+1)))</f>
        <v/>
      </c>
      <c r="F38" s="7" t="str">
        <f t="array" ref="F38">IF(X38="","",INDEX('Inventory - P08'!$E$16:$E$27,(INT((X38-1)/4)+1)))</f>
        <v/>
      </c>
      <c r="G38" s="7" t="str">
        <f t="array" ref="G38">IF(X38="","",INDEX('Inventory - P08'!$I$16:$I$27,(INT((X38-1)/4)+1)))</f>
        <v/>
      </c>
      <c r="H38" s="7" t="str">
        <f t="array" ref="H38">IF(X38="","",INDEX('Inventory - P08'!$J$16:$J$27,(INT((X38-1)/4)+1)))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P08'!$B$16:$B$27,(INT((X39-1)/4)+1))&amp;IF(INDEX('Inventory - P08'!$C$16:$C$27,(INT((X39-1)/4)+1))="",""," ("&amp;INDEX('Inventory - P08'!$C$16:$C$27,(INT((X39-1)/4)+1))&amp;" mg)"))</f>
        <v/>
      </c>
      <c r="D39" s="7" t="str">
        <f t="array" ref="D39">IF(X39="","",INDEX('Inventory - P08'!$K$16:$K$27,(INT((X39-1)/4)+1))-SUMPRODUCT(($B$10:$B$61=B39)*(($I$10:$I$61&lt;&gt;"")+($K$10:$K$61&lt;&gt;"")+($M$10:$M$61&lt;&gt;"")+($O$10:$O$61&lt;&gt;"")+($Q$10:$Q$61&lt;&gt;"")+($S$10:$S$61&lt;&gt;"")+($U$10:$U$61&lt;&gt;""))))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P08'!$D$16:$D$27,(INT((X39-1)/4)+1)))</f>
        <v/>
      </c>
      <c r="F39" s="7" t="str">
        <f t="array" ref="F39">IF(X39="","",INDEX('Inventory - P08'!$E$16:$E$27,(INT((X39-1)/4)+1)))</f>
        <v/>
      </c>
      <c r="G39" s="7" t="str">
        <f t="array" ref="G39">IF(X39="","",INDEX('Inventory - P08'!$I$16:$I$27,(INT((X39-1)/4)+1)))</f>
        <v/>
      </c>
      <c r="H39" s="7" t="str">
        <f t="array" ref="H39">IF(X39="","",INDEX('Inventory - P08'!$J$16:$J$27,(INT((X39-1)/4)+1)))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P08'!$B$16:$B$27,(INT((X40-1)/4)+1))&amp;IF(INDEX('Inventory - P08'!$C$16:$C$27,(INT((X40-1)/4)+1))="",""," ("&amp;INDEX('Inventory - P08'!$C$16:$C$27,(INT((X40-1)/4)+1))&amp;" mg)"))</f>
        <v/>
      </c>
      <c r="D40" s="7" t="str">
        <f t="array" ref="D40">IF(X40="","",INDEX('Inventory - P08'!$K$16:$K$27,(INT((X40-1)/4)+1))-SUMPRODUCT(($B$10:$B$61=B40)*(($I$10:$I$61&lt;&gt;"")+($K$10:$K$61&lt;&gt;"")+($M$10:$M$61&lt;&gt;"")+($O$10:$O$61&lt;&gt;"")+($Q$10:$Q$61&lt;&gt;"")+($S$10:$S$61&lt;&gt;"")+($U$10:$U$61&lt;&gt;""))))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P08'!$D$16:$D$27,(INT((X40-1)/4)+1)))</f>
        <v/>
      </c>
      <c r="F40" s="7" t="str">
        <f t="array" ref="F40">IF(X40="","",INDEX('Inventory - P08'!$E$16:$E$27,(INT((X40-1)/4)+1)))</f>
        <v/>
      </c>
      <c r="G40" s="7" t="str">
        <f t="array" ref="G40">IF(X40="","",INDEX('Inventory - P08'!$I$16:$I$27,(INT((X40-1)/4)+1)))</f>
        <v/>
      </c>
      <c r="H40" s="7" t="str">
        <f t="array" ref="H40">IF(X40="","",INDEX('Inventory - P08'!$J$16:$J$27,(INT((X40-1)/4)+1)))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P08'!$B$16:$B$27,(INT((X41-1)/4)+1))&amp;IF(INDEX('Inventory - P08'!$C$16:$C$27,(INT((X41-1)/4)+1))="",""," ("&amp;INDEX('Inventory - P08'!$C$16:$C$27,(INT((X41-1)/4)+1))&amp;" mg)"))</f>
        <v/>
      </c>
      <c r="D41" s="7" t="str">
        <f t="array" ref="D41">IF(X41="","",INDEX('Inventory - P08'!$K$16:$K$27,(INT((X41-1)/4)+1))-SUMPRODUCT(($B$10:$B$61=B41)*(($I$10:$I$61&lt;&gt;"")+($K$10:$K$61&lt;&gt;"")+($M$10:$M$61&lt;&gt;"")+($O$10:$O$61&lt;&gt;"")+($Q$10:$Q$61&lt;&gt;"")+($S$10:$S$61&lt;&gt;"")+($U$10:$U$61&lt;&gt;""))))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P08'!$D$16:$D$27,(INT((X41-1)/4)+1)))</f>
        <v/>
      </c>
      <c r="F41" s="7" t="str">
        <f t="array" ref="F41">IF(X41="","",INDEX('Inventory - P08'!$E$16:$E$27,(INT((X41-1)/4)+1)))</f>
        <v/>
      </c>
      <c r="G41" s="7" t="str">
        <f t="array" ref="G41">IF(X41="","",INDEX('Inventory - P08'!$I$16:$I$27,(INT((X41-1)/4)+1)))</f>
        <v/>
      </c>
      <c r="H41" s="7" t="str">
        <f t="array" ref="H41">IF(X41="","",INDEX('Inventory - P08'!$J$16:$J$27,(INT((X41-1)/4)+1)))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P08'!$B$16:$B$27,(INT((X42-1)/4)+1))&amp;IF(INDEX('Inventory - P08'!$C$16:$C$27,(INT((X42-1)/4)+1))="",""," ("&amp;INDEX('Inventory - P08'!$C$16:$C$27,(INT((X42-1)/4)+1))&amp;" mg)"))</f>
        <v/>
      </c>
      <c r="D42" s="7" t="str">
        <f t="array" ref="D42">IF(X42="","",INDEX('Inventory - P08'!$K$16:$K$27,(INT((X42-1)/4)+1))-SUMPRODUCT(($B$10:$B$61=B42)*(($I$10:$I$61&lt;&gt;"")+($K$10:$K$61&lt;&gt;"")+($M$10:$M$61&lt;&gt;"")+($O$10:$O$61&lt;&gt;"")+($Q$10:$Q$61&lt;&gt;"")+($S$10:$S$61&lt;&gt;"")+($U$10:$U$61&lt;&gt;""))))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P08'!$D$16:$D$27,(INT((X42-1)/4)+1)))</f>
        <v/>
      </c>
      <c r="F42" s="7" t="str">
        <f t="array" ref="F42">IF(X42="","",INDEX('Inventory - P08'!$E$16:$E$27,(INT((X42-1)/4)+1)))</f>
        <v/>
      </c>
      <c r="G42" s="7" t="str">
        <f t="array" ref="G42">IF(X42="","",INDEX('Inventory - P08'!$I$16:$I$27,(INT((X42-1)/4)+1)))</f>
        <v/>
      </c>
      <c r="H42" s="7" t="str">
        <f t="array" ref="H42">IF(X42="","",INDEX('Inventory - P08'!$J$16:$J$27,(INT((X42-1)/4)+1)))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P08'!$B$16:$B$27,(INT((X43-1)/4)+1))&amp;IF(INDEX('Inventory - P08'!$C$16:$C$27,(INT((X43-1)/4)+1))="",""," ("&amp;INDEX('Inventory - P08'!$C$16:$C$27,(INT((X43-1)/4)+1))&amp;" mg)"))</f>
        <v/>
      </c>
      <c r="D43" s="7" t="str">
        <f t="array" ref="D43">IF(X43="","",INDEX('Inventory - P08'!$K$16:$K$27,(INT((X43-1)/4)+1))-SUMPRODUCT(($B$10:$B$61=B43)*(($I$10:$I$61&lt;&gt;"")+($K$10:$K$61&lt;&gt;"")+($M$10:$M$61&lt;&gt;"")+($O$10:$O$61&lt;&gt;"")+($Q$10:$Q$61&lt;&gt;"")+($S$10:$S$61&lt;&gt;"")+($U$10:$U$61&lt;&gt;""))))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P08'!$D$16:$D$27,(INT((X43-1)/4)+1)))</f>
        <v/>
      </c>
      <c r="F43" s="7" t="str">
        <f t="array" ref="F43">IF(X43="","",INDEX('Inventory - P08'!$E$16:$E$27,(INT((X43-1)/4)+1)))</f>
        <v/>
      </c>
      <c r="G43" s="7" t="str">
        <f t="array" ref="G43">IF(X43="","",INDEX('Inventory - P08'!$I$16:$I$27,(INT((X43-1)/4)+1)))</f>
        <v/>
      </c>
      <c r="H43" s="7" t="str">
        <f t="array" ref="H43">IF(X43="","",INDEX('Inventory - P08'!$J$16:$J$27,(INT((X43-1)/4)+1)))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P08'!$B$16:$B$27,(INT((X44-1)/4)+1))&amp;IF(INDEX('Inventory - P08'!$C$16:$C$27,(INT((X44-1)/4)+1))="",""," ("&amp;INDEX('Inventory - P08'!$C$16:$C$27,(INT((X44-1)/4)+1))&amp;" mg)"))</f>
        <v/>
      </c>
      <c r="D44" s="7" t="str">
        <f t="array" ref="D44">IF(X44="","",INDEX('Inventory - P08'!$K$16:$K$27,(INT((X44-1)/4)+1))-SUMPRODUCT(($B$10:$B$61=B44)*(($I$10:$I$61&lt;&gt;"")+($K$10:$K$61&lt;&gt;"")+($M$10:$M$61&lt;&gt;"")+($O$10:$O$61&lt;&gt;"")+($Q$10:$Q$61&lt;&gt;"")+($S$10:$S$61&lt;&gt;"")+($U$10:$U$61&lt;&gt;""))))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P08'!$D$16:$D$27,(INT((X44-1)/4)+1)))</f>
        <v/>
      </c>
      <c r="F44" s="7" t="str">
        <f t="array" ref="F44">IF(X44="","",INDEX('Inventory - P08'!$E$16:$E$27,(INT((X44-1)/4)+1)))</f>
        <v/>
      </c>
      <c r="G44" s="7" t="str">
        <f t="array" ref="G44">IF(X44="","",INDEX('Inventory - P08'!$I$16:$I$27,(INT((X44-1)/4)+1)))</f>
        <v/>
      </c>
      <c r="H44" s="7" t="str">
        <f t="array" ref="H44">IF(X44="","",INDEX('Inventory - P08'!$J$16:$J$27,(INT((X44-1)/4)+1)))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P08'!$B$16:$B$27,(INT((X45-1)/4)+1))&amp;IF(INDEX('Inventory - P08'!$C$16:$C$27,(INT((X45-1)/4)+1))="",""," ("&amp;INDEX('Inventory - P08'!$C$16:$C$27,(INT((X45-1)/4)+1))&amp;" mg)"))</f>
        <v/>
      </c>
      <c r="D45" s="7" t="str">
        <f t="array" ref="D45">IF(X45="","",INDEX('Inventory - P08'!$K$16:$K$27,(INT((X45-1)/4)+1))-SUMPRODUCT(($B$10:$B$61=B45)*(($I$10:$I$61&lt;&gt;"")+($K$10:$K$61&lt;&gt;"")+($M$10:$M$61&lt;&gt;"")+($O$10:$O$61&lt;&gt;"")+($Q$10:$Q$61&lt;&gt;"")+($S$10:$S$61&lt;&gt;"")+($U$10:$U$61&lt;&gt;""))))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P08'!$D$16:$D$27,(INT((X45-1)/4)+1)))</f>
        <v/>
      </c>
      <c r="F45" s="7" t="str">
        <f t="array" ref="F45">IF(X45="","",INDEX('Inventory - P08'!$E$16:$E$27,(INT((X45-1)/4)+1)))</f>
        <v/>
      </c>
      <c r="G45" s="7" t="str">
        <f t="array" ref="G45">IF(X45="","",INDEX('Inventory - P08'!$I$16:$I$27,(INT((X45-1)/4)+1)))</f>
        <v/>
      </c>
      <c r="H45" s="7" t="str">
        <f t="array" ref="H45">IF(X45="","",INDEX('Inventory - P08'!$J$16:$J$27,(INT((X45-1)/4)+1)))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P08'!$B$16:$B$27,(INT((X46-1)/4)+1))&amp;IF(INDEX('Inventory - P08'!$C$16:$C$27,(INT((X46-1)/4)+1))="",""," ("&amp;INDEX('Inventory - P08'!$C$16:$C$27,(INT((X46-1)/4)+1))&amp;" mg)"))</f>
        <v/>
      </c>
      <c r="D46" s="7" t="str">
        <f t="array" ref="D46">IF(X46="","",INDEX('Inventory - P08'!$K$16:$K$27,(INT((X46-1)/4)+1))-SUMPRODUCT(($B$10:$B$61=B46)*(($I$10:$I$61&lt;&gt;"")+($K$10:$K$61&lt;&gt;"")+($M$10:$M$61&lt;&gt;"")+($O$10:$O$61&lt;&gt;"")+($Q$10:$Q$61&lt;&gt;"")+($S$10:$S$61&lt;&gt;"")+($U$10:$U$61&lt;&gt;""))))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P08'!$D$16:$D$27,(INT((X46-1)/4)+1)))</f>
        <v/>
      </c>
      <c r="F46" s="7" t="str">
        <f t="array" ref="F46">IF(X46="","",INDEX('Inventory - P08'!$E$16:$E$27,(INT((X46-1)/4)+1)))</f>
        <v/>
      </c>
      <c r="G46" s="7" t="str">
        <f t="array" ref="G46">IF(X46="","",INDEX('Inventory - P08'!$I$16:$I$27,(INT((X46-1)/4)+1)))</f>
        <v/>
      </c>
      <c r="H46" s="7" t="str">
        <f t="array" ref="H46">IF(X46="","",INDEX('Inventory - P08'!$J$16:$J$27,(INT((X46-1)/4)+1)))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P08'!$B$16:$B$27,(INT((X47-1)/4)+1))&amp;IF(INDEX('Inventory - P08'!$C$16:$C$27,(INT((X47-1)/4)+1))="",""," ("&amp;INDEX('Inventory - P08'!$C$16:$C$27,(INT((X47-1)/4)+1))&amp;" mg)"))</f>
        <v/>
      </c>
      <c r="D47" s="7" t="str">
        <f t="array" ref="D47">IF(X47="","",INDEX('Inventory - P08'!$K$16:$K$27,(INT((X47-1)/4)+1))-SUMPRODUCT(($B$10:$B$61=B47)*(($I$10:$I$61&lt;&gt;"")+($K$10:$K$61&lt;&gt;"")+($M$10:$M$61&lt;&gt;"")+($O$10:$O$61&lt;&gt;"")+($Q$10:$Q$61&lt;&gt;"")+($S$10:$S$61&lt;&gt;"")+($U$10:$U$61&lt;&gt;""))))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P08'!$D$16:$D$27,(INT((X47-1)/4)+1)))</f>
        <v/>
      </c>
      <c r="F47" s="7" t="str">
        <f t="array" ref="F47">IF(X47="","",INDEX('Inventory - P08'!$E$16:$E$27,(INT((X47-1)/4)+1)))</f>
        <v/>
      </c>
      <c r="G47" s="7" t="str">
        <f t="array" ref="G47">IF(X47="","",INDEX('Inventory - P08'!$I$16:$I$27,(INT((X47-1)/4)+1)))</f>
        <v/>
      </c>
      <c r="H47" s="7" t="str">
        <f t="array" ref="H47">IF(X47="","",INDEX('Inventory - P08'!$J$16:$J$27,(INT((X47-1)/4)+1)))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P08'!$B$16:$B$27,(INT((X48-1)/4)+1))&amp;IF(INDEX('Inventory - P08'!$C$16:$C$27,(INT((X48-1)/4)+1))="",""," ("&amp;INDEX('Inventory - P08'!$C$16:$C$27,(INT((X48-1)/4)+1))&amp;" mg)"))</f>
        <v/>
      </c>
      <c r="D48" s="7" t="str">
        <f t="array" ref="D48">IF(X48="","",INDEX('Inventory - P08'!$K$16:$K$27,(INT((X48-1)/4)+1))-SUMPRODUCT(($B$10:$B$61=B48)*(($I$10:$I$61&lt;&gt;"")+($K$10:$K$61&lt;&gt;"")+($M$10:$M$61&lt;&gt;"")+($O$10:$O$61&lt;&gt;"")+($Q$10:$Q$61&lt;&gt;"")+($S$10:$S$61&lt;&gt;"")+($U$10:$U$61&lt;&gt;""))))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P08'!$D$16:$D$27,(INT((X48-1)/4)+1)))</f>
        <v/>
      </c>
      <c r="F48" s="7" t="str">
        <f t="array" ref="F48">IF(X48="","",INDEX('Inventory - P08'!$E$16:$E$27,(INT((X48-1)/4)+1)))</f>
        <v/>
      </c>
      <c r="G48" s="7" t="str">
        <f t="array" ref="G48">IF(X48="","",INDEX('Inventory - P08'!$I$16:$I$27,(INT((X48-1)/4)+1)))</f>
        <v/>
      </c>
      <c r="H48" s="7" t="str">
        <f t="array" ref="H48">IF(X48="","",INDEX('Inventory - P08'!$J$16:$J$27,(INT((X48-1)/4)+1)))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P08'!$B$16:$B$27,(INT((X50-1)/4)+1))&amp;IF(INDEX('Inventory - P08'!$C$16:$C$27,(INT((X50-1)/4)+1))="",""," ("&amp;INDEX('Inventory - P08'!$C$16:$C$27,(INT((X50-1)/4)+1))&amp;" mg)"))</f>
        <v/>
      </c>
      <c r="D50" s="7" t="str">
        <f t="array" ref="D50">IF(X50="","",INDEX('Inventory - P08'!$K$16:$K$27,(INT((X50-1)/4)+1))-SUMPRODUCT(($B$10:$B$61=B50)*(($I$10:$I$61&lt;&gt;"")+($K$10:$K$61&lt;&gt;"")+($M$10:$M$61&lt;&gt;"")+($O$10:$O$61&lt;&gt;"")+($Q$10:$Q$61&lt;&gt;"")+($S$10:$S$61&lt;&gt;"")+($U$10:$U$61&lt;&gt;""))))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P08'!$D$16:$D$27,(INT((X50-1)/4)+1)))</f>
        <v/>
      </c>
      <c r="F50" s="7" t="str">
        <f t="array" ref="F50">IF(X50="","",INDEX('Inventory - P08'!$E$16:$E$27,(INT((X50-1)/4)+1)))</f>
        <v/>
      </c>
      <c r="G50" s="7" t="str">
        <f t="array" ref="G50">IF(X50="","",INDEX('Inventory - P08'!$I$16:$I$27,(INT((X50-1)/4)+1)))</f>
        <v/>
      </c>
      <c r="H50" s="7" t="str">
        <f t="array" ref="H50">IF(X50="","",INDEX('Inventory - P08'!$J$16:$J$27,(INT((X50-1)/4)+1)))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P08'!$B$16:$B$27,(INT((X51-1)/4)+1))&amp;IF(INDEX('Inventory - P08'!$C$16:$C$27,(INT((X51-1)/4)+1))="",""," ("&amp;INDEX('Inventory - P08'!$C$16:$C$27,(INT((X51-1)/4)+1))&amp;" mg)"))</f>
        <v/>
      </c>
      <c r="D51" s="7" t="str">
        <f t="array" ref="D51">IF(X51="","",INDEX('Inventory - P08'!$K$16:$K$27,(INT((X51-1)/4)+1))-SUMPRODUCT(($B$10:$B$61=B51)*(($I$10:$I$61&lt;&gt;"")+($K$10:$K$61&lt;&gt;"")+($M$10:$M$61&lt;&gt;"")+($O$10:$O$61&lt;&gt;"")+($Q$10:$Q$61&lt;&gt;"")+($S$10:$S$61&lt;&gt;"")+($U$10:$U$61&lt;&gt;""))))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P08'!$D$16:$D$27,(INT((X51-1)/4)+1)))</f>
        <v/>
      </c>
      <c r="F51" s="7" t="str">
        <f t="array" ref="F51">IF(X51="","",INDEX('Inventory - P08'!$E$16:$E$27,(INT((X51-1)/4)+1)))</f>
        <v/>
      </c>
      <c r="G51" s="7" t="str">
        <f t="array" ref="G51">IF(X51="","",INDEX('Inventory - P08'!$I$16:$I$27,(INT((X51-1)/4)+1)))</f>
        <v/>
      </c>
      <c r="H51" s="7" t="str">
        <f t="array" ref="H51">IF(X51="","",INDEX('Inventory - P08'!$J$16:$J$27,(INT((X51-1)/4)+1)))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P08'!$B$16:$B$27,(INT((X52-1)/4)+1))&amp;IF(INDEX('Inventory - P08'!$C$16:$C$27,(INT((X52-1)/4)+1))="",""," ("&amp;INDEX('Inventory - P08'!$C$16:$C$27,(INT((X52-1)/4)+1))&amp;" mg)"))</f>
        <v/>
      </c>
      <c r="D52" s="7" t="str">
        <f t="array" ref="D52">IF(X52="","",INDEX('Inventory - P08'!$K$16:$K$27,(INT((X52-1)/4)+1))-SUMPRODUCT(($B$10:$B$61=B52)*(($I$10:$I$61&lt;&gt;"")+($K$10:$K$61&lt;&gt;"")+($M$10:$M$61&lt;&gt;"")+($O$10:$O$61&lt;&gt;"")+($Q$10:$Q$61&lt;&gt;"")+($S$10:$S$61&lt;&gt;"")+($U$10:$U$61&lt;&gt;""))))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P08'!$D$16:$D$27,(INT((X52-1)/4)+1)))</f>
        <v/>
      </c>
      <c r="F52" s="7" t="str">
        <f t="array" ref="F52">IF(X52="","",INDEX('Inventory - P08'!$E$16:$E$27,(INT((X52-1)/4)+1)))</f>
        <v/>
      </c>
      <c r="G52" s="7" t="str">
        <f t="array" ref="G52">IF(X52="","",INDEX('Inventory - P08'!$I$16:$I$27,(INT((X52-1)/4)+1)))</f>
        <v/>
      </c>
      <c r="H52" s="7" t="str">
        <f t="array" ref="H52">IF(X52="","",INDEX('Inventory - P08'!$J$16:$J$27,(INT((X52-1)/4)+1)))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P08'!$B$16:$B$27,(INT((X53-1)/4)+1))&amp;IF(INDEX('Inventory - P08'!$C$16:$C$27,(INT((X53-1)/4)+1))="",""," ("&amp;INDEX('Inventory - P08'!$C$16:$C$27,(INT((X53-1)/4)+1))&amp;" mg)"))</f>
        <v/>
      </c>
      <c r="D53" s="7" t="str">
        <f t="array" ref="D53">IF(X53="","",INDEX('Inventory - P08'!$K$16:$K$27,(INT((X53-1)/4)+1))-SUMPRODUCT(($B$10:$B$61=B53)*(($I$10:$I$61&lt;&gt;"")+($K$10:$K$61&lt;&gt;"")+($M$10:$M$61&lt;&gt;"")+($O$10:$O$61&lt;&gt;"")+($Q$10:$Q$61&lt;&gt;"")+($S$10:$S$61&lt;&gt;"")+($U$10:$U$61&lt;&gt;""))))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P08'!$D$16:$D$27,(INT((X53-1)/4)+1)))</f>
        <v/>
      </c>
      <c r="F53" s="7" t="str">
        <f t="array" ref="F53">IF(X53="","",INDEX('Inventory - P08'!$E$16:$E$27,(INT((X53-1)/4)+1)))</f>
        <v/>
      </c>
      <c r="G53" s="7" t="str">
        <f t="array" ref="G53">IF(X53="","",INDEX('Inventory - P08'!$I$16:$I$27,(INT((X53-1)/4)+1)))</f>
        <v/>
      </c>
      <c r="H53" s="7" t="str">
        <f t="array" ref="H53">IF(X53="","",INDEX('Inventory - P08'!$J$16:$J$27,(INT((X53-1)/4)+1)))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P08'!$B$16:$B$27,(INT((X54-1)/4)+1))&amp;IF(INDEX('Inventory - P08'!$C$16:$C$27,(INT((X54-1)/4)+1))="",""," ("&amp;INDEX('Inventory - P08'!$C$16:$C$27,(INT((X54-1)/4)+1))&amp;" mg)"))</f>
        <v/>
      </c>
      <c r="D54" s="7" t="str">
        <f t="array" ref="D54">IF(X54="","",INDEX('Inventory - P08'!$K$16:$K$27,(INT((X54-1)/4)+1))-SUMPRODUCT(($B$10:$B$61=B54)*(($I$10:$I$61&lt;&gt;"")+($K$10:$K$61&lt;&gt;"")+($M$10:$M$61&lt;&gt;"")+($O$10:$O$61&lt;&gt;"")+($Q$10:$Q$61&lt;&gt;"")+($S$10:$S$61&lt;&gt;"")+($U$10:$U$61&lt;&gt;""))))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P08'!$D$16:$D$27,(INT((X54-1)/4)+1)))</f>
        <v/>
      </c>
      <c r="F54" s="7" t="str">
        <f t="array" ref="F54">IF(X54="","",INDEX('Inventory - P08'!$E$16:$E$27,(INT((X54-1)/4)+1)))</f>
        <v/>
      </c>
      <c r="G54" s="7" t="str">
        <f t="array" ref="G54">IF(X54="","",INDEX('Inventory - P08'!$I$16:$I$27,(INT((X54-1)/4)+1)))</f>
        <v/>
      </c>
      <c r="H54" s="7" t="str">
        <f t="array" ref="H54">IF(X54="","",INDEX('Inventory - P08'!$J$16:$J$27,(INT((X54-1)/4)+1)))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P08'!$B$16:$B$27,(INT((X55-1)/4)+1))&amp;IF(INDEX('Inventory - P08'!$C$16:$C$27,(INT((X55-1)/4)+1))="",""," ("&amp;INDEX('Inventory - P08'!$C$16:$C$27,(INT((X55-1)/4)+1))&amp;" mg)"))</f>
        <v/>
      </c>
      <c r="D55" s="7" t="str">
        <f t="array" ref="D55">IF(X55="","",INDEX('Inventory - P08'!$K$16:$K$27,(INT((X55-1)/4)+1))-SUMPRODUCT(($B$10:$B$61=B55)*(($I$10:$I$61&lt;&gt;"")+($K$10:$K$61&lt;&gt;"")+($M$10:$M$61&lt;&gt;"")+($O$10:$O$61&lt;&gt;"")+($Q$10:$Q$61&lt;&gt;"")+($S$10:$S$61&lt;&gt;"")+($U$10:$U$61&lt;&gt;""))))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P08'!$D$16:$D$27,(INT((X55-1)/4)+1)))</f>
        <v/>
      </c>
      <c r="F55" s="7" t="str">
        <f t="array" ref="F55">IF(X55="","",INDEX('Inventory - P08'!$E$16:$E$27,(INT((X55-1)/4)+1)))</f>
        <v/>
      </c>
      <c r="G55" s="7" t="str">
        <f t="array" ref="G55">IF(X55="","",INDEX('Inventory - P08'!$I$16:$I$27,(INT((X55-1)/4)+1)))</f>
        <v/>
      </c>
      <c r="H55" s="7" t="str">
        <f t="array" ref="H55">IF(X55="","",INDEX('Inventory - P08'!$J$16:$J$27,(INT((X55-1)/4)+1)))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P08'!$B$16:$B$27,(INT((X56-1)/4)+1))&amp;IF(INDEX('Inventory - P08'!$C$16:$C$27,(INT((X56-1)/4)+1))="",""," ("&amp;INDEX('Inventory - P08'!$C$16:$C$27,(INT((X56-1)/4)+1))&amp;" mg)"))</f>
        <v/>
      </c>
      <c r="D56" s="7" t="str">
        <f t="array" ref="D56">IF(X56="","",INDEX('Inventory - P08'!$K$16:$K$27,(INT((X56-1)/4)+1))-SUMPRODUCT(($B$10:$B$61=B56)*(($I$10:$I$61&lt;&gt;"")+($K$10:$K$61&lt;&gt;"")+($M$10:$M$61&lt;&gt;"")+($O$10:$O$61&lt;&gt;"")+($Q$10:$Q$61&lt;&gt;"")+($S$10:$S$61&lt;&gt;"")+($U$10:$U$61&lt;&gt;""))))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P08'!$D$16:$D$27,(INT((X56-1)/4)+1)))</f>
        <v/>
      </c>
      <c r="F56" s="7" t="str">
        <f t="array" ref="F56">IF(X56="","",INDEX('Inventory - P08'!$E$16:$E$27,(INT((X56-1)/4)+1)))</f>
        <v/>
      </c>
      <c r="G56" s="7" t="str">
        <f t="array" ref="G56">IF(X56="","",INDEX('Inventory - P08'!$I$16:$I$27,(INT((X56-1)/4)+1)))</f>
        <v/>
      </c>
      <c r="H56" s="7" t="str">
        <f t="array" ref="H56">IF(X56="","",INDEX('Inventory - P08'!$J$16:$J$27,(INT((X56-1)/4)+1)))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P08'!$B$16:$B$27,(INT((X57-1)/4)+1))&amp;IF(INDEX('Inventory - P08'!$C$16:$C$27,(INT((X57-1)/4)+1))="",""," ("&amp;INDEX('Inventory - P08'!$C$16:$C$27,(INT((X57-1)/4)+1))&amp;" mg)"))</f>
        <v/>
      </c>
      <c r="D57" s="7" t="str">
        <f t="array" ref="D57">IF(X57="","",INDEX('Inventory - P08'!$K$16:$K$27,(INT((X57-1)/4)+1))-SUMPRODUCT(($B$10:$B$61=B57)*(($I$10:$I$61&lt;&gt;"")+($K$10:$K$61&lt;&gt;"")+($M$10:$M$61&lt;&gt;"")+($O$10:$O$61&lt;&gt;"")+($Q$10:$Q$61&lt;&gt;"")+($S$10:$S$61&lt;&gt;"")+($U$10:$U$61&lt;&gt;""))))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P08'!$D$16:$D$27,(INT((X57-1)/4)+1)))</f>
        <v/>
      </c>
      <c r="F57" s="7" t="str">
        <f t="array" ref="F57">IF(X57="","",INDEX('Inventory - P08'!$E$16:$E$27,(INT((X57-1)/4)+1)))</f>
        <v/>
      </c>
      <c r="G57" s="7" t="str">
        <f t="array" ref="G57">IF(X57="","",INDEX('Inventory - P08'!$I$16:$I$27,(INT((X57-1)/4)+1)))</f>
        <v/>
      </c>
      <c r="H57" s="7" t="str">
        <f t="array" ref="H57">IF(X57="","",INDEX('Inventory - P08'!$J$16:$J$27,(INT((X57-1)/4)+1)))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P08'!$B$16:$B$27,(INT((X58-1)/4)+1))&amp;IF(INDEX('Inventory - P08'!$C$16:$C$27,(INT((X58-1)/4)+1))="",""," ("&amp;INDEX('Inventory - P08'!$C$16:$C$27,(INT((X58-1)/4)+1))&amp;" mg)"))</f>
        <v/>
      </c>
      <c r="D58" s="7" t="str">
        <f t="array" ref="D58">IF(X58="","",INDEX('Inventory - P08'!$K$16:$K$27,(INT((X58-1)/4)+1))-SUMPRODUCT(($B$10:$B$61=B58)*(($I$10:$I$61&lt;&gt;"")+($K$10:$K$61&lt;&gt;"")+($M$10:$M$61&lt;&gt;"")+($O$10:$O$61&lt;&gt;"")+($Q$10:$Q$61&lt;&gt;"")+($S$10:$S$61&lt;&gt;"")+($U$10:$U$61&lt;&gt;""))))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P08'!$D$16:$D$27,(INT((X58-1)/4)+1)))</f>
        <v/>
      </c>
      <c r="F58" s="7" t="str">
        <f t="array" ref="F58">IF(X58="","",INDEX('Inventory - P08'!$E$16:$E$27,(INT((X58-1)/4)+1)))</f>
        <v/>
      </c>
      <c r="G58" s="7" t="str">
        <f t="array" ref="G58">IF(X58="","",INDEX('Inventory - P08'!$I$16:$I$27,(INT((X58-1)/4)+1)))</f>
        <v/>
      </c>
      <c r="H58" s="7" t="str">
        <f t="array" ref="H58">IF(X58="","",INDEX('Inventory - P08'!$J$16:$J$27,(INT((X58-1)/4)+1)))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P08'!$B$16:$B$27,(INT((X59-1)/4)+1))&amp;IF(INDEX('Inventory - P08'!$C$16:$C$27,(INT((X59-1)/4)+1))="",""," ("&amp;INDEX('Inventory - P08'!$C$16:$C$27,(INT((X59-1)/4)+1))&amp;" mg)"))</f>
        <v/>
      </c>
      <c r="D59" s="7" t="str">
        <f t="array" ref="D59">IF(X59="","",INDEX('Inventory - P08'!$K$16:$K$27,(INT((X59-1)/4)+1))-SUMPRODUCT(($B$10:$B$61=B59)*(($I$10:$I$61&lt;&gt;"")+($K$10:$K$61&lt;&gt;"")+($M$10:$M$61&lt;&gt;"")+($O$10:$O$61&lt;&gt;"")+($Q$10:$Q$61&lt;&gt;"")+($S$10:$S$61&lt;&gt;"")+($U$10:$U$61&lt;&gt;""))))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P08'!$D$16:$D$27,(INT((X59-1)/4)+1)))</f>
        <v/>
      </c>
      <c r="F59" s="7" t="str">
        <f t="array" ref="F59">IF(X59="","",INDEX('Inventory - P08'!$E$16:$E$27,(INT((X59-1)/4)+1)))</f>
        <v/>
      </c>
      <c r="G59" s="7" t="str">
        <f t="array" ref="G59">IF(X59="","",INDEX('Inventory - P08'!$I$16:$I$27,(INT((X59-1)/4)+1)))</f>
        <v/>
      </c>
      <c r="H59" s="7" t="str">
        <f t="array" ref="H59">IF(X59="","",INDEX('Inventory - P08'!$J$16:$J$27,(INT((X59-1)/4)+1)))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P08'!$B$16:$B$27,(INT((X60-1)/4)+1))&amp;IF(INDEX('Inventory - P08'!$C$16:$C$27,(INT((X60-1)/4)+1))="",""," ("&amp;INDEX('Inventory - P08'!$C$16:$C$27,(INT((X60-1)/4)+1))&amp;" mg)"))</f>
        <v/>
      </c>
      <c r="D60" s="7" t="str">
        <f t="array" ref="D60">IF(X60="","",INDEX('Inventory - P08'!$K$16:$K$27,(INT((X60-1)/4)+1))-SUMPRODUCT(($B$10:$B$61=B60)*(($I$10:$I$61&lt;&gt;"")+($K$10:$K$61&lt;&gt;"")+($M$10:$M$61&lt;&gt;"")+($O$10:$O$61&lt;&gt;"")+($Q$10:$Q$61&lt;&gt;"")+($S$10:$S$61&lt;&gt;"")+($U$10:$U$61&lt;&gt;""))))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P08'!$D$16:$D$27,(INT((X60-1)/4)+1)))</f>
        <v/>
      </c>
      <c r="F60" s="7" t="str">
        <f t="array" ref="F60">IF(X60="","",INDEX('Inventory - P08'!$E$16:$E$27,(INT((X60-1)/4)+1)))</f>
        <v/>
      </c>
      <c r="G60" s="7" t="str">
        <f t="array" ref="G60">IF(X60="","",INDEX('Inventory - P08'!$I$16:$I$27,(INT((X60-1)/4)+1)))</f>
        <v/>
      </c>
      <c r="H60" s="7" t="str">
        <f t="array" ref="H60">IF(X60="","",INDEX('Inventory - P08'!$J$16:$J$27,(INT((X60-1)/4)+1)))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P08'!$B$16:$B$27,(INT((X61-1)/4)+1))&amp;IF(INDEX('Inventory - P08'!$C$16:$C$27,(INT((X61-1)/4)+1))="",""," ("&amp;INDEX('Inventory - P08'!$C$16:$C$27,(INT((X61-1)/4)+1))&amp;" mg)"))</f>
        <v/>
      </c>
      <c r="D61" s="7" t="str">
        <f t="array" ref="D61">IF(X61="","",INDEX('Inventory - P08'!$K$16:$K$27,(INT((X61-1)/4)+1))-SUMPRODUCT(($B$10:$B$61=B61)*(($I$10:$I$61&lt;&gt;"")+($K$10:$K$61&lt;&gt;"")+($M$10:$M$61&lt;&gt;"")+($O$10:$O$61&lt;&gt;"")+($Q$10:$Q$61&lt;&gt;"")+($S$10:$S$61&lt;&gt;"")+($U$10:$U$61&lt;&gt;""))))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P08'!$D$16:$D$27,(INT((X61-1)/4)+1)))</f>
        <v/>
      </c>
      <c r="F61" s="7" t="str">
        <f t="array" ref="F61">IF(X61="","",INDEX('Inventory - P08'!$E$16:$E$27,(INT((X61-1)/4)+1)))</f>
        <v/>
      </c>
      <c r="G61" s="7" t="str">
        <f t="array" ref="G61">IF(X61="","",INDEX('Inventory - P08'!$I$16:$I$27,(INT((X61-1)/4)+1)))</f>
        <v/>
      </c>
      <c r="H61" s="7" t="str">
        <f t="array" ref="H61">IF(X61="","",INDEX('Inventory - P08'!$J$16:$J$27,(INT((X61-1)/4)+1)))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P08'!E16&lt;1,'Inventory - P08'!F16="",'Inventory - P08'!G16=""),9,MOD('Inventory - P08'!F16+0*'Inventory - P08'!G16/24,1))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P08'!E16&lt;2,'Inventory - P08'!F16="",'Inventory - P08'!G16=""),9,MOD('Inventory - P08'!F16+1*'Inventory - P08'!G16/24,1))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P08'!E16&lt;3,'Inventory - P08'!F16="",'Inventory - P08'!G16=""),9,MOD('Inventory - P08'!F16+2*'Inventory - P08'!G16/24,1))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P08'!E16&lt;4,'Inventory - P08'!F16="",'Inventory - P08'!G16=""),9,MOD('Inventory - P08'!F16+3*'Inventory - P08'!G16/24,1))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P08'!E17&lt;1,'Inventory - P08'!F17="",'Inventory - P08'!G17=""),9,MOD('Inventory - P08'!F17+0*'Inventory - P08'!G17/24,1))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P08'!E17&lt;2,'Inventory - P08'!F17="",'Inventory - P08'!G17=""),9,MOD('Inventory - P08'!F17+1*'Inventory - P08'!G17/24,1))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P08'!E17&lt;3,'Inventory - P08'!F17="",'Inventory - P08'!G17=""),9,MOD('Inventory - P08'!F17+2*'Inventory - P08'!G17/24,1))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P08'!E17&lt;4,'Inventory - P08'!F17="",'Inventory - P08'!G17=""),9,MOD('Inventory - P08'!F17+3*'Inventory - P08'!G17/24,1))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P08'!E18&lt;1,'Inventory - P08'!F18="",'Inventory - P08'!G18=""),9,MOD('Inventory - P08'!F18+0*'Inventory - P08'!G18/24,1))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P08'!E18&lt;2,'Inventory - P08'!F18="",'Inventory - P08'!G18=""),9,MOD('Inventory - P08'!F18+1*'Inventory - P08'!G18/24,1))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P08'!E18&lt;3,'Inventory - P08'!F18="",'Inventory - P08'!G18=""),9,MOD('Inventory - P08'!F18+2*'Inventory - P08'!G18/24,1))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P08'!E18&lt;4,'Inventory - P08'!F18="",'Inventory - P08'!G18=""),9,MOD('Inventory - P08'!F18+3*'Inventory - P08'!G18/24,1))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P08'!E19&lt;1,'Inventory - P08'!F19="",'Inventory - P08'!G19=""),9,MOD('Inventory - P08'!F19+0*'Inventory - P08'!G19/24,1))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P08'!E19&lt;2,'Inventory - P08'!F19="",'Inventory - P08'!G19=""),9,MOD('Inventory - P08'!F19+1*'Inventory - P08'!G19/24,1))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P08'!E19&lt;3,'Inventory - P08'!F19="",'Inventory - P08'!G19=""),9,MOD('Inventory - P08'!F19+2*'Inventory - P08'!G19/24,1))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P08'!E19&lt;4,'Inventory - P08'!F19="",'Inventory - P08'!G19=""),9,MOD('Inventory - P08'!F19+3*'Inventory - P08'!G19/24,1))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P08'!E20&lt;1,'Inventory - P08'!F20="",'Inventory - P08'!G20=""),9,MOD('Inventory - P08'!F20+0*'Inventory - P08'!G20/24,1))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P08'!E20&lt;2,'Inventory - P08'!F20="",'Inventory - P08'!G20=""),9,MOD('Inventory - P08'!F20+1*'Inventory - P08'!G20/24,1))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P08'!E20&lt;3,'Inventory - P08'!F20="",'Inventory - P08'!G20=""),9,MOD('Inventory - P08'!F20+2*'Inventory - P08'!G20/24,1))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P08'!E20&lt;4,'Inventory - P08'!F20="",'Inventory - P08'!G20=""),9,MOD('Inventory - P08'!F20+3*'Inventory - P08'!G20/24,1))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P08'!E21&lt;1,'Inventory - P08'!F21="",'Inventory - P08'!G21=""),9,MOD('Inventory - P08'!F21+0*'Inventory - P08'!G21/24,1))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P08'!E21&lt;2,'Inventory - P08'!F21="",'Inventory - P08'!G21=""),9,MOD('Inventory - P08'!F21+1*'Inventory - P08'!G21/24,1))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P08'!E21&lt;3,'Inventory - P08'!F21="",'Inventory - P08'!G21=""),9,MOD('Inventory - P08'!F21+2*'Inventory - P08'!G21/24,1))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P08'!E21&lt;4,'Inventory - P08'!F21="",'Inventory - P08'!G21=""),9,MOD('Inventory - P08'!F21+3*'Inventory - P08'!G21/24,1))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P08'!E22&lt;1,'Inventory - P08'!F22="",'Inventory - P08'!G22=""),9,MOD('Inventory - P08'!F22+0*'Inventory - P08'!G22/24,1))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P08'!E22&lt;2,'Inventory - P08'!F22="",'Inventory - P08'!G22=""),9,MOD('Inventory - P08'!F22+1*'Inventory - P08'!G22/24,1))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P08'!E22&lt;3,'Inventory - P08'!F22="",'Inventory - P08'!G22=""),9,MOD('Inventory - P08'!F22+2*'Inventory - P08'!G22/24,1))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P08'!E22&lt;4,'Inventory - P08'!F22="",'Inventory - P08'!G22=""),9,MOD('Inventory - P08'!F22+3*'Inventory - P08'!G22/24,1))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P08'!E23&lt;1,'Inventory - P08'!F23="",'Inventory - P08'!G23=""),9,MOD('Inventory - P08'!F23+0*'Inventory - P08'!G23/24,1))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P08'!E23&lt;2,'Inventory - P08'!F23="",'Inventory - P08'!G23=""),9,MOD('Inventory - P08'!F23+1*'Inventory - P08'!G23/24,1))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P08'!E23&lt;3,'Inventory - P08'!F23="",'Inventory - P08'!G23=""),9,MOD('Inventory - P08'!F23+2*'Inventory - P08'!G23/24,1))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P08'!E23&lt;4,'Inventory - P08'!F23="",'Inventory - P08'!G23=""),9,MOD('Inventory - P08'!F23+3*'Inventory - P08'!G23/24,1))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P08'!E24&lt;1,'Inventory - P08'!F24="",'Inventory - P08'!G24=""),9,MOD('Inventory - P08'!F24+0*'Inventory - P08'!G24/24,1))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P08'!E24&lt;2,'Inventory - P08'!F24="",'Inventory - P08'!G24=""),9,MOD('Inventory - P08'!F24+1*'Inventory - P08'!G24/24,1))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P08'!E24&lt;3,'Inventory - P08'!F24="",'Inventory - P08'!G24=""),9,MOD('Inventory - P08'!F24+2*'Inventory - P08'!G24/24,1))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P08'!E24&lt;4,'Inventory - P08'!F24="",'Inventory - P08'!G24=""),9,MOD('Inventory - P08'!F24+3*'Inventory - P08'!G24/24,1))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P08'!E25&lt;1,'Inventory - P08'!F25="",'Inventory - P08'!G25=""),9,MOD('Inventory - P08'!F25+0*'Inventory - P08'!G25/24,1))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P08'!E25&lt;2,'Inventory - P08'!F25="",'Inventory - P08'!G25=""),9,MOD('Inventory - P08'!F25+1*'Inventory - P08'!G25/24,1))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P08'!E25&lt;3,'Inventory - P08'!F25="",'Inventory - P08'!G25=""),9,MOD('Inventory - P08'!F25+2*'Inventory - P08'!G25/24,1))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P08'!E25&lt;4,'Inventory - P08'!F25="",'Inventory - P08'!G25=""),9,MOD('Inventory - P08'!F25+3*'Inventory - P08'!G25/24,1))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P08'!E26&lt;1,'Inventory - P08'!F26="",'Inventory - P08'!G26=""),9,MOD('Inventory - P08'!F26+0*'Inventory - P08'!G26/24,1))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P08'!E26&lt;2,'Inventory - P08'!F26="",'Inventory - P08'!G26=""),9,MOD('Inventory - P08'!F26+1*'Inventory - P08'!G26/24,1))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P08'!E26&lt;3,'Inventory - P08'!F26="",'Inventory - P08'!G26=""),9,MOD('Inventory - P08'!F26+2*'Inventory - P08'!G26/24,1))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P08'!E26&lt;4,'Inventory - P08'!F26="",'Inventory - P08'!G26=""),9,MOD('Inventory - P08'!F26+3*'Inventory - P08'!G26/24,1))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P08'!E27&lt;1,'Inventory - P08'!F27="",'Inventory - P08'!G27=""),9,MOD('Inventory - P08'!F27+0*'Inventory - P08'!G27/24,1))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P08'!E27&lt;2,'Inventory - P08'!F27="",'Inventory - P08'!G27=""),9,MOD('Inventory - P08'!F27+1*'Inventory - P08'!G27/24,1))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P08'!E27&lt;3,'Inventory - P08'!F27="",'Inventory - P08'!G27=""),9,MOD('Inventory - P08'!F27+2*'Inventory - P08'!G27/24,1))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P08'!E27&lt;4,'Inventory - P08'!F27="",'Inventory - P08'!G27=""),9,MOD('Inventory - P08'!F27+3*'Inventory - P08'!G27/24,1))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509" priority="1">
      <formula>$W11&gt;=9</formula>
    </cfRule>
  </conditionalFormatting>
  <conditionalFormatting sqref="A12:V12">
    <cfRule type="expression" dxfId="508" priority="2">
      <formula>$W12&gt;=9</formula>
    </cfRule>
  </conditionalFormatting>
  <conditionalFormatting sqref="A13:V13">
    <cfRule type="expression" dxfId="507" priority="3">
      <formula>$W13&gt;=9</formula>
    </cfRule>
  </conditionalFormatting>
  <conditionalFormatting sqref="A14:V14">
    <cfRule type="expression" dxfId="506" priority="4">
      <formula>$W14&gt;=9</formula>
    </cfRule>
  </conditionalFormatting>
  <conditionalFormatting sqref="A15:V15">
    <cfRule type="expression" dxfId="505" priority="5">
      <formula>$W15&gt;=9</formula>
    </cfRule>
  </conditionalFormatting>
  <conditionalFormatting sqref="A16:V16">
    <cfRule type="expression" dxfId="504" priority="6">
      <formula>$W16&gt;=9</formula>
    </cfRule>
  </conditionalFormatting>
  <conditionalFormatting sqref="A17:V17">
    <cfRule type="expression" dxfId="503" priority="7">
      <formula>$W17&gt;=9</formula>
    </cfRule>
  </conditionalFormatting>
  <conditionalFormatting sqref="A18:V18">
    <cfRule type="expression" dxfId="502" priority="8">
      <formula>$W18&gt;=9</formula>
    </cfRule>
  </conditionalFormatting>
  <conditionalFormatting sqref="A19:V19">
    <cfRule type="expression" dxfId="501" priority="9">
      <formula>$W19&gt;=9</formula>
    </cfRule>
  </conditionalFormatting>
  <conditionalFormatting sqref="A20:V20">
    <cfRule type="expression" dxfId="500" priority="10">
      <formula>$W20&gt;=9</formula>
    </cfRule>
  </conditionalFormatting>
  <conditionalFormatting sqref="A21:V21">
    <cfRule type="expression" dxfId="499" priority="11">
      <formula>$W21&gt;=9</formula>
    </cfRule>
  </conditionalFormatting>
  <conditionalFormatting sqref="A22:V22">
    <cfRule type="expression" dxfId="498" priority="12">
      <formula>$W22&gt;=9</formula>
    </cfRule>
  </conditionalFormatting>
  <conditionalFormatting sqref="A24:V24">
    <cfRule type="expression" dxfId="497" priority="13">
      <formula>$W24&gt;=9</formula>
    </cfRule>
  </conditionalFormatting>
  <conditionalFormatting sqref="A25:V25">
    <cfRule type="expression" dxfId="496" priority="14">
      <formula>$W25&gt;=9</formula>
    </cfRule>
  </conditionalFormatting>
  <conditionalFormatting sqref="A26:V26">
    <cfRule type="expression" dxfId="495" priority="15">
      <formula>$W26&gt;=9</formula>
    </cfRule>
  </conditionalFormatting>
  <conditionalFormatting sqref="A27:V27">
    <cfRule type="expression" dxfId="494" priority="16">
      <formula>$W27&gt;=9</formula>
    </cfRule>
  </conditionalFormatting>
  <conditionalFormatting sqref="A28:V28">
    <cfRule type="expression" dxfId="493" priority="17">
      <formula>$W28&gt;=9</formula>
    </cfRule>
  </conditionalFormatting>
  <conditionalFormatting sqref="A29:V29">
    <cfRule type="expression" dxfId="492" priority="18">
      <formula>$W29&gt;=9</formula>
    </cfRule>
  </conditionalFormatting>
  <conditionalFormatting sqref="A30:V30">
    <cfRule type="expression" dxfId="491" priority="19">
      <formula>$W30&gt;=9</formula>
    </cfRule>
  </conditionalFormatting>
  <conditionalFormatting sqref="A31:V31">
    <cfRule type="expression" dxfId="490" priority="20">
      <formula>$W31&gt;=9</formula>
    </cfRule>
  </conditionalFormatting>
  <conditionalFormatting sqref="A32:V32">
    <cfRule type="expression" dxfId="489" priority="21">
      <formula>$W32&gt;=9</formula>
    </cfRule>
  </conditionalFormatting>
  <conditionalFormatting sqref="A33:V33">
    <cfRule type="expression" dxfId="488" priority="22">
      <formula>$W33&gt;=9</formula>
    </cfRule>
  </conditionalFormatting>
  <conditionalFormatting sqref="A34:V34">
    <cfRule type="expression" dxfId="487" priority="23">
      <formula>$W34&gt;=9</formula>
    </cfRule>
  </conditionalFormatting>
  <conditionalFormatting sqref="A35:V35">
    <cfRule type="expression" dxfId="486" priority="24">
      <formula>$W35&gt;=9</formula>
    </cfRule>
  </conditionalFormatting>
  <conditionalFormatting sqref="A37:V37">
    <cfRule type="expression" dxfId="485" priority="25">
      <formula>$W37&gt;=9</formula>
    </cfRule>
  </conditionalFormatting>
  <conditionalFormatting sqref="A38:V38">
    <cfRule type="expression" dxfId="484" priority="26">
      <formula>$W38&gt;=9</formula>
    </cfRule>
  </conditionalFormatting>
  <conditionalFormatting sqref="A39:V39">
    <cfRule type="expression" dxfId="483" priority="27">
      <formula>$W39&gt;=9</formula>
    </cfRule>
  </conditionalFormatting>
  <conditionalFormatting sqref="A40:V40">
    <cfRule type="expression" dxfId="482" priority="28">
      <formula>$W40&gt;=9</formula>
    </cfRule>
  </conditionalFormatting>
  <conditionalFormatting sqref="A41:V41">
    <cfRule type="expression" dxfId="481" priority="29">
      <formula>$W41&gt;=9</formula>
    </cfRule>
  </conditionalFormatting>
  <conditionalFormatting sqref="A42:V42">
    <cfRule type="expression" dxfId="480" priority="30">
      <formula>$W42&gt;=9</formula>
    </cfRule>
  </conditionalFormatting>
  <conditionalFormatting sqref="A43:V43">
    <cfRule type="expression" dxfId="479" priority="31">
      <formula>$W43&gt;=9</formula>
    </cfRule>
  </conditionalFormatting>
  <conditionalFormatting sqref="A44:V44">
    <cfRule type="expression" dxfId="478" priority="32">
      <formula>$W44&gt;=9</formula>
    </cfRule>
  </conditionalFormatting>
  <conditionalFormatting sqref="A45:V45">
    <cfRule type="expression" dxfId="477" priority="33">
      <formula>$W45&gt;=9</formula>
    </cfRule>
  </conditionalFormatting>
  <conditionalFormatting sqref="A46:V46">
    <cfRule type="expression" dxfId="476" priority="34">
      <formula>$W46&gt;=9</formula>
    </cfRule>
  </conditionalFormatting>
  <conditionalFormatting sqref="A47:V47">
    <cfRule type="expression" dxfId="475" priority="35">
      <formula>$W47&gt;=9</formula>
    </cfRule>
  </conditionalFormatting>
  <conditionalFormatting sqref="A48:V48">
    <cfRule type="expression" dxfId="474" priority="36">
      <formula>$W48&gt;=9</formula>
    </cfRule>
  </conditionalFormatting>
  <conditionalFormatting sqref="A50:V50">
    <cfRule type="expression" dxfId="473" priority="37">
      <formula>$W50&gt;=9</formula>
    </cfRule>
  </conditionalFormatting>
  <conditionalFormatting sqref="A51:V51">
    <cfRule type="expression" dxfId="472" priority="38">
      <formula>$W51&gt;=9</formula>
    </cfRule>
  </conditionalFormatting>
  <conditionalFormatting sqref="A52:V52">
    <cfRule type="expression" dxfId="471" priority="39">
      <formula>$W52&gt;=9</formula>
    </cfRule>
  </conditionalFormatting>
  <conditionalFormatting sqref="A53:V53">
    <cfRule type="expression" dxfId="470" priority="40">
      <formula>$W53&gt;=9</formula>
    </cfRule>
  </conditionalFormatting>
  <conditionalFormatting sqref="A54:V54">
    <cfRule type="expression" dxfId="469" priority="41">
      <formula>$W54&gt;=9</formula>
    </cfRule>
  </conditionalFormatting>
  <conditionalFormatting sqref="A55:V55">
    <cfRule type="expression" dxfId="468" priority="42">
      <formula>$W55&gt;=9</formula>
    </cfRule>
  </conditionalFormatting>
  <conditionalFormatting sqref="A56:V56">
    <cfRule type="expression" dxfId="467" priority="43">
      <formula>$W56&gt;=9</formula>
    </cfRule>
  </conditionalFormatting>
  <conditionalFormatting sqref="A57:V57">
    <cfRule type="expression" dxfId="466" priority="44">
      <formula>$W57&gt;=9</formula>
    </cfRule>
  </conditionalFormatting>
  <conditionalFormatting sqref="A58:V58">
    <cfRule type="expression" dxfId="465" priority="45">
      <formula>$W58&gt;=9</formula>
    </cfRule>
  </conditionalFormatting>
  <conditionalFormatting sqref="A59:V59">
    <cfRule type="expression" dxfId="464" priority="46">
      <formula>$W59&gt;=9</formula>
    </cfRule>
  </conditionalFormatting>
  <conditionalFormatting sqref="A60:V60">
    <cfRule type="expression" dxfId="463" priority="47">
      <formula>$W60&gt;=9</formula>
    </cfRule>
  </conditionalFormatting>
  <conditionalFormatting sqref="A61:V61">
    <cfRule type="expression" dxfId="462" priority="48">
      <formula>$W61&gt;=9</formula>
    </cfRule>
  </conditionalFormatting>
  <conditionalFormatting sqref="H10:H61">
    <cfRule type="cellIs" dxfId="461" priority="49" operator="equal">
      <formula>"Physical"</formula>
    </cfRule>
  </conditionalFormatting>
  <conditionalFormatting sqref="H10:H61">
    <cfRule type="cellIs" dxfId="460" priority="50" operator="equal">
      <formula>"Psychological"</formula>
    </cfRule>
  </conditionalFormatting>
  <conditionalFormatting sqref="G10:G61">
    <cfRule type="cellIs" dxfId="459" priority="51" operator="equal">
      <formula>"Y"</formula>
    </cfRule>
  </conditionalFormatting>
  <conditionalFormatting sqref="G10:G61">
    <cfRule type="cellIs" dxfId="458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Tracker'!B13="","",UPPER(LEFT(TRIM('Client Needs Tracker'!B13),1))&amp;UPPER(MID('Client Needs Tracker'!B13,FIND("@",SUBSTITUTE('Client Needs Tracker'!B13," ","@",LEN('Client Needs Tracker'!B13)-LEN(SUBSTITUTE('Client Needs Tracker'!B13," ",""))))+1,1))&amp;"-"&amp;SUBSTITUTE('Client Needs Tracker'!S13," ",""))</f>
        <v>BH-F-1A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Tracker'!S13="","","INV-"&amp;SUBSTITUTE('Client Needs Tracker'!S13," ",""))</f>
        <v>INV-F-1A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Tracker'!B13="","(Add client on Client Needs Tracker, row 13)",'Client Needs Tracker'!B13)</f>
        <v>Brenda Homes</v>
      </c>
      <c r="B6" s="134"/>
      <c r="C6" s="134"/>
      <c r="D6" s="134"/>
      <c r="E6" s="134"/>
      <c r="F6" s="93">
        <f>'Client Needs Tracker'!A13</f>
        <v>102558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Tracker'!C13="","",'Client Needs Tracker'!C13)</f>
        <v>46223</v>
      </c>
      <c r="B8" s="134"/>
      <c r="C8" s="134"/>
      <c r="D8" s="134"/>
      <c r="E8" s="134"/>
      <c r="F8" s="95" t="str">
        <f>'Client Needs Tracker'!E13</f>
        <v>LOC3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Tracker'!F13="","",'Client Needs Tracker'!F13)</f>
        <v>TBD</v>
      </c>
      <c r="B10" s="134"/>
      <c r="C10" s="134"/>
      <c r="D10" s="134"/>
      <c r="E10" s="134"/>
      <c r="F10" s="89" t="str">
        <f>IF('Client Status Board'!G13="","",'Client Status Board'!G13)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Board'!L13="","",'Client Status Board'!L13)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P09'!$B$10:$B$61=1)*(('MAR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P09'!$B$10:$B$61=2)*(('MAR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P09'!$B$10:$B$61=3)*(('MAR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P09'!$B$10:$B$61=4)*(('MAR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P09'!$B$10:$B$61=5)*(('MAR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P09'!$B$10:$B$61=6)*(('MAR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P09'!$B$10:$B$61=7)*(('MAR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P09'!$B$10:$B$61=8)*(('MAR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P09'!$B$10:$B$61=9)*(('MAR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P09'!$B$10:$B$61=10)*(('MAR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P09'!$B$10:$B$61=11)*(('MAR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P09'!$B$10:$B$61=12)*(('MAR - P09'!$I$10:$I$61&lt;&gt;"")+('MAR - P09'!$K$10:$K$61&lt;&gt;"")+('MAR - P09'!$M$10:$M$61&lt;&gt;"")+('MAR - P09'!$O$10:$O$61&lt;&gt;"")+('MAR - P09'!$Q$10:$Q$61&lt;&gt;"")+('MAR - P09'!$S$10:$S$61&lt;&gt;"")+('MAR - P09'!$U$10:$U$61&lt;&gt;""))))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457" priority="1" operator="equal">
      <formula>"Physical"</formula>
    </cfRule>
  </conditionalFormatting>
  <conditionalFormatting sqref="J16:J27">
    <cfRule type="cellIs" dxfId="456" priority="2" operator="equal">
      <formula>"Psychological"</formula>
    </cfRule>
  </conditionalFormatting>
  <conditionalFormatting sqref="I16:I27">
    <cfRule type="cellIs" dxfId="455" priority="3" operator="equal">
      <formula>"Y"</formula>
    </cfRule>
  </conditionalFormatting>
  <conditionalFormatting sqref="I16:I27">
    <cfRule type="cellIs" dxfId="454" priority="4" operator="equal">
      <formula>"N"</formula>
    </cfRule>
  </conditionalFormatting>
  <dataValidations count="6">
    <dataValidation type="list" allowBlank="1" sqref="I16:I27" xr:uid="{00000000-0002-0000-1500-000001000000}">
      <formula1>"Y,N"</formula1>
    </dataValidation>
    <dataValidation type="list" allowBlank="1" sqref="J16:J27" xr:uid="{00000000-0002-0000-1500-000002000000}">
      <formula1>"Physical,Psychological"</formula1>
    </dataValidation>
    <dataValidation type="list" allowBlank="1" showErrorMessage="1" sqref="C16" xr:uid="{00000000-0002-0000-1500-000003000000}">
      <formula1>"150,300,450,600"</formula1>
    </dataValidation>
    <dataValidation type="list" allowBlank="1" sqref="C17:C27" xr:uid="{00000000-0002-0000-1500-000004000000}">
      <formula1>INDIRECT("MG_"&amp;SUBSTITUTE(SUBSTITUTE(SUBSTITUTE(SUBSTITUTE(LEFT($B17,IFERROR(FIND(" (",$B17)-1,LEN($B17)))," ","_"),"/","_"),".","_"),"-","_"))</formula1>
    </dataValidation>
    <dataValidation type="list" allowBlank="1" sqref="D16:D27" xr:uid="{00000000-0002-0000-1500-000005000000}">
      <formula1>"PO,IM,IV,SubQ,Topical,Inhaled,Sublingual,Rectal,Other"</formula1>
    </dataValidation>
    <dataValidation type="list" allowBlank="1" sqref="G16:G27" xr:uid="{00000000-0002-0000-1500-000006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5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Tracker'!B13="","",UPPER(LEFT(TRIM('Client Needs Tracker'!B13),1))&amp;UPPER(MID('Client Needs Tracker'!B13,FIND("@",SUBSTITUTE('Client Needs Tracker'!B13," ","@",LEN('Client Needs Tracker'!B13)-LEN(SUBSTITUTE('Client Needs Tracker'!B13," ",""))))+1,1))&amp;"-"&amp;SUBSTITUTE('Client Needs Tracker'!S13," ",""))</f>
        <v>BH-F-1A</v>
      </c>
    </row>
    <row r="3" spans="1:33" ht="15" customHeight="1">
      <c r="A3" s="103" t="str">
        <f>IF('Inventory - P09'!A6="","(Enter name in Inventory - P09)",'Inventory - P09'!A6)</f>
        <v>Brenda Homes</v>
      </c>
      <c r="B3" s="145"/>
      <c r="C3" s="145"/>
      <c r="D3" s="145"/>
      <c r="E3" s="145"/>
      <c r="F3" s="104" t="str">
        <f>IF('Inventory - P09'!F6="","(Enter ID in Inventory - P09)","Member ID: "&amp;'Inventory - P09'!F6)</f>
        <v>Member ID: 102558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Tracker'!S13="","","INV-"&amp;SUBSTITUTE('Client Needs Tracker'!S13," ",""))</f>
        <v>INV-F-1A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P09'!F8="","-",'Inventory - P09'!F8)</f>
        <v>LOC: LOC3</v>
      </c>
      <c r="B5" s="106"/>
      <c r="C5" s="2"/>
      <c r="D5" s="102" t="str">
        <f>"Case Manager: "&amp;IF('Inventory - P09'!A10="","-",'Inventory - P09'!A10)</f>
        <v>Case Manager: TBD</v>
      </c>
      <c r="E5" s="106"/>
      <c r="F5" s="2"/>
      <c r="G5" s="102" t="str">
        <f>"Doctor: "&amp;IF('Inventory - P09'!F10="","-",'Inventory - P09'!F10)</f>
        <v>Doctor: -</v>
      </c>
      <c r="H5" s="106"/>
      <c r="I5" s="2"/>
      <c r="J5" s="102" t="str">
        <f>"Pharmacy: "&amp;IF('Inventory - P09'!A12="","-",'Inventory - P09'!A12)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P09'!A14="","",'Inventory - P09'!A14)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P09'!A14="","",'Inventory - P09'!A14+0)</f>
        <v/>
      </c>
      <c r="J8" s="134"/>
      <c r="K8" s="101" t="str">
        <f>IF('Inventory - P09'!A14="","",'Inventory - P09'!A14+1)</f>
        <v/>
      </c>
      <c r="L8" s="134"/>
      <c r="M8" s="101" t="str">
        <f>IF('Inventory - P09'!A14="","",'Inventory - P09'!A14+2)</f>
        <v/>
      </c>
      <c r="N8" s="134"/>
      <c r="O8" s="101" t="str">
        <f>IF('Inventory - P09'!A14="","",'Inventory - P09'!A14+3)</f>
        <v/>
      </c>
      <c r="P8" s="134"/>
      <c r="Q8" s="101" t="str">
        <f>IF('Inventory - P09'!A14="","",'Inventory - P09'!A14+4)</f>
        <v/>
      </c>
      <c r="R8" s="134"/>
      <c r="S8" s="101" t="str">
        <f>IF('Inventory - P09'!A14="","",'Inventory - P09'!A14+5)</f>
        <v/>
      </c>
      <c r="T8" s="134"/>
      <c r="U8" s="101" t="str">
        <f>IF('Inventory - P09'!A14="","",'Inventory - P09'!A14+6)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P09'!$B$16:$B$27,(INT((X11-1)/4)+1))&amp;IF(INDEX('Inventory - P09'!$C$16:$C$27,(INT((X11-1)/4)+1))="",""," ("&amp;INDEX('Inventory - P09'!$C$16:$C$27,(INT((X11-1)/4)+1))&amp;" mg)"))</f>
        <v/>
      </c>
      <c r="D11" s="7" t="str">
        <f t="array" ref="D11">IF(X11="","",INDEX('Inventory - P09'!$K$16:$K$27,(INT((X11-1)/4)+1))-SUMPRODUCT(($B$10:$B$61=B11)*(($I$10:$I$61&lt;&gt;"")+($K$10:$K$61&lt;&gt;"")+($M$10:$M$61&lt;&gt;"")+($O$10:$O$61&lt;&gt;"")+($Q$10:$Q$61&lt;&gt;"")+($S$10:$S$61&lt;&gt;"")+($U$10:$U$61&lt;&gt;""))))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P09'!$D$16:$D$27,(INT((X11-1)/4)+1)))</f>
        <v/>
      </c>
      <c r="F11" s="7" t="str">
        <f t="array" ref="F11">IF(X11="","",INDEX('Inventory - P09'!$E$16:$E$27,(INT((X11-1)/4)+1)))</f>
        <v/>
      </c>
      <c r="G11" s="7" t="str">
        <f t="array" ref="G11">IF(X11="","",INDEX('Inventory - P09'!$I$16:$I$27,(INT((X11-1)/4)+1)))</f>
        <v/>
      </c>
      <c r="H11" s="7" t="str">
        <f t="array" ref="H11">IF(X11="","",INDEX('Inventory - P09'!$J$16:$J$27,(INT((X11-1)/4)+1)))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P09'!$B$16:$B$27,(INT((X12-1)/4)+1))&amp;IF(INDEX('Inventory - P09'!$C$16:$C$27,(INT((X12-1)/4)+1))="",""," ("&amp;INDEX('Inventory - P09'!$C$16:$C$27,(INT((X12-1)/4)+1))&amp;" mg)"))</f>
        <v/>
      </c>
      <c r="D12" s="7" t="str">
        <f t="array" ref="D12">IF(X12="","",INDEX('Inventory - P09'!$K$16:$K$27,(INT((X12-1)/4)+1))-SUMPRODUCT(($B$10:$B$61=B12)*(($I$10:$I$61&lt;&gt;"")+($K$10:$K$61&lt;&gt;"")+($M$10:$M$61&lt;&gt;"")+($O$10:$O$61&lt;&gt;"")+($Q$10:$Q$61&lt;&gt;"")+($S$10:$S$61&lt;&gt;"")+($U$10:$U$61&lt;&gt;""))))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P09'!$D$16:$D$27,(INT((X12-1)/4)+1)))</f>
        <v/>
      </c>
      <c r="F12" s="7" t="str">
        <f t="array" ref="F12">IF(X12="","",INDEX('Inventory - P09'!$E$16:$E$27,(INT((X12-1)/4)+1)))</f>
        <v/>
      </c>
      <c r="G12" s="7" t="str">
        <f t="array" ref="G12">IF(X12="","",INDEX('Inventory - P09'!$I$16:$I$27,(INT((X12-1)/4)+1)))</f>
        <v/>
      </c>
      <c r="H12" s="7" t="str">
        <f t="array" ref="H12">IF(X12="","",INDEX('Inventory - P09'!$J$16:$J$27,(INT((X12-1)/4)+1)))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P09'!$B$16:$B$27,(INT((X13-1)/4)+1))&amp;IF(INDEX('Inventory - P09'!$C$16:$C$27,(INT((X13-1)/4)+1))="",""," ("&amp;INDEX('Inventory - P09'!$C$16:$C$27,(INT((X13-1)/4)+1))&amp;" mg)"))</f>
        <v/>
      </c>
      <c r="D13" s="7" t="str">
        <f t="array" ref="D13">IF(X13="","",INDEX('Inventory - P09'!$K$16:$K$27,(INT((X13-1)/4)+1))-SUMPRODUCT(($B$10:$B$61=B13)*(($I$10:$I$61&lt;&gt;"")+($K$10:$K$61&lt;&gt;"")+($M$10:$M$61&lt;&gt;"")+($O$10:$O$61&lt;&gt;"")+($Q$10:$Q$61&lt;&gt;"")+($S$10:$S$61&lt;&gt;"")+($U$10:$U$61&lt;&gt;""))))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P09'!$D$16:$D$27,(INT((X13-1)/4)+1)))</f>
        <v/>
      </c>
      <c r="F13" s="7" t="str">
        <f t="array" ref="F13">IF(X13="","",INDEX('Inventory - P09'!$E$16:$E$27,(INT((X13-1)/4)+1)))</f>
        <v/>
      </c>
      <c r="G13" s="7" t="str">
        <f t="array" ref="G13">IF(X13="","",INDEX('Inventory - P09'!$I$16:$I$27,(INT((X13-1)/4)+1)))</f>
        <v/>
      </c>
      <c r="H13" s="7" t="str">
        <f t="array" ref="H13">IF(X13="","",INDEX('Inventory - P09'!$J$16:$J$27,(INT((X13-1)/4)+1)))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P09'!$B$16:$B$27,(INT((X14-1)/4)+1))&amp;IF(INDEX('Inventory - P09'!$C$16:$C$27,(INT((X14-1)/4)+1))="",""," ("&amp;INDEX('Inventory - P09'!$C$16:$C$27,(INT((X14-1)/4)+1))&amp;" mg)"))</f>
        <v/>
      </c>
      <c r="D14" s="7" t="str">
        <f t="array" ref="D14">IF(X14="","",INDEX('Inventory - P09'!$K$16:$K$27,(INT((X14-1)/4)+1))-SUMPRODUCT(($B$10:$B$61=B14)*(($I$10:$I$61&lt;&gt;"")+($K$10:$K$61&lt;&gt;"")+($M$10:$M$61&lt;&gt;"")+($O$10:$O$61&lt;&gt;"")+($Q$10:$Q$61&lt;&gt;"")+($S$10:$S$61&lt;&gt;"")+($U$10:$U$61&lt;&gt;""))))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P09'!$D$16:$D$27,(INT((X14-1)/4)+1)))</f>
        <v/>
      </c>
      <c r="F14" s="7" t="str">
        <f t="array" ref="F14">IF(X14="","",INDEX('Inventory - P09'!$E$16:$E$27,(INT((X14-1)/4)+1)))</f>
        <v/>
      </c>
      <c r="G14" s="7" t="str">
        <f t="array" ref="G14">IF(X14="","",INDEX('Inventory - P09'!$I$16:$I$27,(INT((X14-1)/4)+1)))</f>
        <v/>
      </c>
      <c r="H14" s="7" t="str">
        <f t="array" ref="H14">IF(X14="","",INDEX('Inventory - P09'!$J$16:$J$27,(INT((X14-1)/4)+1)))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P09'!$B$16:$B$27,(INT((X15-1)/4)+1))&amp;IF(INDEX('Inventory - P09'!$C$16:$C$27,(INT((X15-1)/4)+1))="",""," ("&amp;INDEX('Inventory - P09'!$C$16:$C$27,(INT((X15-1)/4)+1))&amp;" mg)"))</f>
        <v/>
      </c>
      <c r="D15" s="7" t="str">
        <f t="array" ref="D15">IF(X15="","",INDEX('Inventory - P09'!$K$16:$K$27,(INT((X15-1)/4)+1))-SUMPRODUCT(($B$10:$B$61=B15)*(($I$10:$I$61&lt;&gt;"")+($K$10:$K$61&lt;&gt;"")+($M$10:$M$61&lt;&gt;"")+($O$10:$O$61&lt;&gt;"")+($Q$10:$Q$61&lt;&gt;"")+($S$10:$S$61&lt;&gt;"")+($U$10:$U$61&lt;&gt;""))))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P09'!$D$16:$D$27,(INT((X15-1)/4)+1)))</f>
        <v/>
      </c>
      <c r="F15" s="7" t="str">
        <f t="array" ref="F15">IF(X15="","",INDEX('Inventory - P09'!$E$16:$E$27,(INT((X15-1)/4)+1)))</f>
        <v/>
      </c>
      <c r="G15" s="7" t="str">
        <f t="array" ref="G15">IF(X15="","",INDEX('Inventory - P09'!$I$16:$I$27,(INT((X15-1)/4)+1)))</f>
        <v/>
      </c>
      <c r="H15" s="7" t="str">
        <f t="array" ref="H15">IF(X15="","",INDEX('Inventory - P09'!$J$16:$J$27,(INT((X15-1)/4)+1)))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P09'!$B$16:$B$27,(INT((X16-1)/4)+1))&amp;IF(INDEX('Inventory - P09'!$C$16:$C$27,(INT((X16-1)/4)+1))="",""," ("&amp;INDEX('Inventory - P09'!$C$16:$C$27,(INT((X16-1)/4)+1))&amp;" mg)"))</f>
        <v/>
      </c>
      <c r="D16" s="7" t="str">
        <f t="array" ref="D16">IF(X16="","",INDEX('Inventory - P09'!$K$16:$K$27,(INT((X16-1)/4)+1))-SUMPRODUCT(($B$10:$B$61=B16)*(($I$10:$I$61&lt;&gt;"")+($K$10:$K$61&lt;&gt;"")+($M$10:$M$61&lt;&gt;"")+($O$10:$O$61&lt;&gt;"")+($Q$10:$Q$61&lt;&gt;"")+($S$10:$S$61&lt;&gt;"")+($U$10:$U$61&lt;&gt;""))))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P09'!$D$16:$D$27,(INT((X16-1)/4)+1)))</f>
        <v/>
      </c>
      <c r="F16" s="7" t="str">
        <f t="array" ref="F16">IF(X16="","",INDEX('Inventory - P09'!$E$16:$E$27,(INT((X16-1)/4)+1)))</f>
        <v/>
      </c>
      <c r="G16" s="7" t="str">
        <f t="array" ref="G16">IF(X16="","",INDEX('Inventory - P09'!$I$16:$I$27,(INT((X16-1)/4)+1)))</f>
        <v/>
      </c>
      <c r="H16" s="7" t="str">
        <f t="array" ref="H16">IF(X16="","",INDEX('Inventory - P09'!$J$16:$J$27,(INT((X16-1)/4)+1)))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P09'!$B$16:$B$27,(INT((X17-1)/4)+1))&amp;IF(INDEX('Inventory - P09'!$C$16:$C$27,(INT((X17-1)/4)+1))="",""," ("&amp;INDEX('Inventory - P09'!$C$16:$C$27,(INT((X17-1)/4)+1))&amp;" mg)"))</f>
        <v/>
      </c>
      <c r="D17" s="7" t="str">
        <f t="array" ref="D17">IF(X17="","",INDEX('Inventory - P09'!$K$16:$K$27,(INT((X17-1)/4)+1))-SUMPRODUCT(($B$10:$B$61=B17)*(($I$10:$I$61&lt;&gt;"")+($K$10:$K$61&lt;&gt;"")+($M$10:$M$61&lt;&gt;"")+($O$10:$O$61&lt;&gt;"")+($Q$10:$Q$61&lt;&gt;"")+($S$10:$S$61&lt;&gt;"")+($U$10:$U$61&lt;&gt;""))))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P09'!$D$16:$D$27,(INT((X17-1)/4)+1)))</f>
        <v/>
      </c>
      <c r="F17" s="7" t="str">
        <f t="array" ref="F17">IF(X17="","",INDEX('Inventory - P09'!$E$16:$E$27,(INT((X17-1)/4)+1)))</f>
        <v/>
      </c>
      <c r="G17" s="7" t="str">
        <f t="array" ref="G17">IF(X17="","",INDEX('Inventory - P09'!$I$16:$I$27,(INT((X17-1)/4)+1)))</f>
        <v/>
      </c>
      <c r="H17" s="7" t="str">
        <f t="array" ref="H17">IF(X17="","",INDEX('Inventory - P09'!$J$16:$J$27,(INT((X17-1)/4)+1)))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P09'!$B$16:$B$27,(INT((X18-1)/4)+1))&amp;IF(INDEX('Inventory - P09'!$C$16:$C$27,(INT((X18-1)/4)+1))="",""," ("&amp;INDEX('Inventory - P09'!$C$16:$C$27,(INT((X18-1)/4)+1))&amp;" mg)"))</f>
        <v/>
      </c>
      <c r="D18" s="7" t="str">
        <f t="array" ref="D18">IF(X18="","",INDEX('Inventory - P09'!$K$16:$K$27,(INT((X18-1)/4)+1))-SUMPRODUCT(($B$10:$B$61=B18)*(($I$10:$I$61&lt;&gt;"")+($K$10:$K$61&lt;&gt;"")+($M$10:$M$61&lt;&gt;"")+($O$10:$O$61&lt;&gt;"")+($Q$10:$Q$61&lt;&gt;"")+($S$10:$S$61&lt;&gt;"")+($U$10:$U$61&lt;&gt;""))))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P09'!$D$16:$D$27,(INT((X18-1)/4)+1)))</f>
        <v/>
      </c>
      <c r="F18" s="7" t="str">
        <f t="array" ref="F18">IF(X18="","",INDEX('Inventory - P09'!$E$16:$E$27,(INT((X18-1)/4)+1)))</f>
        <v/>
      </c>
      <c r="G18" s="7" t="str">
        <f t="array" ref="G18">IF(X18="","",INDEX('Inventory - P09'!$I$16:$I$27,(INT((X18-1)/4)+1)))</f>
        <v/>
      </c>
      <c r="H18" s="7" t="str">
        <f t="array" ref="H18">IF(X18="","",INDEX('Inventory - P09'!$J$16:$J$27,(INT((X18-1)/4)+1)))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P09'!$B$16:$B$27,(INT((X19-1)/4)+1))&amp;IF(INDEX('Inventory - P09'!$C$16:$C$27,(INT((X19-1)/4)+1))="",""," ("&amp;INDEX('Inventory - P09'!$C$16:$C$27,(INT((X19-1)/4)+1))&amp;" mg)"))</f>
        <v/>
      </c>
      <c r="D19" s="7" t="str">
        <f t="array" ref="D19">IF(X19="","",INDEX('Inventory - P09'!$K$16:$K$27,(INT((X19-1)/4)+1))-SUMPRODUCT(($B$10:$B$61=B19)*(($I$10:$I$61&lt;&gt;"")+($K$10:$K$61&lt;&gt;"")+($M$10:$M$61&lt;&gt;"")+($O$10:$O$61&lt;&gt;"")+($Q$10:$Q$61&lt;&gt;"")+($S$10:$S$61&lt;&gt;"")+($U$10:$U$61&lt;&gt;""))))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P09'!$D$16:$D$27,(INT((X19-1)/4)+1)))</f>
        <v/>
      </c>
      <c r="F19" s="7" t="str">
        <f t="array" ref="F19">IF(X19="","",INDEX('Inventory - P09'!$E$16:$E$27,(INT((X19-1)/4)+1)))</f>
        <v/>
      </c>
      <c r="G19" s="7" t="str">
        <f t="array" ref="G19">IF(X19="","",INDEX('Inventory - P09'!$I$16:$I$27,(INT((X19-1)/4)+1)))</f>
        <v/>
      </c>
      <c r="H19" s="7" t="str">
        <f t="array" ref="H19">IF(X19="","",INDEX('Inventory - P09'!$J$16:$J$27,(INT((X19-1)/4)+1)))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P09'!$B$16:$B$27,(INT((X20-1)/4)+1))&amp;IF(INDEX('Inventory - P09'!$C$16:$C$27,(INT((X20-1)/4)+1))="",""," ("&amp;INDEX('Inventory - P09'!$C$16:$C$27,(INT((X20-1)/4)+1))&amp;" mg)"))</f>
        <v/>
      </c>
      <c r="D20" s="7" t="str">
        <f t="array" ref="D20">IF(X20="","",INDEX('Inventory - P09'!$K$16:$K$27,(INT((X20-1)/4)+1))-SUMPRODUCT(($B$10:$B$61=B20)*(($I$10:$I$61&lt;&gt;"")+($K$10:$K$61&lt;&gt;"")+($M$10:$M$61&lt;&gt;"")+($O$10:$O$61&lt;&gt;"")+($Q$10:$Q$61&lt;&gt;"")+($S$10:$S$61&lt;&gt;"")+($U$10:$U$61&lt;&gt;""))))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P09'!$D$16:$D$27,(INT((X20-1)/4)+1)))</f>
        <v/>
      </c>
      <c r="F20" s="7" t="str">
        <f t="array" ref="F20">IF(X20="","",INDEX('Inventory - P09'!$E$16:$E$27,(INT((X20-1)/4)+1)))</f>
        <v/>
      </c>
      <c r="G20" s="7" t="str">
        <f t="array" ref="G20">IF(X20="","",INDEX('Inventory - P09'!$I$16:$I$27,(INT((X20-1)/4)+1)))</f>
        <v/>
      </c>
      <c r="H20" s="7" t="str">
        <f t="array" ref="H20">IF(X20="","",INDEX('Inventory - P09'!$J$16:$J$27,(INT((X20-1)/4)+1)))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P09'!$B$16:$B$27,(INT((X21-1)/4)+1))&amp;IF(INDEX('Inventory - P09'!$C$16:$C$27,(INT((X21-1)/4)+1))="",""," ("&amp;INDEX('Inventory - P09'!$C$16:$C$27,(INT((X21-1)/4)+1))&amp;" mg)"))</f>
        <v/>
      </c>
      <c r="D21" s="7" t="str">
        <f t="array" ref="D21">IF(X21="","",INDEX('Inventory - P09'!$K$16:$K$27,(INT((X21-1)/4)+1))-SUMPRODUCT(($B$10:$B$61=B21)*(($I$10:$I$61&lt;&gt;"")+($K$10:$K$61&lt;&gt;"")+($M$10:$M$61&lt;&gt;"")+($O$10:$O$61&lt;&gt;"")+($Q$10:$Q$61&lt;&gt;"")+($S$10:$S$61&lt;&gt;"")+($U$10:$U$61&lt;&gt;""))))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P09'!$D$16:$D$27,(INT((X21-1)/4)+1)))</f>
        <v/>
      </c>
      <c r="F21" s="7" t="str">
        <f t="array" ref="F21">IF(X21="","",INDEX('Inventory - P09'!$E$16:$E$27,(INT((X21-1)/4)+1)))</f>
        <v/>
      </c>
      <c r="G21" s="7" t="str">
        <f t="array" ref="G21">IF(X21="","",INDEX('Inventory - P09'!$I$16:$I$27,(INT((X21-1)/4)+1)))</f>
        <v/>
      </c>
      <c r="H21" s="7" t="str">
        <f t="array" ref="H21">IF(X21="","",INDEX('Inventory - P09'!$J$16:$J$27,(INT((X21-1)/4)+1)))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P09'!$B$16:$B$27,(INT((X22-1)/4)+1))&amp;IF(INDEX('Inventory - P09'!$C$16:$C$27,(INT((X22-1)/4)+1))="",""," ("&amp;INDEX('Inventory - P09'!$C$16:$C$27,(INT((X22-1)/4)+1))&amp;" mg)"))</f>
        <v/>
      </c>
      <c r="D22" s="7" t="str">
        <f t="array" ref="D22">IF(X22="","",INDEX('Inventory - P09'!$K$16:$K$27,(INT((X22-1)/4)+1))-SUMPRODUCT(($B$10:$B$61=B22)*(($I$10:$I$61&lt;&gt;"")+($K$10:$K$61&lt;&gt;"")+($M$10:$M$61&lt;&gt;"")+($O$10:$O$61&lt;&gt;"")+($Q$10:$Q$61&lt;&gt;"")+($S$10:$S$61&lt;&gt;"")+($U$10:$U$61&lt;&gt;""))))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P09'!$D$16:$D$27,(INT((X22-1)/4)+1)))</f>
        <v/>
      </c>
      <c r="F22" s="7" t="str">
        <f t="array" ref="F22">IF(X22="","",INDEX('Inventory - P09'!$E$16:$E$27,(INT((X22-1)/4)+1)))</f>
        <v/>
      </c>
      <c r="G22" s="7" t="str">
        <f t="array" ref="G22">IF(X22="","",INDEX('Inventory - P09'!$I$16:$I$27,(INT((X22-1)/4)+1)))</f>
        <v/>
      </c>
      <c r="H22" s="7" t="str">
        <f t="array" ref="H22">IF(X22="","",INDEX('Inventory - P09'!$J$16:$J$27,(INT((X22-1)/4)+1)))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P09'!$B$16:$B$27,(INT((X24-1)/4)+1))&amp;IF(INDEX('Inventory - P09'!$C$16:$C$27,(INT((X24-1)/4)+1))="",""," ("&amp;INDEX('Inventory - P09'!$C$16:$C$27,(INT((X24-1)/4)+1))&amp;" mg)"))</f>
        <v/>
      </c>
      <c r="D24" s="7" t="str">
        <f t="array" ref="D24">IF(X24="","",INDEX('Inventory - P09'!$K$16:$K$27,(INT((X24-1)/4)+1))-SUMPRODUCT(($B$10:$B$61=B24)*(($I$10:$I$61&lt;&gt;"")+($K$10:$K$61&lt;&gt;"")+($M$10:$M$61&lt;&gt;"")+($O$10:$O$61&lt;&gt;"")+($Q$10:$Q$61&lt;&gt;"")+($S$10:$S$61&lt;&gt;"")+($U$10:$U$61&lt;&gt;""))))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P09'!$D$16:$D$27,(INT((X24-1)/4)+1)))</f>
        <v/>
      </c>
      <c r="F24" s="7" t="str">
        <f t="array" ref="F24">IF(X24="","",INDEX('Inventory - P09'!$E$16:$E$27,(INT((X24-1)/4)+1)))</f>
        <v/>
      </c>
      <c r="G24" s="7" t="str">
        <f t="array" ref="G24">IF(X24="","",INDEX('Inventory - P09'!$I$16:$I$27,(INT((X24-1)/4)+1)))</f>
        <v/>
      </c>
      <c r="H24" s="7" t="str">
        <f t="array" ref="H24">IF(X24="","",INDEX('Inventory - P09'!$J$16:$J$27,(INT((X24-1)/4)+1)))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P09'!$B$16:$B$27,(INT((X25-1)/4)+1))&amp;IF(INDEX('Inventory - P09'!$C$16:$C$27,(INT((X25-1)/4)+1))="",""," ("&amp;INDEX('Inventory - P09'!$C$16:$C$27,(INT((X25-1)/4)+1))&amp;" mg)"))</f>
        <v/>
      </c>
      <c r="D25" s="7" t="str">
        <f t="array" ref="D25">IF(X25="","",INDEX('Inventory - P09'!$K$16:$K$27,(INT((X25-1)/4)+1))-SUMPRODUCT(($B$10:$B$61=B25)*(($I$10:$I$61&lt;&gt;"")+($K$10:$K$61&lt;&gt;"")+($M$10:$M$61&lt;&gt;"")+($O$10:$O$61&lt;&gt;"")+($Q$10:$Q$61&lt;&gt;"")+($S$10:$S$61&lt;&gt;"")+($U$10:$U$61&lt;&gt;""))))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P09'!$D$16:$D$27,(INT((X25-1)/4)+1)))</f>
        <v/>
      </c>
      <c r="F25" s="7" t="str">
        <f t="array" ref="F25">IF(X25="","",INDEX('Inventory - P09'!$E$16:$E$27,(INT((X25-1)/4)+1)))</f>
        <v/>
      </c>
      <c r="G25" s="7" t="str">
        <f t="array" ref="G25">IF(X25="","",INDEX('Inventory - P09'!$I$16:$I$27,(INT((X25-1)/4)+1)))</f>
        <v/>
      </c>
      <c r="H25" s="7" t="str">
        <f t="array" ref="H25">IF(X25="","",INDEX('Inventory - P09'!$J$16:$J$27,(INT((X25-1)/4)+1)))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P09'!$B$16:$B$27,(INT((X26-1)/4)+1))&amp;IF(INDEX('Inventory - P09'!$C$16:$C$27,(INT((X26-1)/4)+1))="",""," ("&amp;INDEX('Inventory - P09'!$C$16:$C$27,(INT((X26-1)/4)+1))&amp;" mg)"))</f>
        <v/>
      </c>
      <c r="D26" s="7" t="str">
        <f t="array" ref="D26">IF(X26="","",INDEX('Inventory - P09'!$K$16:$K$27,(INT((X26-1)/4)+1))-SUMPRODUCT(($B$10:$B$61=B26)*(($I$10:$I$61&lt;&gt;"")+($K$10:$K$61&lt;&gt;"")+($M$10:$M$61&lt;&gt;"")+($O$10:$O$61&lt;&gt;"")+($Q$10:$Q$61&lt;&gt;"")+($S$10:$S$61&lt;&gt;"")+($U$10:$U$61&lt;&gt;""))))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P09'!$D$16:$D$27,(INT((X26-1)/4)+1)))</f>
        <v/>
      </c>
      <c r="F26" s="7" t="str">
        <f t="array" ref="F26">IF(X26="","",INDEX('Inventory - P09'!$E$16:$E$27,(INT((X26-1)/4)+1)))</f>
        <v/>
      </c>
      <c r="G26" s="7" t="str">
        <f t="array" ref="G26">IF(X26="","",INDEX('Inventory - P09'!$I$16:$I$27,(INT((X26-1)/4)+1)))</f>
        <v/>
      </c>
      <c r="H26" s="7" t="str">
        <f t="array" ref="H26">IF(X26="","",INDEX('Inventory - P09'!$J$16:$J$27,(INT((X26-1)/4)+1)))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P09'!$B$16:$B$27,(INT((X27-1)/4)+1))&amp;IF(INDEX('Inventory - P09'!$C$16:$C$27,(INT((X27-1)/4)+1))="",""," ("&amp;INDEX('Inventory - P09'!$C$16:$C$27,(INT((X27-1)/4)+1))&amp;" mg)"))</f>
        <v/>
      </c>
      <c r="D27" s="7" t="str">
        <f t="array" ref="D27">IF(X27="","",INDEX('Inventory - P09'!$K$16:$K$27,(INT((X27-1)/4)+1))-SUMPRODUCT(($B$10:$B$61=B27)*(($I$10:$I$61&lt;&gt;"")+($K$10:$K$61&lt;&gt;"")+($M$10:$M$61&lt;&gt;"")+($O$10:$O$61&lt;&gt;"")+($Q$10:$Q$61&lt;&gt;"")+($S$10:$S$61&lt;&gt;"")+($U$10:$U$61&lt;&gt;""))))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P09'!$D$16:$D$27,(INT((X27-1)/4)+1)))</f>
        <v/>
      </c>
      <c r="F27" s="7" t="str">
        <f t="array" ref="F27">IF(X27="","",INDEX('Inventory - P09'!$E$16:$E$27,(INT((X27-1)/4)+1)))</f>
        <v/>
      </c>
      <c r="G27" s="7" t="str">
        <f t="array" ref="G27">IF(X27="","",INDEX('Inventory - P09'!$I$16:$I$27,(INT((X27-1)/4)+1)))</f>
        <v/>
      </c>
      <c r="H27" s="7" t="str">
        <f t="array" ref="H27">IF(X27="","",INDEX('Inventory - P09'!$J$16:$J$27,(INT((X27-1)/4)+1)))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P09'!$B$16:$B$27,(INT((X28-1)/4)+1))&amp;IF(INDEX('Inventory - P09'!$C$16:$C$27,(INT((X28-1)/4)+1))="",""," ("&amp;INDEX('Inventory - P09'!$C$16:$C$27,(INT((X28-1)/4)+1))&amp;" mg)"))</f>
        <v/>
      </c>
      <c r="D28" s="7" t="str">
        <f t="array" ref="D28">IF(X28="","",INDEX('Inventory - P09'!$K$16:$K$27,(INT((X28-1)/4)+1))-SUMPRODUCT(($B$10:$B$61=B28)*(($I$10:$I$61&lt;&gt;"")+($K$10:$K$61&lt;&gt;"")+($M$10:$M$61&lt;&gt;"")+($O$10:$O$61&lt;&gt;"")+($Q$10:$Q$61&lt;&gt;"")+($S$10:$S$61&lt;&gt;"")+($U$10:$U$61&lt;&gt;""))))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P09'!$D$16:$D$27,(INT((X28-1)/4)+1)))</f>
        <v/>
      </c>
      <c r="F28" s="7" t="str">
        <f t="array" ref="F28">IF(X28="","",INDEX('Inventory - P09'!$E$16:$E$27,(INT((X28-1)/4)+1)))</f>
        <v/>
      </c>
      <c r="G28" s="7" t="str">
        <f t="array" ref="G28">IF(X28="","",INDEX('Inventory - P09'!$I$16:$I$27,(INT((X28-1)/4)+1)))</f>
        <v/>
      </c>
      <c r="H28" s="7" t="str">
        <f t="array" ref="H28">IF(X28="","",INDEX('Inventory - P09'!$J$16:$J$27,(INT((X28-1)/4)+1)))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P09'!$B$16:$B$27,(INT((X29-1)/4)+1))&amp;IF(INDEX('Inventory - P09'!$C$16:$C$27,(INT((X29-1)/4)+1))="",""," ("&amp;INDEX('Inventory - P09'!$C$16:$C$27,(INT((X29-1)/4)+1))&amp;" mg)"))</f>
        <v/>
      </c>
      <c r="D29" s="7" t="str">
        <f t="array" ref="D29">IF(X29="","",INDEX('Inventory - P09'!$K$16:$K$27,(INT((X29-1)/4)+1))-SUMPRODUCT(($B$10:$B$61=B29)*(($I$10:$I$61&lt;&gt;"")+($K$10:$K$61&lt;&gt;"")+($M$10:$M$61&lt;&gt;"")+($O$10:$O$61&lt;&gt;"")+($Q$10:$Q$61&lt;&gt;"")+($S$10:$S$61&lt;&gt;"")+($U$10:$U$61&lt;&gt;""))))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P09'!$D$16:$D$27,(INT((X29-1)/4)+1)))</f>
        <v/>
      </c>
      <c r="F29" s="7" t="str">
        <f t="array" ref="F29">IF(X29="","",INDEX('Inventory - P09'!$E$16:$E$27,(INT((X29-1)/4)+1)))</f>
        <v/>
      </c>
      <c r="G29" s="7" t="str">
        <f t="array" ref="G29">IF(X29="","",INDEX('Inventory - P09'!$I$16:$I$27,(INT((X29-1)/4)+1)))</f>
        <v/>
      </c>
      <c r="H29" s="7" t="str">
        <f t="array" ref="H29">IF(X29="","",INDEX('Inventory - P09'!$J$16:$J$27,(INT((X29-1)/4)+1)))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P09'!$B$16:$B$27,(INT((X30-1)/4)+1))&amp;IF(INDEX('Inventory - P09'!$C$16:$C$27,(INT((X30-1)/4)+1))="",""," ("&amp;INDEX('Inventory - P09'!$C$16:$C$27,(INT((X30-1)/4)+1))&amp;" mg)"))</f>
        <v/>
      </c>
      <c r="D30" s="7" t="str">
        <f t="array" ref="D30">IF(X30="","",INDEX('Inventory - P09'!$K$16:$K$27,(INT((X30-1)/4)+1))-SUMPRODUCT(($B$10:$B$61=B30)*(($I$10:$I$61&lt;&gt;"")+($K$10:$K$61&lt;&gt;"")+($M$10:$M$61&lt;&gt;"")+($O$10:$O$61&lt;&gt;"")+($Q$10:$Q$61&lt;&gt;"")+($S$10:$S$61&lt;&gt;"")+($U$10:$U$61&lt;&gt;""))))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P09'!$D$16:$D$27,(INT((X30-1)/4)+1)))</f>
        <v/>
      </c>
      <c r="F30" s="7" t="str">
        <f t="array" ref="F30">IF(X30="","",INDEX('Inventory - P09'!$E$16:$E$27,(INT((X30-1)/4)+1)))</f>
        <v/>
      </c>
      <c r="G30" s="7" t="str">
        <f t="array" ref="G30">IF(X30="","",INDEX('Inventory - P09'!$I$16:$I$27,(INT((X30-1)/4)+1)))</f>
        <v/>
      </c>
      <c r="H30" s="7" t="str">
        <f t="array" ref="H30">IF(X30="","",INDEX('Inventory - P09'!$J$16:$J$27,(INT((X30-1)/4)+1)))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P09'!$B$16:$B$27,(INT((X31-1)/4)+1))&amp;IF(INDEX('Inventory - P09'!$C$16:$C$27,(INT((X31-1)/4)+1))="",""," ("&amp;INDEX('Inventory - P09'!$C$16:$C$27,(INT((X31-1)/4)+1))&amp;" mg)"))</f>
        <v/>
      </c>
      <c r="D31" s="7" t="str">
        <f t="array" ref="D31">IF(X31="","",INDEX('Inventory - P09'!$K$16:$K$27,(INT((X31-1)/4)+1))-SUMPRODUCT(($B$10:$B$61=B31)*(($I$10:$I$61&lt;&gt;"")+($K$10:$K$61&lt;&gt;"")+($M$10:$M$61&lt;&gt;"")+($O$10:$O$61&lt;&gt;"")+($Q$10:$Q$61&lt;&gt;"")+($S$10:$S$61&lt;&gt;"")+($U$10:$U$61&lt;&gt;""))))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P09'!$D$16:$D$27,(INT((X31-1)/4)+1)))</f>
        <v/>
      </c>
      <c r="F31" s="7" t="str">
        <f t="array" ref="F31">IF(X31="","",INDEX('Inventory - P09'!$E$16:$E$27,(INT((X31-1)/4)+1)))</f>
        <v/>
      </c>
      <c r="G31" s="7" t="str">
        <f t="array" ref="G31">IF(X31="","",INDEX('Inventory - P09'!$I$16:$I$27,(INT((X31-1)/4)+1)))</f>
        <v/>
      </c>
      <c r="H31" s="7" t="str">
        <f t="array" ref="H31">IF(X31="","",INDEX('Inventory - P09'!$J$16:$J$27,(INT((X31-1)/4)+1)))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P09'!$B$16:$B$27,(INT((X32-1)/4)+1))&amp;IF(INDEX('Inventory - P09'!$C$16:$C$27,(INT((X32-1)/4)+1))="",""," ("&amp;INDEX('Inventory - P09'!$C$16:$C$27,(INT((X32-1)/4)+1))&amp;" mg)"))</f>
        <v/>
      </c>
      <c r="D32" s="7" t="str">
        <f t="array" ref="D32">IF(X32="","",INDEX('Inventory - P09'!$K$16:$K$27,(INT((X32-1)/4)+1))-SUMPRODUCT(($B$10:$B$61=B32)*(($I$10:$I$61&lt;&gt;"")+($K$10:$K$61&lt;&gt;"")+($M$10:$M$61&lt;&gt;"")+($O$10:$O$61&lt;&gt;"")+($Q$10:$Q$61&lt;&gt;"")+($S$10:$S$61&lt;&gt;"")+($U$10:$U$61&lt;&gt;""))))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P09'!$D$16:$D$27,(INT((X32-1)/4)+1)))</f>
        <v/>
      </c>
      <c r="F32" s="7" t="str">
        <f t="array" ref="F32">IF(X32="","",INDEX('Inventory - P09'!$E$16:$E$27,(INT((X32-1)/4)+1)))</f>
        <v/>
      </c>
      <c r="G32" s="7" t="str">
        <f t="array" ref="G32">IF(X32="","",INDEX('Inventory - P09'!$I$16:$I$27,(INT((X32-1)/4)+1)))</f>
        <v/>
      </c>
      <c r="H32" s="7" t="str">
        <f t="array" ref="H32">IF(X32="","",INDEX('Inventory - P09'!$J$16:$J$27,(INT((X32-1)/4)+1)))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P09'!$B$16:$B$27,(INT((X33-1)/4)+1))&amp;IF(INDEX('Inventory - P09'!$C$16:$C$27,(INT((X33-1)/4)+1))="",""," ("&amp;INDEX('Inventory - P09'!$C$16:$C$27,(INT((X33-1)/4)+1))&amp;" mg)"))</f>
        <v/>
      </c>
      <c r="D33" s="7" t="str">
        <f t="array" ref="D33">IF(X33="","",INDEX('Inventory - P09'!$K$16:$K$27,(INT((X33-1)/4)+1))-SUMPRODUCT(($B$10:$B$61=B33)*(($I$10:$I$61&lt;&gt;"")+($K$10:$K$61&lt;&gt;"")+($M$10:$M$61&lt;&gt;"")+($O$10:$O$61&lt;&gt;"")+($Q$10:$Q$61&lt;&gt;"")+($S$10:$S$61&lt;&gt;"")+($U$10:$U$61&lt;&gt;""))))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P09'!$D$16:$D$27,(INT((X33-1)/4)+1)))</f>
        <v/>
      </c>
      <c r="F33" s="7" t="str">
        <f t="array" ref="F33">IF(X33="","",INDEX('Inventory - P09'!$E$16:$E$27,(INT((X33-1)/4)+1)))</f>
        <v/>
      </c>
      <c r="G33" s="7" t="str">
        <f t="array" ref="G33">IF(X33="","",INDEX('Inventory - P09'!$I$16:$I$27,(INT((X33-1)/4)+1)))</f>
        <v/>
      </c>
      <c r="H33" s="7" t="str">
        <f t="array" ref="H33">IF(X33="","",INDEX('Inventory - P09'!$J$16:$J$27,(INT((X33-1)/4)+1)))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P09'!$B$16:$B$27,(INT((X34-1)/4)+1))&amp;IF(INDEX('Inventory - P09'!$C$16:$C$27,(INT((X34-1)/4)+1))="",""," ("&amp;INDEX('Inventory - P09'!$C$16:$C$27,(INT((X34-1)/4)+1))&amp;" mg)"))</f>
        <v/>
      </c>
      <c r="D34" s="7" t="str">
        <f t="array" ref="D34">IF(X34="","",INDEX('Inventory - P09'!$K$16:$K$27,(INT((X34-1)/4)+1))-SUMPRODUCT(($B$10:$B$61=B34)*(($I$10:$I$61&lt;&gt;"")+($K$10:$K$61&lt;&gt;"")+($M$10:$M$61&lt;&gt;"")+($O$10:$O$61&lt;&gt;"")+($Q$10:$Q$61&lt;&gt;"")+($S$10:$S$61&lt;&gt;"")+($U$10:$U$61&lt;&gt;""))))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P09'!$D$16:$D$27,(INT((X34-1)/4)+1)))</f>
        <v/>
      </c>
      <c r="F34" s="7" t="str">
        <f t="array" ref="F34">IF(X34="","",INDEX('Inventory - P09'!$E$16:$E$27,(INT((X34-1)/4)+1)))</f>
        <v/>
      </c>
      <c r="G34" s="7" t="str">
        <f t="array" ref="G34">IF(X34="","",INDEX('Inventory - P09'!$I$16:$I$27,(INT((X34-1)/4)+1)))</f>
        <v/>
      </c>
      <c r="H34" s="7" t="str">
        <f t="array" ref="H34">IF(X34="","",INDEX('Inventory - P09'!$J$16:$J$27,(INT((X34-1)/4)+1)))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P09'!$B$16:$B$27,(INT((X35-1)/4)+1))&amp;IF(INDEX('Inventory - P09'!$C$16:$C$27,(INT((X35-1)/4)+1))="",""," ("&amp;INDEX('Inventory - P09'!$C$16:$C$27,(INT((X35-1)/4)+1))&amp;" mg)"))</f>
        <v/>
      </c>
      <c r="D35" s="7" t="str">
        <f t="array" ref="D35">IF(X35="","",INDEX('Inventory - P09'!$K$16:$K$27,(INT((X35-1)/4)+1))-SUMPRODUCT(($B$10:$B$61=B35)*(($I$10:$I$61&lt;&gt;"")+($K$10:$K$61&lt;&gt;"")+($M$10:$M$61&lt;&gt;"")+($O$10:$O$61&lt;&gt;"")+($Q$10:$Q$61&lt;&gt;"")+($S$10:$S$61&lt;&gt;"")+($U$10:$U$61&lt;&gt;""))))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P09'!$D$16:$D$27,(INT((X35-1)/4)+1)))</f>
        <v/>
      </c>
      <c r="F35" s="7" t="str">
        <f t="array" ref="F35">IF(X35="","",INDEX('Inventory - P09'!$E$16:$E$27,(INT((X35-1)/4)+1)))</f>
        <v/>
      </c>
      <c r="G35" s="7" t="str">
        <f t="array" ref="G35">IF(X35="","",INDEX('Inventory - P09'!$I$16:$I$27,(INT((X35-1)/4)+1)))</f>
        <v/>
      </c>
      <c r="H35" s="7" t="str">
        <f t="array" ref="H35">IF(X35="","",INDEX('Inventory - P09'!$J$16:$J$27,(INT((X35-1)/4)+1)))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P09'!$B$16:$B$27,(INT((X37-1)/4)+1))&amp;IF(INDEX('Inventory - P09'!$C$16:$C$27,(INT((X37-1)/4)+1))="",""," ("&amp;INDEX('Inventory - P09'!$C$16:$C$27,(INT((X37-1)/4)+1))&amp;" mg)"))</f>
        <v/>
      </c>
      <c r="D37" s="7" t="str">
        <f t="array" ref="D37">IF(X37="","",INDEX('Inventory - P09'!$K$16:$K$27,(INT((X37-1)/4)+1))-SUMPRODUCT(($B$10:$B$61=B37)*(($I$10:$I$61&lt;&gt;"")+($K$10:$K$61&lt;&gt;"")+($M$10:$M$61&lt;&gt;"")+($O$10:$O$61&lt;&gt;"")+($Q$10:$Q$61&lt;&gt;"")+($S$10:$S$61&lt;&gt;"")+($U$10:$U$61&lt;&gt;""))))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P09'!$D$16:$D$27,(INT((X37-1)/4)+1)))</f>
        <v/>
      </c>
      <c r="F37" s="7" t="str">
        <f t="array" ref="F37">IF(X37="","",INDEX('Inventory - P09'!$E$16:$E$27,(INT((X37-1)/4)+1)))</f>
        <v/>
      </c>
      <c r="G37" s="7" t="str">
        <f t="array" ref="G37">IF(X37="","",INDEX('Inventory - P09'!$I$16:$I$27,(INT((X37-1)/4)+1)))</f>
        <v/>
      </c>
      <c r="H37" s="7" t="str">
        <f t="array" ref="H37">IF(X37="","",INDEX('Inventory - P09'!$J$16:$J$27,(INT((X37-1)/4)+1)))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P09'!$B$16:$B$27,(INT((X38-1)/4)+1))&amp;IF(INDEX('Inventory - P09'!$C$16:$C$27,(INT((X38-1)/4)+1))="",""," ("&amp;INDEX('Inventory - P09'!$C$16:$C$27,(INT((X38-1)/4)+1))&amp;" mg)"))</f>
        <v/>
      </c>
      <c r="D38" s="7" t="str">
        <f t="array" ref="D38">IF(X38="","",INDEX('Inventory - P09'!$K$16:$K$27,(INT((X38-1)/4)+1))-SUMPRODUCT(($B$10:$B$61=B38)*(($I$10:$I$61&lt;&gt;"")+($K$10:$K$61&lt;&gt;"")+($M$10:$M$61&lt;&gt;"")+($O$10:$O$61&lt;&gt;"")+($Q$10:$Q$61&lt;&gt;"")+($S$10:$S$61&lt;&gt;"")+($U$10:$U$61&lt;&gt;""))))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P09'!$D$16:$D$27,(INT((X38-1)/4)+1)))</f>
        <v/>
      </c>
      <c r="F38" s="7" t="str">
        <f t="array" ref="F38">IF(X38="","",INDEX('Inventory - P09'!$E$16:$E$27,(INT((X38-1)/4)+1)))</f>
        <v/>
      </c>
      <c r="G38" s="7" t="str">
        <f t="array" ref="G38">IF(X38="","",INDEX('Inventory - P09'!$I$16:$I$27,(INT((X38-1)/4)+1)))</f>
        <v/>
      </c>
      <c r="H38" s="7" t="str">
        <f t="array" ref="H38">IF(X38="","",INDEX('Inventory - P09'!$J$16:$J$27,(INT((X38-1)/4)+1)))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P09'!$B$16:$B$27,(INT((X39-1)/4)+1))&amp;IF(INDEX('Inventory - P09'!$C$16:$C$27,(INT((X39-1)/4)+1))="",""," ("&amp;INDEX('Inventory - P09'!$C$16:$C$27,(INT((X39-1)/4)+1))&amp;" mg)"))</f>
        <v/>
      </c>
      <c r="D39" s="7" t="str">
        <f t="array" ref="D39">IF(X39="","",INDEX('Inventory - P09'!$K$16:$K$27,(INT((X39-1)/4)+1))-SUMPRODUCT(($B$10:$B$61=B39)*(($I$10:$I$61&lt;&gt;"")+($K$10:$K$61&lt;&gt;"")+($M$10:$M$61&lt;&gt;"")+($O$10:$O$61&lt;&gt;"")+($Q$10:$Q$61&lt;&gt;"")+($S$10:$S$61&lt;&gt;"")+($U$10:$U$61&lt;&gt;""))))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P09'!$D$16:$D$27,(INT((X39-1)/4)+1)))</f>
        <v/>
      </c>
      <c r="F39" s="7" t="str">
        <f t="array" ref="F39">IF(X39="","",INDEX('Inventory - P09'!$E$16:$E$27,(INT((X39-1)/4)+1)))</f>
        <v/>
      </c>
      <c r="G39" s="7" t="str">
        <f t="array" ref="G39">IF(X39="","",INDEX('Inventory - P09'!$I$16:$I$27,(INT((X39-1)/4)+1)))</f>
        <v/>
      </c>
      <c r="H39" s="7" t="str">
        <f t="array" ref="H39">IF(X39="","",INDEX('Inventory - P09'!$J$16:$J$27,(INT((X39-1)/4)+1)))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P09'!$B$16:$B$27,(INT((X40-1)/4)+1))&amp;IF(INDEX('Inventory - P09'!$C$16:$C$27,(INT((X40-1)/4)+1))="",""," ("&amp;INDEX('Inventory - P09'!$C$16:$C$27,(INT((X40-1)/4)+1))&amp;" mg)"))</f>
        <v/>
      </c>
      <c r="D40" s="7" t="str">
        <f t="array" ref="D40">IF(X40="","",INDEX('Inventory - P09'!$K$16:$K$27,(INT((X40-1)/4)+1))-SUMPRODUCT(($B$10:$B$61=B40)*(($I$10:$I$61&lt;&gt;"")+($K$10:$K$61&lt;&gt;"")+($M$10:$M$61&lt;&gt;"")+($O$10:$O$61&lt;&gt;"")+($Q$10:$Q$61&lt;&gt;"")+($S$10:$S$61&lt;&gt;"")+($U$10:$U$61&lt;&gt;""))))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P09'!$D$16:$D$27,(INT((X40-1)/4)+1)))</f>
        <v/>
      </c>
      <c r="F40" s="7" t="str">
        <f t="array" ref="F40">IF(X40="","",INDEX('Inventory - P09'!$E$16:$E$27,(INT((X40-1)/4)+1)))</f>
        <v/>
      </c>
      <c r="G40" s="7" t="str">
        <f t="array" ref="G40">IF(X40="","",INDEX('Inventory - P09'!$I$16:$I$27,(INT((X40-1)/4)+1)))</f>
        <v/>
      </c>
      <c r="H40" s="7" t="str">
        <f t="array" ref="H40">IF(X40="","",INDEX('Inventory - P09'!$J$16:$J$27,(INT((X40-1)/4)+1)))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P09'!$B$16:$B$27,(INT((X41-1)/4)+1))&amp;IF(INDEX('Inventory - P09'!$C$16:$C$27,(INT((X41-1)/4)+1))="",""," ("&amp;INDEX('Inventory - P09'!$C$16:$C$27,(INT((X41-1)/4)+1))&amp;" mg)"))</f>
        <v/>
      </c>
      <c r="D41" s="7" t="str">
        <f t="array" ref="D41">IF(X41="","",INDEX('Inventory - P09'!$K$16:$K$27,(INT((X41-1)/4)+1))-SUMPRODUCT(($B$10:$B$61=B41)*(($I$10:$I$61&lt;&gt;"")+($K$10:$K$61&lt;&gt;"")+($M$10:$M$61&lt;&gt;"")+($O$10:$O$61&lt;&gt;"")+($Q$10:$Q$61&lt;&gt;"")+($S$10:$S$61&lt;&gt;"")+($U$10:$U$61&lt;&gt;""))))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P09'!$D$16:$D$27,(INT((X41-1)/4)+1)))</f>
        <v/>
      </c>
      <c r="F41" s="7" t="str">
        <f t="array" ref="F41">IF(X41="","",INDEX('Inventory - P09'!$E$16:$E$27,(INT((X41-1)/4)+1)))</f>
        <v/>
      </c>
      <c r="G41" s="7" t="str">
        <f t="array" ref="G41">IF(X41="","",INDEX('Inventory - P09'!$I$16:$I$27,(INT((X41-1)/4)+1)))</f>
        <v/>
      </c>
      <c r="H41" s="7" t="str">
        <f t="array" ref="H41">IF(X41="","",INDEX('Inventory - P09'!$J$16:$J$27,(INT((X41-1)/4)+1)))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P09'!$B$16:$B$27,(INT((X42-1)/4)+1))&amp;IF(INDEX('Inventory - P09'!$C$16:$C$27,(INT((X42-1)/4)+1))="",""," ("&amp;INDEX('Inventory - P09'!$C$16:$C$27,(INT((X42-1)/4)+1))&amp;" mg)"))</f>
        <v/>
      </c>
      <c r="D42" s="7" t="str">
        <f t="array" ref="D42">IF(X42="","",INDEX('Inventory - P09'!$K$16:$K$27,(INT((X42-1)/4)+1))-SUMPRODUCT(($B$10:$B$61=B42)*(($I$10:$I$61&lt;&gt;"")+($K$10:$K$61&lt;&gt;"")+($M$10:$M$61&lt;&gt;"")+($O$10:$O$61&lt;&gt;"")+($Q$10:$Q$61&lt;&gt;"")+($S$10:$S$61&lt;&gt;"")+($U$10:$U$61&lt;&gt;""))))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P09'!$D$16:$D$27,(INT((X42-1)/4)+1)))</f>
        <v/>
      </c>
      <c r="F42" s="7" t="str">
        <f t="array" ref="F42">IF(X42="","",INDEX('Inventory - P09'!$E$16:$E$27,(INT((X42-1)/4)+1)))</f>
        <v/>
      </c>
      <c r="G42" s="7" t="str">
        <f t="array" ref="G42">IF(X42="","",INDEX('Inventory - P09'!$I$16:$I$27,(INT((X42-1)/4)+1)))</f>
        <v/>
      </c>
      <c r="H42" s="7" t="str">
        <f t="array" ref="H42">IF(X42="","",INDEX('Inventory - P09'!$J$16:$J$27,(INT((X42-1)/4)+1)))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P09'!$B$16:$B$27,(INT((X43-1)/4)+1))&amp;IF(INDEX('Inventory - P09'!$C$16:$C$27,(INT((X43-1)/4)+1))="",""," ("&amp;INDEX('Inventory - P09'!$C$16:$C$27,(INT((X43-1)/4)+1))&amp;" mg)"))</f>
        <v/>
      </c>
      <c r="D43" s="7" t="str">
        <f t="array" ref="D43">IF(X43="","",INDEX('Inventory - P09'!$K$16:$K$27,(INT((X43-1)/4)+1))-SUMPRODUCT(($B$10:$B$61=B43)*(($I$10:$I$61&lt;&gt;"")+($K$10:$K$61&lt;&gt;"")+($M$10:$M$61&lt;&gt;"")+($O$10:$O$61&lt;&gt;"")+($Q$10:$Q$61&lt;&gt;"")+($S$10:$S$61&lt;&gt;"")+($U$10:$U$61&lt;&gt;""))))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P09'!$D$16:$D$27,(INT((X43-1)/4)+1)))</f>
        <v/>
      </c>
      <c r="F43" s="7" t="str">
        <f t="array" ref="F43">IF(X43="","",INDEX('Inventory - P09'!$E$16:$E$27,(INT((X43-1)/4)+1)))</f>
        <v/>
      </c>
      <c r="G43" s="7" t="str">
        <f t="array" ref="G43">IF(X43="","",INDEX('Inventory - P09'!$I$16:$I$27,(INT((X43-1)/4)+1)))</f>
        <v/>
      </c>
      <c r="H43" s="7" t="str">
        <f t="array" ref="H43">IF(X43="","",INDEX('Inventory - P09'!$J$16:$J$27,(INT((X43-1)/4)+1)))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P09'!$B$16:$B$27,(INT((X44-1)/4)+1))&amp;IF(INDEX('Inventory - P09'!$C$16:$C$27,(INT((X44-1)/4)+1))="",""," ("&amp;INDEX('Inventory - P09'!$C$16:$C$27,(INT((X44-1)/4)+1))&amp;" mg)"))</f>
        <v/>
      </c>
      <c r="D44" s="7" t="str">
        <f t="array" ref="D44">IF(X44="","",INDEX('Inventory - P09'!$K$16:$K$27,(INT((X44-1)/4)+1))-SUMPRODUCT(($B$10:$B$61=B44)*(($I$10:$I$61&lt;&gt;"")+($K$10:$K$61&lt;&gt;"")+($M$10:$M$61&lt;&gt;"")+($O$10:$O$61&lt;&gt;"")+($Q$10:$Q$61&lt;&gt;"")+($S$10:$S$61&lt;&gt;"")+($U$10:$U$61&lt;&gt;""))))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P09'!$D$16:$D$27,(INT((X44-1)/4)+1)))</f>
        <v/>
      </c>
      <c r="F44" s="7" t="str">
        <f t="array" ref="F44">IF(X44="","",INDEX('Inventory - P09'!$E$16:$E$27,(INT((X44-1)/4)+1)))</f>
        <v/>
      </c>
      <c r="G44" s="7" t="str">
        <f t="array" ref="G44">IF(X44="","",INDEX('Inventory - P09'!$I$16:$I$27,(INT((X44-1)/4)+1)))</f>
        <v/>
      </c>
      <c r="H44" s="7" t="str">
        <f t="array" ref="H44">IF(X44="","",INDEX('Inventory - P09'!$J$16:$J$27,(INT((X44-1)/4)+1)))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P09'!$B$16:$B$27,(INT((X45-1)/4)+1))&amp;IF(INDEX('Inventory - P09'!$C$16:$C$27,(INT((X45-1)/4)+1))="",""," ("&amp;INDEX('Inventory - P09'!$C$16:$C$27,(INT((X45-1)/4)+1))&amp;" mg)"))</f>
        <v/>
      </c>
      <c r="D45" s="7" t="str">
        <f t="array" ref="D45">IF(X45="","",INDEX('Inventory - P09'!$K$16:$K$27,(INT((X45-1)/4)+1))-SUMPRODUCT(($B$10:$B$61=B45)*(($I$10:$I$61&lt;&gt;"")+($K$10:$K$61&lt;&gt;"")+($M$10:$M$61&lt;&gt;"")+($O$10:$O$61&lt;&gt;"")+($Q$10:$Q$61&lt;&gt;"")+($S$10:$S$61&lt;&gt;"")+($U$10:$U$61&lt;&gt;""))))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P09'!$D$16:$D$27,(INT((X45-1)/4)+1)))</f>
        <v/>
      </c>
      <c r="F45" s="7" t="str">
        <f t="array" ref="F45">IF(X45="","",INDEX('Inventory - P09'!$E$16:$E$27,(INT((X45-1)/4)+1)))</f>
        <v/>
      </c>
      <c r="G45" s="7" t="str">
        <f t="array" ref="G45">IF(X45="","",INDEX('Inventory - P09'!$I$16:$I$27,(INT((X45-1)/4)+1)))</f>
        <v/>
      </c>
      <c r="H45" s="7" t="str">
        <f t="array" ref="H45">IF(X45="","",INDEX('Inventory - P09'!$J$16:$J$27,(INT((X45-1)/4)+1)))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P09'!$B$16:$B$27,(INT((X46-1)/4)+1))&amp;IF(INDEX('Inventory - P09'!$C$16:$C$27,(INT((X46-1)/4)+1))="",""," ("&amp;INDEX('Inventory - P09'!$C$16:$C$27,(INT((X46-1)/4)+1))&amp;" mg)"))</f>
        <v/>
      </c>
      <c r="D46" s="7" t="str">
        <f t="array" ref="D46">IF(X46="","",INDEX('Inventory - P09'!$K$16:$K$27,(INT((X46-1)/4)+1))-SUMPRODUCT(($B$10:$B$61=B46)*(($I$10:$I$61&lt;&gt;"")+($K$10:$K$61&lt;&gt;"")+($M$10:$M$61&lt;&gt;"")+($O$10:$O$61&lt;&gt;"")+($Q$10:$Q$61&lt;&gt;"")+($S$10:$S$61&lt;&gt;"")+($U$10:$U$61&lt;&gt;""))))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P09'!$D$16:$D$27,(INT((X46-1)/4)+1)))</f>
        <v/>
      </c>
      <c r="F46" s="7" t="str">
        <f t="array" ref="F46">IF(X46="","",INDEX('Inventory - P09'!$E$16:$E$27,(INT((X46-1)/4)+1)))</f>
        <v/>
      </c>
      <c r="G46" s="7" t="str">
        <f t="array" ref="G46">IF(X46="","",INDEX('Inventory - P09'!$I$16:$I$27,(INT((X46-1)/4)+1)))</f>
        <v/>
      </c>
      <c r="H46" s="7" t="str">
        <f t="array" ref="H46">IF(X46="","",INDEX('Inventory - P09'!$J$16:$J$27,(INT((X46-1)/4)+1)))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P09'!$B$16:$B$27,(INT((X47-1)/4)+1))&amp;IF(INDEX('Inventory - P09'!$C$16:$C$27,(INT((X47-1)/4)+1))="",""," ("&amp;INDEX('Inventory - P09'!$C$16:$C$27,(INT((X47-1)/4)+1))&amp;" mg)"))</f>
        <v/>
      </c>
      <c r="D47" s="7" t="str">
        <f t="array" ref="D47">IF(X47="","",INDEX('Inventory - P09'!$K$16:$K$27,(INT((X47-1)/4)+1))-SUMPRODUCT(($B$10:$B$61=B47)*(($I$10:$I$61&lt;&gt;"")+($K$10:$K$61&lt;&gt;"")+($M$10:$M$61&lt;&gt;"")+($O$10:$O$61&lt;&gt;"")+($Q$10:$Q$61&lt;&gt;"")+($S$10:$S$61&lt;&gt;"")+($U$10:$U$61&lt;&gt;""))))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P09'!$D$16:$D$27,(INT((X47-1)/4)+1)))</f>
        <v/>
      </c>
      <c r="F47" s="7" t="str">
        <f t="array" ref="F47">IF(X47="","",INDEX('Inventory - P09'!$E$16:$E$27,(INT((X47-1)/4)+1)))</f>
        <v/>
      </c>
      <c r="G47" s="7" t="str">
        <f t="array" ref="G47">IF(X47="","",INDEX('Inventory - P09'!$I$16:$I$27,(INT((X47-1)/4)+1)))</f>
        <v/>
      </c>
      <c r="H47" s="7" t="str">
        <f t="array" ref="H47">IF(X47="","",INDEX('Inventory - P09'!$J$16:$J$27,(INT((X47-1)/4)+1)))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P09'!$B$16:$B$27,(INT((X48-1)/4)+1))&amp;IF(INDEX('Inventory - P09'!$C$16:$C$27,(INT((X48-1)/4)+1))="",""," ("&amp;INDEX('Inventory - P09'!$C$16:$C$27,(INT((X48-1)/4)+1))&amp;" mg)"))</f>
        <v/>
      </c>
      <c r="D48" s="7" t="str">
        <f t="array" ref="D48">IF(X48="","",INDEX('Inventory - P09'!$K$16:$K$27,(INT((X48-1)/4)+1))-SUMPRODUCT(($B$10:$B$61=B48)*(($I$10:$I$61&lt;&gt;"")+($K$10:$K$61&lt;&gt;"")+($M$10:$M$61&lt;&gt;"")+($O$10:$O$61&lt;&gt;"")+($Q$10:$Q$61&lt;&gt;"")+($S$10:$S$61&lt;&gt;"")+($U$10:$U$61&lt;&gt;""))))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P09'!$D$16:$D$27,(INT((X48-1)/4)+1)))</f>
        <v/>
      </c>
      <c r="F48" s="7" t="str">
        <f t="array" ref="F48">IF(X48="","",INDEX('Inventory - P09'!$E$16:$E$27,(INT((X48-1)/4)+1)))</f>
        <v/>
      </c>
      <c r="G48" s="7" t="str">
        <f t="array" ref="G48">IF(X48="","",INDEX('Inventory - P09'!$I$16:$I$27,(INT((X48-1)/4)+1)))</f>
        <v/>
      </c>
      <c r="H48" s="7" t="str">
        <f t="array" ref="H48">IF(X48="","",INDEX('Inventory - P09'!$J$16:$J$27,(INT((X48-1)/4)+1)))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P09'!$B$16:$B$27,(INT((X50-1)/4)+1))&amp;IF(INDEX('Inventory - P09'!$C$16:$C$27,(INT((X50-1)/4)+1))="",""," ("&amp;INDEX('Inventory - P09'!$C$16:$C$27,(INT((X50-1)/4)+1))&amp;" mg)"))</f>
        <v/>
      </c>
      <c r="D50" s="7" t="str">
        <f t="array" ref="D50">IF(X50="","",INDEX('Inventory - P09'!$K$16:$K$27,(INT((X50-1)/4)+1))-SUMPRODUCT(($B$10:$B$61=B50)*(($I$10:$I$61&lt;&gt;"")+($K$10:$K$61&lt;&gt;"")+($M$10:$M$61&lt;&gt;"")+($O$10:$O$61&lt;&gt;"")+($Q$10:$Q$61&lt;&gt;"")+($S$10:$S$61&lt;&gt;"")+($U$10:$U$61&lt;&gt;""))))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P09'!$D$16:$D$27,(INT((X50-1)/4)+1)))</f>
        <v/>
      </c>
      <c r="F50" s="7" t="str">
        <f t="array" ref="F50">IF(X50="","",INDEX('Inventory - P09'!$E$16:$E$27,(INT((X50-1)/4)+1)))</f>
        <v/>
      </c>
      <c r="G50" s="7" t="str">
        <f t="array" ref="G50">IF(X50="","",INDEX('Inventory - P09'!$I$16:$I$27,(INT((X50-1)/4)+1)))</f>
        <v/>
      </c>
      <c r="H50" s="7" t="str">
        <f t="array" ref="H50">IF(X50="","",INDEX('Inventory - P09'!$J$16:$J$27,(INT((X50-1)/4)+1)))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P09'!$B$16:$B$27,(INT((X51-1)/4)+1))&amp;IF(INDEX('Inventory - P09'!$C$16:$C$27,(INT((X51-1)/4)+1))="",""," ("&amp;INDEX('Inventory - P09'!$C$16:$C$27,(INT((X51-1)/4)+1))&amp;" mg)"))</f>
        <v/>
      </c>
      <c r="D51" s="7" t="str">
        <f t="array" ref="D51">IF(X51="","",INDEX('Inventory - P09'!$K$16:$K$27,(INT((X51-1)/4)+1))-SUMPRODUCT(($B$10:$B$61=B51)*(($I$10:$I$61&lt;&gt;"")+($K$10:$K$61&lt;&gt;"")+($M$10:$M$61&lt;&gt;"")+($O$10:$O$61&lt;&gt;"")+($Q$10:$Q$61&lt;&gt;"")+($S$10:$S$61&lt;&gt;"")+($U$10:$U$61&lt;&gt;""))))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P09'!$D$16:$D$27,(INT((X51-1)/4)+1)))</f>
        <v/>
      </c>
      <c r="F51" s="7" t="str">
        <f t="array" ref="F51">IF(X51="","",INDEX('Inventory - P09'!$E$16:$E$27,(INT((X51-1)/4)+1)))</f>
        <v/>
      </c>
      <c r="G51" s="7" t="str">
        <f t="array" ref="G51">IF(X51="","",INDEX('Inventory - P09'!$I$16:$I$27,(INT((X51-1)/4)+1)))</f>
        <v/>
      </c>
      <c r="H51" s="7" t="str">
        <f t="array" ref="H51">IF(X51="","",INDEX('Inventory - P09'!$J$16:$J$27,(INT((X51-1)/4)+1)))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P09'!$B$16:$B$27,(INT((X52-1)/4)+1))&amp;IF(INDEX('Inventory - P09'!$C$16:$C$27,(INT((X52-1)/4)+1))="",""," ("&amp;INDEX('Inventory - P09'!$C$16:$C$27,(INT((X52-1)/4)+1))&amp;" mg)"))</f>
        <v/>
      </c>
      <c r="D52" s="7" t="str">
        <f t="array" ref="D52">IF(X52="","",INDEX('Inventory - P09'!$K$16:$K$27,(INT((X52-1)/4)+1))-SUMPRODUCT(($B$10:$B$61=B52)*(($I$10:$I$61&lt;&gt;"")+($K$10:$K$61&lt;&gt;"")+($M$10:$M$61&lt;&gt;"")+($O$10:$O$61&lt;&gt;"")+($Q$10:$Q$61&lt;&gt;"")+($S$10:$S$61&lt;&gt;"")+($U$10:$U$61&lt;&gt;""))))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P09'!$D$16:$D$27,(INT((X52-1)/4)+1)))</f>
        <v/>
      </c>
      <c r="F52" s="7" t="str">
        <f t="array" ref="F52">IF(X52="","",INDEX('Inventory - P09'!$E$16:$E$27,(INT((X52-1)/4)+1)))</f>
        <v/>
      </c>
      <c r="G52" s="7" t="str">
        <f t="array" ref="G52">IF(X52="","",INDEX('Inventory - P09'!$I$16:$I$27,(INT((X52-1)/4)+1)))</f>
        <v/>
      </c>
      <c r="H52" s="7" t="str">
        <f t="array" ref="H52">IF(X52="","",INDEX('Inventory - P09'!$J$16:$J$27,(INT((X52-1)/4)+1)))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P09'!$B$16:$B$27,(INT((X53-1)/4)+1))&amp;IF(INDEX('Inventory - P09'!$C$16:$C$27,(INT((X53-1)/4)+1))="",""," ("&amp;INDEX('Inventory - P09'!$C$16:$C$27,(INT((X53-1)/4)+1))&amp;" mg)"))</f>
        <v/>
      </c>
      <c r="D53" s="7" t="str">
        <f t="array" ref="D53">IF(X53="","",INDEX('Inventory - P09'!$K$16:$K$27,(INT((X53-1)/4)+1))-SUMPRODUCT(($B$10:$B$61=B53)*(($I$10:$I$61&lt;&gt;"")+($K$10:$K$61&lt;&gt;"")+($M$10:$M$61&lt;&gt;"")+($O$10:$O$61&lt;&gt;"")+($Q$10:$Q$61&lt;&gt;"")+($S$10:$S$61&lt;&gt;"")+($U$10:$U$61&lt;&gt;""))))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P09'!$D$16:$D$27,(INT((X53-1)/4)+1)))</f>
        <v/>
      </c>
      <c r="F53" s="7" t="str">
        <f t="array" ref="F53">IF(X53="","",INDEX('Inventory - P09'!$E$16:$E$27,(INT((X53-1)/4)+1)))</f>
        <v/>
      </c>
      <c r="G53" s="7" t="str">
        <f t="array" ref="G53">IF(X53="","",INDEX('Inventory - P09'!$I$16:$I$27,(INT((X53-1)/4)+1)))</f>
        <v/>
      </c>
      <c r="H53" s="7" t="str">
        <f t="array" ref="H53">IF(X53="","",INDEX('Inventory - P09'!$J$16:$J$27,(INT((X53-1)/4)+1)))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P09'!$B$16:$B$27,(INT((X54-1)/4)+1))&amp;IF(INDEX('Inventory - P09'!$C$16:$C$27,(INT((X54-1)/4)+1))="",""," ("&amp;INDEX('Inventory - P09'!$C$16:$C$27,(INT((X54-1)/4)+1))&amp;" mg)"))</f>
        <v/>
      </c>
      <c r="D54" s="7" t="str">
        <f t="array" ref="D54">IF(X54="","",INDEX('Inventory - P09'!$K$16:$K$27,(INT((X54-1)/4)+1))-SUMPRODUCT(($B$10:$B$61=B54)*(($I$10:$I$61&lt;&gt;"")+($K$10:$K$61&lt;&gt;"")+($M$10:$M$61&lt;&gt;"")+($O$10:$O$61&lt;&gt;"")+($Q$10:$Q$61&lt;&gt;"")+($S$10:$S$61&lt;&gt;"")+($U$10:$U$61&lt;&gt;""))))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P09'!$D$16:$D$27,(INT((X54-1)/4)+1)))</f>
        <v/>
      </c>
      <c r="F54" s="7" t="str">
        <f t="array" ref="F54">IF(X54="","",INDEX('Inventory - P09'!$E$16:$E$27,(INT((X54-1)/4)+1)))</f>
        <v/>
      </c>
      <c r="G54" s="7" t="str">
        <f t="array" ref="G54">IF(X54="","",INDEX('Inventory - P09'!$I$16:$I$27,(INT((X54-1)/4)+1)))</f>
        <v/>
      </c>
      <c r="H54" s="7" t="str">
        <f t="array" ref="H54">IF(X54="","",INDEX('Inventory - P09'!$J$16:$J$27,(INT((X54-1)/4)+1)))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P09'!$B$16:$B$27,(INT((X55-1)/4)+1))&amp;IF(INDEX('Inventory - P09'!$C$16:$C$27,(INT((X55-1)/4)+1))="",""," ("&amp;INDEX('Inventory - P09'!$C$16:$C$27,(INT((X55-1)/4)+1))&amp;" mg)"))</f>
        <v/>
      </c>
      <c r="D55" s="7" t="str">
        <f t="array" ref="D55">IF(X55="","",INDEX('Inventory - P09'!$K$16:$K$27,(INT((X55-1)/4)+1))-SUMPRODUCT(($B$10:$B$61=B55)*(($I$10:$I$61&lt;&gt;"")+($K$10:$K$61&lt;&gt;"")+($M$10:$M$61&lt;&gt;"")+($O$10:$O$61&lt;&gt;"")+($Q$10:$Q$61&lt;&gt;"")+($S$10:$S$61&lt;&gt;"")+($U$10:$U$61&lt;&gt;""))))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P09'!$D$16:$D$27,(INT((X55-1)/4)+1)))</f>
        <v/>
      </c>
      <c r="F55" s="7" t="str">
        <f t="array" ref="F55">IF(X55="","",INDEX('Inventory - P09'!$E$16:$E$27,(INT((X55-1)/4)+1)))</f>
        <v/>
      </c>
      <c r="G55" s="7" t="str">
        <f t="array" ref="G55">IF(X55="","",INDEX('Inventory - P09'!$I$16:$I$27,(INT((X55-1)/4)+1)))</f>
        <v/>
      </c>
      <c r="H55" s="7" t="str">
        <f t="array" ref="H55">IF(X55="","",INDEX('Inventory - P09'!$J$16:$J$27,(INT((X55-1)/4)+1)))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P09'!$B$16:$B$27,(INT((X56-1)/4)+1))&amp;IF(INDEX('Inventory - P09'!$C$16:$C$27,(INT((X56-1)/4)+1))="",""," ("&amp;INDEX('Inventory - P09'!$C$16:$C$27,(INT((X56-1)/4)+1))&amp;" mg)"))</f>
        <v/>
      </c>
      <c r="D56" s="7" t="str">
        <f t="array" ref="D56">IF(X56="","",INDEX('Inventory - P09'!$K$16:$K$27,(INT((X56-1)/4)+1))-SUMPRODUCT(($B$10:$B$61=B56)*(($I$10:$I$61&lt;&gt;"")+($K$10:$K$61&lt;&gt;"")+($M$10:$M$61&lt;&gt;"")+($O$10:$O$61&lt;&gt;"")+($Q$10:$Q$61&lt;&gt;"")+($S$10:$S$61&lt;&gt;"")+($U$10:$U$61&lt;&gt;""))))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P09'!$D$16:$D$27,(INT((X56-1)/4)+1)))</f>
        <v/>
      </c>
      <c r="F56" s="7" t="str">
        <f t="array" ref="F56">IF(X56="","",INDEX('Inventory - P09'!$E$16:$E$27,(INT((X56-1)/4)+1)))</f>
        <v/>
      </c>
      <c r="G56" s="7" t="str">
        <f t="array" ref="G56">IF(X56="","",INDEX('Inventory - P09'!$I$16:$I$27,(INT((X56-1)/4)+1)))</f>
        <v/>
      </c>
      <c r="H56" s="7" t="str">
        <f t="array" ref="H56">IF(X56="","",INDEX('Inventory - P09'!$J$16:$J$27,(INT((X56-1)/4)+1)))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P09'!$B$16:$B$27,(INT((X57-1)/4)+1))&amp;IF(INDEX('Inventory - P09'!$C$16:$C$27,(INT((X57-1)/4)+1))="",""," ("&amp;INDEX('Inventory - P09'!$C$16:$C$27,(INT((X57-1)/4)+1))&amp;" mg)"))</f>
        <v/>
      </c>
      <c r="D57" s="7" t="str">
        <f t="array" ref="D57">IF(X57="","",INDEX('Inventory - P09'!$K$16:$K$27,(INT((X57-1)/4)+1))-SUMPRODUCT(($B$10:$B$61=B57)*(($I$10:$I$61&lt;&gt;"")+($K$10:$K$61&lt;&gt;"")+($M$10:$M$61&lt;&gt;"")+($O$10:$O$61&lt;&gt;"")+($Q$10:$Q$61&lt;&gt;"")+($S$10:$S$61&lt;&gt;"")+($U$10:$U$61&lt;&gt;""))))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P09'!$D$16:$D$27,(INT((X57-1)/4)+1)))</f>
        <v/>
      </c>
      <c r="F57" s="7" t="str">
        <f t="array" ref="F57">IF(X57="","",INDEX('Inventory - P09'!$E$16:$E$27,(INT((X57-1)/4)+1)))</f>
        <v/>
      </c>
      <c r="G57" s="7" t="str">
        <f t="array" ref="G57">IF(X57="","",INDEX('Inventory - P09'!$I$16:$I$27,(INT((X57-1)/4)+1)))</f>
        <v/>
      </c>
      <c r="H57" s="7" t="str">
        <f t="array" ref="H57">IF(X57="","",INDEX('Inventory - P09'!$J$16:$J$27,(INT((X57-1)/4)+1)))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P09'!$B$16:$B$27,(INT((X58-1)/4)+1))&amp;IF(INDEX('Inventory - P09'!$C$16:$C$27,(INT((X58-1)/4)+1))="",""," ("&amp;INDEX('Inventory - P09'!$C$16:$C$27,(INT((X58-1)/4)+1))&amp;" mg)"))</f>
        <v/>
      </c>
      <c r="D58" s="7" t="str">
        <f t="array" ref="D58">IF(X58="","",INDEX('Inventory - P09'!$K$16:$K$27,(INT((X58-1)/4)+1))-SUMPRODUCT(($B$10:$B$61=B58)*(($I$10:$I$61&lt;&gt;"")+($K$10:$K$61&lt;&gt;"")+($M$10:$M$61&lt;&gt;"")+($O$10:$O$61&lt;&gt;"")+($Q$10:$Q$61&lt;&gt;"")+($S$10:$S$61&lt;&gt;"")+($U$10:$U$61&lt;&gt;""))))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P09'!$D$16:$D$27,(INT((X58-1)/4)+1)))</f>
        <v/>
      </c>
      <c r="F58" s="7" t="str">
        <f t="array" ref="F58">IF(X58="","",INDEX('Inventory - P09'!$E$16:$E$27,(INT((X58-1)/4)+1)))</f>
        <v/>
      </c>
      <c r="G58" s="7" t="str">
        <f t="array" ref="G58">IF(X58="","",INDEX('Inventory - P09'!$I$16:$I$27,(INT((X58-1)/4)+1)))</f>
        <v/>
      </c>
      <c r="H58" s="7" t="str">
        <f t="array" ref="H58">IF(X58="","",INDEX('Inventory - P09'!$J$16:$J$27,(INT((X58-1)/4)+1)))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P09'!$B$16:$B$27,(INT((X59-1)/4)+1))&amp;IF(INDEX('Inventory - P09'!$C$16:$C$27,(INT((X59-1)/4)+1))="",""," ("&amp;INDEX('Inventory - P09'!$C$16:$C$27,(INT((X59-1)/4)+1))&amp;" mg)"))</f>
        <v/>
      </c>
      <c r="D59" s="7" t="str">
        <f t="array" ref="D59">IF(X59="","",INDEX('Inventory - P09'!$K$16:$K$27,(INT((X59-1)/4)+1))-SUMPRODUCT(($B$10:$B$61=B59)*(($I$10:$I$61&lt;&gt;"")+($K$10:$K$61&lt;&gt;"")+($M$10:$M$61&lt;&gt;"")+($O$10:$O$61&lt;&gt;"")+($Q$10:$Q$61&lt;&gt;"")+($S$10:$S$61&lt;&gt;"")+($U$10:$U$61&lt;&gt;""))))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P09'!$D$16:$D$27,(INT((X59-1)/4)+1)))</f>
        <v/>
      </c>
      <c r="F59" s="7" t="str">
        <f t="array" ref="F59">IF(X59="","",INDEX('Inventory - P09'!$E$16:$E$27,(INT((X59-1)/4)+1)))</f>
        <v/>
      </c>
      <c r="G59" s="7" t="str">
        <f t="array" ref="G59">IF(X59="","",INDEX('Inventory - P09'!$I$16:$I$27,(INT((X59-1)/4)+1)))</f>
        <v/>
      </c>
      <c r="H59" s="7" t="str">
        <f t="array" ref="H59">IF(X59="","",INDEX('Inventory - P09'!$J$16:$J$27,(INT((X59-1)/4)+1)))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P09'!$B$16:$B$27,(INT((X60-1)/4)+1))&amp;IF(INDEX('Inventory - P09'!$C$16:$C$27,(INT((X60-1)/4)+1))="",""," ("&amp;INDEX('Inventory - P09'!$C$16:$C$27,(INT((X60-1)/4)+1))&amp;" mg)"))</f>
        <v/>
      </c>
      <c r="D60" s="7" t="str">
        <f t="array" ref="D60">IF(X60="","",INDEX('Inventory - P09'!$K$16:$K$27,(INT((X60-1)/4)+1))-SUMPRODUCT(($B$10:$B$61=B60)*(($I$10:$I$61&lt;&gt;"")+($K$10:$K$61&lt;&gt;"")+($M$10:$M$61&lt;&gt;"")+($O$10:$O$61&lt;&gt;"")+($Q$10:$Q$61&lt;&gt;"")+($S$10:$S$61&lt;&gt;"")+($U$10:$U$61&lt;&gt;""))))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P09'!$D$16:$D$27,(INT((X60-1)/4)+1)))</f>
        <v/>
      </c>
      <c r="F60" s="7" t="str">
        <f t="array" ref="F60">IF(X60="","",INDEX('Inventory - P09'!$E$16:$E$27,(INT((X60-1)/4)+1)))</f>
        <v/>
      </c>
      <c r="G60" s="7" t="str">
        <f t="array" ref="G60">IF(X60="","",INDEX('Inventory - P09'!$I$16:$I$27,(INT((X60-1)/4)+1)))</f>
        <v/>
      </c>
      <c r="H60" s="7" t="str">
        <f t="array" ref="H60">IF(X60="","",INDEX('Inventory - P09'!$J$16:$J$27,(INT((X60-1)/4)+1)))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P09'!$B$16:$B$27,(INT((X61-1)/4)+1))&amp;IF(INDEX('Inventory - P09'!$C$16:$C$27,(INT((X61-1)/4)+1))="",""," ("&amp;INDEX('Inventory - P09'!$C$16:$C$27,(INT((X61-1)/4)+1))&amp;" mg)"))</f>
        <v/>
      </c>
      <c r="D61" s="7" t="str">
        <f t="array" ref="D61">IF(X61="","",INDEX('Inventory - P09'!$K$16:$K$27,(INT((X61-1)/4)+1))-SUMPRODUCT(($B$10:$B$61=B61)*(($I$10:$I$61&lt;&gt;"")+($K$10:$K$61&lt;&gt;"")+($M$10:$M$61&lt;&gt;"")+($O$10:$O$61&lt;&gt;"")+($Q$10:$Q$61&lt;&gt;"")+($S$10:$S$61&lt;&gt;"")+($U$10:$U$61&lt;&gt;""))))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P09'!$D$16:$D$27,(INT((X61-1)/4)+1)))</f>
        <v/>
      </c>
      <c r="F61" s="7" t="str">
        <f t="array" ref="F61">IF(X61="","",INDEX('Inventory - P09'!$E$16:$E$27,(INT((X61-1)/4)+1)))</f>
        <v/>
      </c>
      <c r="G61" s="7" t="str">
        <f t="array" ref="G61">IF(X61="","",INDEX('Inventory - P09'!$I$16:$I$27,(INT((X61-1)/4)+1)))</f>
        <v/>
      </c>
      <c r="H61" s="7" t="str">
        <f t="array" ref="H61">IF(X61="","",INDEX('Inventory - P09'!$J$16:$J$27,(INT((X61-1)/4)+1)))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P09'!E16&lt;1,'Inventory - P09'!F16="",'Inventory - P09'!G16=""),9,MOD('Inventory - P09'!F16+0*'Inventory - P09'!G16/24,1))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P09'!E16&lt;2,'Inventory - P09'!F16="",'Inventory - P09'!G16=""),9,MOD('Inventory - P09'!F16+1*'Inventory - P09'!G16/24,1))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P09'!E16&lt;3,'Inventory - P09'!F16="",'Inventory - P09'!G16=""),9,MOD('Inventory - P09'!F16+2*'Inventory - P09'!G16/24,1))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P09'!E16&lt;4,'Inventory - P09'!F16="",'Inventory - P09'!G16=""),9,MOD('Inventory - P09'!F16+3*'Inventory - P09'!G16/24,1))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P09'!E17&lt;1,'Inventory - P09'!F17="",'Inventory - P09'!G17=""),9,MOD('Inventory - P09'!F17+0*'Inventory - P09'!G17/24,1))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P09'!E17&lt;2,'Inventory - P09'!F17="",'Inventory - P09'!G17=""),9,MOD('Inventory - P09'!F17+1*'Inventory - P09'!G17/24,1))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P09'!E17&lt;3,'Inventory - P09'!F17="",'Inventory - P09'!G17=""),9,MOD('Inventory - P09'!F17+2*'Inventory - P09'!G17/24,1))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P09'!E17&lt;4,'Inventory - P09'!F17="",'Inventory - P09'!G17=""),9,MOD('Inventory - P09'!F17+3*'Inventory - P09'!G17/24,1))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P09'!E18&lt;1,'Inventory - P09'!F18="",'Inventory - P09'!G18=""),9,MOD('Inventory - P09'!F18+0*'Inventory - P09'!G18/24,1))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P09'!E18&lt;2,'Inventory - P09'!F18="",'Inventory - P09'!G18=""),9,MOD('Inventory - P09'!F18+1*'Inventory - P09'!G18/24,1))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P09'!E18&lt;3,'Inventory - P09'!F18="",'Inventory - P09'!G18=""),9,MOD('Inventory - P09'!F18+2*'Inventory - P09'!G18/24,1))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P09'!E18&lt;4,'Inventory - P09'!F18="",'Inventory - P09'!G18=""),9,MOD('Inventory - P09'!F18+3*'Inventory - P09'!G18/24,1))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P09'!E19&lt;1,'Inventory - P09'!F19="",'Inventory - P09'!G19=""),9,MOD('Inventory - P09'!F19+0*'Inventory - P09'!G19/24,1))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P09'!E19&lt;2,'Inventory - P09'!F19="",'Inventory - P09'!G19=""),9,MOD('Inventory - P09'!F19+1*'Inventory - P09'!G19/24,1))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P09'!E19&lt;3,'Inventory - P09'!F19="",'Inventory - P09'!G19=""),9,MOD('Inventory - P09'!F19+2*'Inventory - P09'!G19/24,1))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P09'!E19&lt;4,'Inventory - P09'!F19="",'Inventory - P09'!G19=""),9,MOD('Inventory - P09'!F19+3*'Inventory - P09'!G19/24,1))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P09'!E20&lt;1,'Inventory - P09'!F20="",'Inventory - P09'!G20=""),9,MOD('Inventory - P09'!F20+0*'Inventory - P09'!G20/24,1))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P09'!E20&lt;2,'Inventory - P09'!F20="",'Inventory - P09'!G20=""),9,MOD('Inventory - P09'!F20+1*'Inventory - P09'!G20/24,1))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P09'!E20&lt;3,'Inventory - P09'!F20="",'Inventory - P09'!G20=""),9,MOD('Inventory - P09'!F20+2*'Inventory - P09'!G20/24,1))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P09'!E20&lt;4,'Inventory - P09'!F20="",'Inventory - P09'!G20=""),9,MOD('Inventory - P09'!F20+3*'Inventory - P09'!G20/24,1))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P09'!E21&lt;1,'Inventory - P09'!F21="",'Inventory - P09'!G21=""),9,MOD('Inventory - P09'!F21+0*'Inventory - P09'!G21/24,1))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P09'!E21&lt;2,'Inventory - P09'!F21="",'Inventory - P09'!G21=""),9,MOD('Inventory - P09'!F21+1*'Inventory - P09'!G21/24,1))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P09'!E21&lt;3,'Inventory - P09'!F21="",'Inventory - P09'!G21=""),9,MOD('Inventory - P09'!F21+2*'Inventory - P09'!G21/24,1))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P09'!E21&lt;4,'Inventory - P09'!F21="",'Inventory - P09'!G21=""),9,MOD('Inventory - P09'!F21+3*'Inventory - P09'!G21/24,1))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P09'!E22&lt;1,'Inventory - P09'!F22="",'Inventory - P09'!G22=""),9,MOD('Inventory - P09'!F22+0*'Inventory - P09'!G22/24,1))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P09'!E22&lt;2,'Inventory - P09'!F22="",'Inventory - P09'!G22=""),9,MOD('Inventory - P09'!F22+1*'Inventory - P09'!G22/24,1))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P09'!E22&lt;3,'Inventory - P09'!F22="",'Inventory - P09'!G22=""),9,MOD('Inventory - P09'!F22+2*'Inventory - P09'!G22/24,1))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P09'!E22&lt;4,'Inventory - P09'!F22="",'Inventory - P09'!G22=""),9,MOD('Inventory - P09'!F22+3*'Inventory - P09'!G22/24,1))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P09'!E23&lt;1,'Inventory - P09'!F23="",'Inventory - P09'!G23=""),9,MOD('Inventory - P09'!F23+0*'Inventory - P09'!G23/24,1))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P09'!E23&lt;2,'Inventory - P09'!F23="",'Inventory - P09'!G23=""),9,MOD('Inventory - P09'!F23+1*'Inventory - P09'!G23/24,1))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P09'!E23&lt;3,'Inventory - P09'!F23="",'Inventory - P09'!G23=""),9,MOD('Inventory - P09'!F23+2*'Inventory - P09'!G23/24,1))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P09'!E23&lt;4,'Inventory - P09'!F23="",'Inventory - P09'!G23=""),9,MOD('Inventory - P09'!F23+3*'Inventory - P09'!G23/24,1))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P09'!E24&lt;1,'Inventory - P09'!F24="",'Inventory - P09'!G24=""),9,MOD('Inventory - P09'!F24+0*'Inventory - P09'!G24/24,1))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P09'!E24&lt;2,'Inventory - P09'!F24="",'Inventory - P09'!G24=""),9,MOD('Inventory - P09'!F24+1*'Inventory - P09'!G24/24,1))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P09'!E24&lt;3,'Inventory - P09'!F24="",'Inventory - P09'!G24=""),9,MOD('Inventory - P09'!F24+2*'Inventory - P09'!G24/24,1))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P09'!E24&lt;4,'Inventory - P09'!F24="",'Inventory - P09'!G24=""),9,MOD('Inventory - P09'!F24+3*'Inventory - P09'!G24/24,1))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P09'!E25&lt;1,'Inventory - P09'!F25="",'Inventory - P09'!G25=""),9,MOD('Inventory - P09'!F25+0*'Inventory - P09'!G25/24,1))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P09'!E25&lt;2,'Inventory - P09'!F25="",'Inventory - P09'!G25=""),9,MOD('Inventory - P09'!F25+1*'Inventory - P09'!G25/24,1))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P09'!E25&lt;3,'Inventory - P09'!F25="",'Inventory - P09'!G25=""),9,MOD('Inventory - P09'!F25+2*'Inventory - P09'!G25/24,1))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P09'!E25&lt;4,'Inventory - P09'!F25="",'Inventory - P09'!G25=""),9,MOD('Inventory - P09'!F25+3*'Inventory - P09'!G25/24,1))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P09'!E26&lt;1,'Inventory - P09'!F26="",'Inventory - P09'!G26=""),9,MOD('Inventory - P09'!F26+0*'Inventory - P09'!G26/24,1))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P09'!E26&lt;2,'Inventory - P09'!F26="",'Inventory - P09'!G26=""),9,MOD('Inventory - P09'!F26+1*'Inventory - P09'!G26/24,1))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P09'!E26&lt;3,'Inventory - P09'!F26="",'Inventory - P09'!G26=""),9,MOD('Inventory - P09'!F26+2*'Inventory - P09'!G26/24,1))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P09'!E26&lt;4,'Inventory - P09'!F26="",'Inventory - P09'!G26=""),9,MOD('Inventory - P09'!F26+3*'Inventory - P09'!G26/24,1))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P09'!E27&lt;1,'Inventory - P09'!F27="",'Inventory - P09'!G27=""),9,MOD('Inventory - P09'!F27+0*'Inventory - P09'!G27/24,1))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P09'!E27&lt;2,'Inventory - P09'!F27="",'Inventory - P09'!G27=""),9,MOD('Inventory - P09'!F27+1*'Inventory - P09'!G27/24,1))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P09'!E27&lt;3,'Inventory - P09'!F27="",'Inventory - P09'!G27=""),9,MOD('Inventory - P09'!F27+2*'Inventory - P09'!G27/24,1))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P09'!E27&lt;4,'Inventory - P09'!F27="",'Inventory - P09'!G27=""),9,MOD('Inventory - P09'!F27+3*'Inventory - P09'!G27/24,1))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453" priority="1">
      <formula>$W11&gt;=9</formula>
    </cfRule>
  </conditionalFormatting>
  <conditionalFormatting sqref="A12:V12">
    <cfRule type="expression" dxfId="452" priority="2">
      <formula>$W12&gt;=9</formula>
    </cfRule>
  </conditionalFormatting>
  <conditionalFormatting sqref="A13:V13">
    <cfRule type="expression" dxfId="451" priority="3">
      <formula>$W13&gt;=9</formula>
    </cfRule>
  </conditionalFormatting>
  <conditionalFormatting sqref="A14:V14">
    <cfRule type="expression" dxfId="450" priority="4">
      <formula>$W14&gt;=9</formula>
    </cfRule>
  </conditionalFormatting>
  <conditionalFormatting sqref="A15:V15">
    <cfRule type="expression" dxfId="449" priority="5">
      <formula>$W15&gt;=9</formula>
    </cfRule>
  </conditionalFormatting>
  <conditionalFormatting sqref="A16:V16">
    <cfRule type="expression" dxfId="448" priority="6">
      <formula>$W16&gt;=9</formula>
    </cfRule>
  </conditionalFormatting>
  <conditionalFormatting sqref="A17:V17">
    <cfRule type="expression" dxfId="447" priority="7">
      <formula>$W17&gt;=9</formula>
    </cfRule>
  </conditionalFormatting>
  <conditionalFormatting sqref="A18:V18">
    <cfRule type="expression" dxfId="446" priority="8">
      <formula>$W18&gt;=9</formula>
    </cfRule>
  </conditionalFormatting>
  <conditionalFormatting sqref="A19:V19">
    <cfRule type="expression" dxfId="445" priority="9">
      <formula>$W19&gt;=9</formula>
    </cfRule>
  </conditionalFormatting>
  <conditionalFormatting sqref="A20:V20">
    <cfRule type="expression" dxfId="444" priority="10">
      <formula>$W20&gt;=9</formula>
    </cfRule>
  </conditionalFormatting>
  <conditionalFormatting sqref="A21:V21">
    <cfRule type="expression" dxfId="443" priority="11">
      <formula>$W21&gt;=9</formula>
    </cfRule>
  </conditionalFormatting>
  <conditionalFormatting sqref="A22:V22">
    <cfRule type="expression" dxfId="442" priority="12">
      <formula>$W22&gt;=9</formula>
    </cfRule>
  </conditionalFormatting>
  <conditionalFormatting sqref="A24:V24">
    <cfRule type="expression" dxfId="441" priority="13">
      <formula>$W24&gt;=9</formula>
    </cfRule>
  </conditionalFormatting>
  <conditionalFormatting sqref="A25:V25">
    <cfRule type="expression" dxfId="440" priority="14">
      <formula>$W25&gt;=9</formula>
    </cfRule>
  </conditionalFormatting>
  <conditionalFormatting sqref="A26:V26">
    <cfRule type="expression" dxfId="439" priority="15">
      <formula>$W26&gt;=9</formula>
    </cfRule>
  </conditionalFormatting>
  <conditionalFormatting sqref="A27:V27">
    <cfRule type="expression" dxfId="438" priority="16">
      <formula>$W27&gt;=9</formula>
    </cfRule>
  </conditionalFormatting>
  <conditionalFormatting sqref="A28:V28">
    <cfRule type="expression" dxfId="437" priority="17">
      <formula>$W28&gt;=9</formula>
    </cfRule>
  </conditionalFormatting>
  <conditionalFormatting sqref="A29:V29">
    <cfRule type="expression" dxfId="436" priority="18">
      <formula>$W29&gt;=9</formula>
    </cfRule>
  </conditionalFormatting>
  <conditionalFormatting sqref="A30:V30">
    <cfRule type="expression" dxfId="435" priority="19">
      <formula>$W30&gt;=9</formula>
    </cfRule>
  </conditionalFormatting>
  <conditionalFormatting sqref="A31:V31">
    <cfRule type="expression" dxfId="434" priority="20">
      <formula>$W31&gt;=9</formula>
    </cfRule>
  </conditionalFormatting>
  <conditionalFormatting sqref="A32:V32">
    <cfRule type="expression" dxfId="433" priority="21">
      <formula>$W32&gt;=9</formula>
    </cfRule>
  </conditionalFormatting>
  <conditionalFormatting sqref="A33:V33">
    <cfRule type="expression" dxfId="432" priority="22">
      <formula>$W33&gt;=9</formula>
    </cfRule>
  </conditionalFormatting>
  <conditionalFormatting sqref="A34:V34">
    <cfRule type="expression" dxfId="431" priority="23">
      <formula>$W34&gt;=9</formula>
    </cfRule>
  </conditionalFormatting>
  <conditionalFormatting sqref="A35:V35">
    <cfRule type="expression" dxfId="430" priority="24">
      <formula>$W35&gt;=9</formula>
    </cfRule>
  </conditionalFormatting>
  <conditionalFormatting sqref="A37:V37">
    <cfRule type="expression" dxfId="429" priority="25">
      <formula>$W37&gt;=9</formula>
    </cfRule>
  </conditionalFormatting>
  <conditionalFormatting sqref="A38:V38">
    <cfRule type="expression" dxfId="428" priority="26">
      <formula>$W38&gt;=9</formula>
    </cfRule>
  </conditionalFormatting>
  <conditionalFormatting sqref="A39:V39">
    <cfRule type="expression" dxfId="427" priority="27">
      <formula>$W39&gt;=9</formula>
    </cfRule>
  </conditionalFormatting>
  <conditionalFormatting sqref="A40:V40">
    <cfRule type="expression" dxfId="426" priority="28">
      <formula>$W40&gt;=9</formula>
    </cfRule>
  </conditionalFormatting>
  <conditionalFormatting sqref="A41:V41">
    <cfRule type="expression" dxfId="425" priority="29">
      <formula>$W41&gt;=9</formula>
    </cfRule>
  </conditionalFormatting>
  <conditionalFormatting sqref="A42:V42">
    <cfRule type="expression" dxfId="424" priority="30">
      <formula>$W42&gt;=9</formula>
    </cfRule>
  </conditionalFormatting>
  <conditionalFormatting sqref="A43:V43">
    <cfRule type="expression" dxfId="423" priority="31">
      <formula>$W43&gt;=9</formula>
    </cfRule>
  </conditionalFormatting>
  <conditionalFormatting sqref="A44:V44">
    <cfRule type="expression" dxfId="422" priority="32">
      <formula>$W44&gt;=9</formula>
    </cfRule>
  </conditionalFormatting>
  <conditionalFormatting sqref="A45:V45">
    <cfRule type="expression" dxfId="421" priority="33">
      <formula>$W45&gt;=9</formula>
    </cfRule>
  </conditionalFormatting>
  <conditionalFormatting sqref="A46:V46">
    <cfRule type="expression" dxfId="420" priority="34">
      <formula>$W46&gt;=9</formula>
    </cfRule>
  </conditionalFormatting>
  <conditionalFormatting sqref="A47:V47">
    <cfRule type="expression" dxfId="419" priority="35">
      <formula>$W47&gt;=9</formula>
    </cfRule>
  </conditionalFormatting>
  <conditionalFormatting sqref="A48:V48">
    <cfRule type="expression" dxfId="418" priority="36">
      <formula>$W48&gt;=9</formula>
    </cfRule>
  </conditionalFormatting>
  <conditionalFormatting sqref="A50:V50">
    <cfRule type="expression" dxfId="417" priority="37">
      <formula>$W50&gt;=9</formula>
    </cfRule>
  </conditionalFormatting>
  <conditionalFormatting sqref="A51:V51">
    <cfRule type="expression" dxfId="416" priority="38">
      <formula>$W51&gt;=9</formula>
    </cfRule>
  </conditionalFormatting>
  <conditionalFormatting sqref="A52:V52">
    <cfRule type="expression" dxfId="415" priority="39">
      <formula>$W52&gt;=9</formula>
    </cfRule>
  </conditionalFormatting>
  <conditionalFormatting sqref="A53:V53">
    <cfRule type="expression" dxfId="414" priority="40">
      <formula>$W53&gt;=9</formula>
    </cfRule>
  </conditionalFormatting>
  <conditionalFormatting sqref="A54:V54">
    <cfRule type="expression" dxfId="413" priority="41">
      <formula>$W54&gt;=9</formula>
    </cfRule>
  </conditionalFormatting>
  <conditionalFormatting sqref="A55:V55">
    <cfRule type="expression" dxfId="412" priority="42">
      <formula>$W55&gt;=9</formula>
    </cfRule>
  </conditionalFormatting>
  <conditionalFormatting sqref="A56:V56">
    <cfRule type="expression" dxfId="411" priority="43">
      <formula>$W56&gt;=9</formula>
    </cfRule>
  </conditionalFormatting>
  <conditionalFormatting sqref="A57:V57">
    <cfRule type="expression" dxfId="410" priority="44">
      <formula>$W57&gt;=9</formula>
    </cfRule>
  </conditionalFormatting>
  <conditionalFormatting sqref="A58:V58">
    <cfRule type="expression" dxfId="409" priority="45">
      <formula>$W58&gt;=9</formula>
    </cfRule>
  </conditionalFormatting>
  <conditionalFormatting sqref="A59:V59">
    <cfRule type="expression" dxfId="408" priority="46">
      <formula>$W59&gt;=9</formula>
    </cfRule>
  </conditionalFormatting>
  <conditionalFormatting sqref="A60:V60">
    <cfRule type="expression" dxfId="407" priority="47">
      <formula>$W60&gt;=9</formula>
    </cfRule>
  </conditionalFormatting>
  <conditionalFormatting sqref="A61:V61">
    <cfRule type="expression" dxfId="406" priority="48">
      <formula>$W61&gt;=9</formula>
    </cfRule>
  </conditionalFormatting>
  <conditionalFormatting sqref="H10:H61">
    <cfRule type="cellIs" dxfId="405" priority="49" operator="equal">
      <formula>"Physical"</formula>
    </cfRule>
  </conditionalFormatting>
  <conditionalFormatting sqref="H10:H61">
    <cfRule type="cellIs" dxfId="404" priority="50" operator="equal">
      <formula>"Psychological"</formula>
    </cfRule>
  </conditionalFormatting>
  <conditionalFormatting sqref="G10:G61">
    <cfRule type="cellIs" dxfId="403" priority="51" operator="equal">
      <formula>"Y"</formula>
    </cfRule>
  </conditionalFormatting>
  <conditionalFormatting sqref="G10:G61">
    <cfRule type="cellIs" dxfId="402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Tracker'!B14="","",UPPER(LEFT(TRIM('Client Needs Tracker'!B14),1))&amp;UPPER(MID('Client Needs Tracker'!B14,FIND("@",SUBSTITUTE('Client Needs Tracker'!B14," ","@",LEN('Client Needs Tracker'!B14)-LEN(SUBSTITUTE('Client Needs Tracker'!B14," ",""))))+1,1))&amp;"-"&amp;SUBSTITUTE('Client Needs Tracker'!S14," ",""))</f>
        <v>LL-F-1B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Tracker'!S14="","","INV-"&amp;SUBSTITUTE('Client Needs Tracker'!S14," ",""))</f>
        <v>INV-F-1B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Tracker'!B14="","(Add client on Client Needs Tracker, row 14)",'Client Needs Tracker'!B14)</f>
        <v>Lisa Lou</v>
      </c>
      <c r="B6" s="134"/>
      <c r="C6" s="134"/>
      <c r="D6" s="134"/>
      <c r="E6" s="134"/>
      <c r="F6" s="93">
        <f>'Client Needs Tracker'!A14</f>
        <v>10223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Tracker'!C14="","",'Client Needs Tracker'!C14)</f>
        <v>46231</v>
      </c>
      <c r="B8" s="134"/>
      <c r="C8" s="134"/>
      <c r="D8" s="134"/>
      <c r="E8" s="134"/>
      <c r="F8" s="95">
        <f>'Client Needs Tracker'!E14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Tracker'!F14="","",'Client Needs Tracker'!F14)</f>
        <v/>
      </c>
      <c r="B10" s="134"/>
      <c r="C10" s="134"/>
      <c r="D10" s="134"/>
      <c r="E10" s="134"/>
      <c r="F10" s="89" t="str">
        <f>IF('Client Status Board'!G14="","",'Client Status Board'!G14)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Board'!L14="","",'Client Status Board'!L14)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P10'!$B$10:$B$61=1)*(('MAR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P10'!$B$10:$B$61=2)*(('MAR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P10'!$B$10:$B$61=3)*(('MAR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P10'!$B$10:$B$61=4)*(('MAR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P10'!$B$10:$B$61=5)*(('MAR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P10'!$B$10:$B$61=6)*(('MAR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P10'!$B$10:$B$61=7)*(('MAR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P10'!$B$10:$B$61=8)*(('MAR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P10'!$B$10:$B$61=9)*(('MAR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P10'!$B$10:$B$61=10)*(('MAR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P10'!$B$10:$B$61=11)*(('MAR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P10'!$B$10:$B$61=12)*(('MAR - P10'!$I$10:$I$61&lt;&gt;"")+('MAR - P10'!$K$10:$K$61&lt;&gt;"")+('MAR - P10'!$M$10:$M$61&lt;&gt;"")+('MAR - P10'!$O$10:$O$61&lt;&gt;"")+('MAR - P10'!$Q$10:$Q$61&lt;&gt;"")+('MAR - P10'!$S$10:$S$61&lt;&gt;"")+('MAR - P10'!$U$10:$U$61&lt;&gt;""))))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401" priority="1" operator="equal">
      <formula>"Physical"</formula>
    </cfRule>
  </conditionalFormatting>
  <conditionalFormatting sqref="J16:J27">
    <cfRule type="cellIs" dxfId="400" priority="2" operator="equal">
      <formula>"Psychological"</formula>
    </cfRule>
  </conditionalFormatting>
  <conditionalFormatting sqref="I16:I27">
    <cfRule type="cellIs" dxfId="399" priority="3" operator="equal">
      <formula>"Y"</formula>
    </cfRule>
  </conditionalFormatting>
  <conditionalFormatting sqref="I16:I27">
    <cfRule type="cellIs" dxfId="398" priority="4" operator="equal">
      <formula>"N"</formula>
    </cfRule>
  </conditionalFormatting>
  <dataValidations count="5">
    <dataValidation type="list" allowBlank="1" sqref="I16:I27" xr:uid="{00000000-0002-0000-1700-000001000000}">
      <formula1>"Y,N"</formula1>
    </dataValidation>
    <dataValidation type="list" allowBlank="1" sqref="J16:J27" xr:uid="{00000000-0002-0000-1700-000002000000}">
      <formula1>"Physical,Psychological"</formula1>
    </dataValidation>
    <dataValidation type="list" allowBlank="1" sqref="C16:C27" xr:uid="{00000000-0002-0000-17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700-000004000000}">
      <formula1>"PO,IM,IV,SubQ,Topical,Inhaled,Sublingual,Rectal,Other"</formula1>
    </dataValidation>
    <dataValidation type="list" allowBlank="1" sqref="G16:G27" xr:uid="{00000000-0002-0000-17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7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Tracker'!B14="","",UPPER(LEFT(TRIM('Client Needs Tracker'!B14),1))&amp;UPPER(MID('Client Needs Tracker'!B14,FIND("@",SUBSTITUTE('Client Needs Tracker'!B14," ","@",LEN('Client Needs Tracker'!B14)-LEN(SUBSTITUTE('Client Needs Tracker'!B14," ",""))))+1,1))&amp;"-"&amp;SUBSTITUTE('Client Needs Tracker'!S14," ",""))</f>
        <v>LL-F-1B</v>
      </c>
    </row>
    <row r="3" spans="1:33" ht="15" customHeight="1">
      <c r="A3" s="103" t="str">
        <f>IF('Inventory - P10'!A6="","(Enter name in Inventory - P10)",'Inventory - P10'!A6)</f>
        <v>Lisa Lou</v>
      </c>
      <c r="B3" s="145"/>
      <c r="C3" s="145"/>
      <c r="D3" s="145"/>
      <c r="E3" s="145"/>
      <c r="F3" s="104" t="str">
        <f>IF('Inventory - P10'!F6="","(Enter ID in Inventory - P10)","Member ID: "&amp;'Inventory - P10'!F6)</f>
        <v>Member ID: 10223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Tracker'!S14="","","INV-"&amp;SUBSTITUTE('Client Needs Tracker'!S14," ",""))</f>
        <v>INV-F-1B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P10'!F8="","-",'Inventory - P10'!F8)</f>
        <v>LOC: 0</v>
      </c>
      <c r="B5" s="106"/>
      <c r="C5" s="2"/>
      <c r="D5" s="102" t="str">
        <f>"Case Manager: "&amp;IF('Inventory - P10'!A10="","-",'Inventory - P10'!A10)</f>
        <v>Case Manager: -</v>
      </c>
      <c r="E5" s="106"/>
      <c r="F5" s="2"/>
      <c r="G5" s="102" t="str">
        <f>"Doctor: "&amp;IF('Inventory - P10'!F10="","-",'Inventory - P10'!F10)</f>
        <v>Doctor: -</v>
      </c>
      <c r="H5" s="106"/>
      <c r="I5" s="2"/>
      <c r="J5" s="102" t="str">
        <f>"Pharmacy: "&amp;IF('Inventory - P10'!A12="","-",'Inventory - P10'!A12)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P10'!A14="","",'Inventory - P10'!A14)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P10'!A14="","",'Inventory - P10'!A14+0)</f>
        <v/>
      </c>
      <c r="J8" s="134"/>
      <c r="K8" s="101" t="str">
        <f>IF('Inventory - P10'!A14="","",'Inventory - P10'!A14+1)</f>
        <v/>
      </c>
      <c r="L8" s="134"/>
      <c r="M8" s="101" t="str">
        <f>IF('Inventory - P10'!A14="","",'Inventory - P10'!A14+2)</f>
        <v/>
      </c>
      <c r="N8" s="134"/>
      <c r="O8" s="101" t="str">
        <f>IF('Inventory - P10'!A14="","",'Inventory - P10'!A14+3)</f>
        <v/>
      </c>
      <c r="P8" s="134"/>
      <c r="Q8" s="101" t="str">
        <f>IF('Inventory - P10'!A14="","",'Inventory - P10'!A14+4)</f>
        <v/>
      </c>
      <c r="R8" s="134"/>
      <c r="S8" s="101" t="str">
        <f>IF('Inventory - P10'!A14="","",'Inventory - P10'!A14+5)</f>
        <v/>
      </c>
      <c r="T8" s="134"/>
      <c r="U8" s="101" t="str">
        <f>IF('Inventory - P10'!A14="","",'Inventory - P10'!A14+6)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P10'!$B$16:$B$27,(INT((X11-1)/4)+1))&amp;IF(INDEX('Inventory - P10'!$C$16:$C$27,(INT((X11-1)/4)+1))="",""," ("&amp;INDEX('Inventory - P10'!$C$16:$C$27,(INT((X11-1)/4)+1))&amp;" mg)"))</f>
        <v/>
      </c>
      <c r="D11" s="7" t="str">
        <f t="array" ref="D11">IF(X11="","",INDEX('Inventory - P10'!$K$16:$K$27,(INT((X11-1)/4)+1))-SUMPRODUCT(($B$10:$B$61=B11)*(($I$10:$I$61&lt;&gt;"")+($K$10:$K$61&lt;&gt;"")+($M$10:$M$61&lt;&gt;"")+($O$10:$O$61&lt;&gt;"")+($Q$10:$Q$61&lt;&gt;"")+($S$10:$S$61&lt;&gt;"")+($U$10:$U$61&lt;&gt;""))))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P10'!$D$16:$D$27,(INT((X11-1)/4)+1)))</f>
        <v/>
      </c>
      <c r="F11" s="7" t="str">
        <f t="array" ref="F11">IF(X11="","",INDEX('Inventory - P10'!$E$16:$E$27,(INT((X11-1)/4)+1)))</f>
        <v/>
      </c>
      <c r="G11" s="7" t="str">
        <f t="array" ref="G11">IF(X11="","",INDEX('Inventory - P10'!$I$16:$I$27,(INT((X11-1)/4)+1)))</f>
        <v/>
      </c>
      <c r="H11" s="7" t="str">
        <f t="array" ref="H11">IF(X11="","",INDEX('Inventory - P10'!$J$16:$J$27,(INT((X11-1)/4)+1)))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P10'!$B$16:$B$27,(INT((X12-1)/4)+1))&amp;IF(INDEX('Inventory - P10'!$C$16:$C$27,(INT((X12-1)/4)+1))="",""," ("&amp;INDEX('Inventory - P10'!$C$16:$C$27,(INT((X12-1)/4)+1))&amp;" mg)"))</f>
        <v/>
      </c>
      <c r="D12" s="7" t="str">
        <f t="array" ref="D12">IF(X12="","",INDEX('Inventory - P10'!$K$16:$K$27,(INT((X12-1)/4)+1))-SUMPRODUCT(($B$10:$B$61=B12)*(($I$10:$I$61&lt;&gt;"")+($K$10:$K$61&lt;&gt;"")+($M$10:$M$61&lt;&gt;"")+($O$10:$O$61&lt;&gt;"")+($Q$10:$Q$61&lt;&gt;"")+($S$10:$S$61&lt;&gt;"")+($U$10:$U$61&lt;&gt;""))))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P10'!$D$16:$D$27,(INT((X12-1)/4)+1)))</f>
        <v/>
      </c>
      <c r="F12" s="7" t="str">
        <f t="array" ref="F12">IF(X12="","",INDEX('Inventory - P10'!$E$16:$E$27,(INT((X12-1)/4)+1)))</f>
        <v/>
      </c>
      <c r="G12" s="7" t="str">
        <f t="array" ref="G12">IF(X12="","",INDEX('Inventory - P10'!$I$16:$I$27,(INT((X12-1)/4)+1)))</f>
        <v/>
      </c>
      <c r="H12" s="7" t="str">
        <f t="array" ref="H12">IF(X12="","",INDEX('Inventory - P10'!$J$16:$J$27,(INT((X12-1)/4)+1)))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P10'!$B$16:$B$27,(INT((X13-1)/4)+1))&amp;IF(INDEX('Inventory - P10'!$C$16:$C$27,(INT((X13-1)/4)+1))="",""," ("&amp;INDEX('Inventory - P10'!$C$16:$C$27,(INT((X13-1)/4)+1))&amp;" mg)"))</f>
        <v/>
      </c>
      <c r="D13" s="7" t="str">
        <f t="array" ref="D13">IF(X13="","",INDEX('Inventory - P10'!$K$16:$K$27,(INT((X13-1)/4)+1))-SUMPRODUCT(($B$10:$B$61=B13)*(($I$10:$I$61&lt;&gt;"")+($K$10:$K$61&lt;&gt;"")+($M$10:$M$61&lt;&gt;"")+($O$10:$O$61&lt;&gt;"")+($Q$10:$Q$61&lt;&gt;"")+($S$10:$S$61&lt;&gt;"")+($U$10:$U$61&lt;&gt;""))))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P10'!$D$16:$D$27,(INT((X13-1)/4)+1)))</f>
        <v/>
      </c>
      <c r="F13" s="7" t="str">
        <f t="array" ref="F13">IF(X13="","",INDEX('Inventory - P10'!$E$16:$E$27,(INT((X13-1)/4)+1)))</f>
        <v/>
      </c>
      <c r="G13" s="7" t="str">
        <f t="array" ref="G13">IF(X13="","",INDEX('Inventory - P10'!$I$16:$I$27,(INT((X13-1)/4)+1)))</f>
        <v/>
      </c>
      <c r="H13" s="7" t="str">
        <f t="array" ref="H13">IF(X13="","",INDEX('Inventory - P10'!$J$16:$J$27,(INT((X13-1)/4)+1)))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P10'!$B$16:$B$27,(INT((X14-1)/4)+1))&amp;IF(INDEX('Inventory - P10'!$C$16:$C$27,(INT((X14-1)/4)+1))="",""," ("&amp;INDEX('Inventory - P10'!$C$16:$C$27,(INT((X14-1)/4)+1))&amp;" mg)"))</f>
        <v/>
      </c>
      <c r="D14" s="7" t="str">
        <f t="array" ref="D14">IF(X14="","",INDEX('Inventory - P10'!$K$16:$K$27,(INT((X14-1)/4)+1))-SUMPRODUCT(($B$10:$B$61=B14)*(($I$10:$I$61&lt;&gt;"")+($K$10:$K$61&lt;&gt;"")+($M$10:$M$61&lt;&gt;"")+($O$10:$O$61&lt;&gt;"")+($Q$10:$Q$61&lt;&gt;"")+($S$10:$S$61&lt;&gt;"")+($U$10:$U$61&lt;&gt;""))))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P10'!$D$16:$D$27,(INT((X14-1)/4)+1)))</f>
        <v/>
      </c>
      <c r="F14" s="7" t="str">
        <f t="array" ref="F14">IF(X14="","",INDEX('Inventory - P10'!$E$16:$E$27,(INT((X14-1)/4)+1)))</f>
        <v/>
      </c>
      <c r="G14" s="7" t="str">
        <f t="array" ref="G14">IF(X14="","",INDEX('Inventory - P10'!$I$16:$I$27,(INT((X14-1)/4)+1)))</f>
        <v/>
      </c>
      <c r="H14" s="7" t="str">
        <f t="array" ref="H14">IF(X14="","",INDEX('Inventory - P10'!$J$16:$J$27,(INT((X14-1)/4)+1)))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P10'!$B$16:$B$27,(INT((X15-1)/4)+1))&amp;IF(INDEX('Inventory - P10'!$C$16:$C$27,(INT((X15-1)/4)+1))="",""," ("&amp;INDEX('Inventory - P10'!$C$16:$C$27,(INT((X15-1)/4)+1))&amp;" mg)"))</f>
        <v/>
      </c>
      <c r="D15" s="7" t="str">
        <f t="array" ref="D15">IF(X15="","",INDEX('Inventory - P10'!$K$16:$K$27,(INT((X15-1)/4)+1))-SUMPRODUCT(($B$10:$B$61=B15)*(($I$10:$I$61&lt;&gt;"")+($K$10:$K$61&lt;&gt;"")+($M$10:$M$61&lt;&gt;"")+($O$10:$O$61&lt;&gt;"")+($Q$10:$Q$61&lt;&gt;"")+($S$10:$S$61&lt;&gt;"")+($U$10:$U$61&lt;&gt;""))))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P10'!$D$16:$D$27,(INT((X15-1)/4)+1)))</f>
        <v/>
      </c>
      <c r="F15" s="7" t="str">
        <f t="array" ref="F15">IF(X15="","",INDEX('Inventory - P10'!$E$16:$E$27,(INT((X15-1)/4)+1)))</f>
        <v/>
      </c>
      <c r="G15" s="7" t="str">
        <f t="array" ref="G15">IF(X15="","",INDEX('Inventory - P10'!$I$16:$I$27,(INT((X15-1)/4)+1)))</f>
        <v/>
      </c>
      <c r="H15" s="7" t="str">
        <f t="array" ref="H15">IF(X15="","",INDEX('Inventory - P10'!$J$16:$J$27,(INT((X15-1)/4)+1)))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P10'!$B$16:$B$27,(INT((X16-1)/4)+1))&amp;IF(INDEX('Inventory - P10'!$C$16:$C$27,(INT((X16-1)/4)+1))="",""," ("&amp;INDEX('Inventory - P10'!$C$16:$C$27,(INT((X16-1)/4)+1))&amp;" mg)"))</f>
        <v/>
      </c>
      <c r="D16" s="7" t="str">
        <f t="array" ref="D16">IF(X16="","",INDEX('Inventory - P10'!$K$16:$K$27,(INT((X16-1)/4)+1))-SUMPRODUCT(($B$10:$B$61=B16)*(($I$10:$I$61&lt;&gt;"")+($K$10:$K$61&lt;&gt;"")+($M$10:$M$61&lt;&gt;"")+($O$10:$O$61&lt;&gt;"")+($Q$10:$Q$61&lt;&gt;"")+($S$10:$S$61&lt;&gt;"")+($U$10:$U$61&lt;&gt;""))))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P10'!$D$16:$D$27,(INT((X16-1)/4)+1)))</f>
        <v/>
      </c>
      <c r="F16" s="7" t="str">
        <f t="array" ref="F16">IF(X16="","",INDEX('Inventory - P10'!$E$16:$E$27,(INT((X16-1)/4)+1)))</f>
        <v/>
      </c>
      <c r="G16" s="7" t="str">
        <f t="array" ref="G16">IF(X16="","",INDEX('Inventory - P10'!$I$16:$I$27,(INT((X16-1)/4)+1)))</f>
        <v/>
      </c>
      <c r="H16" s="7" t="str">
        <f t="array" ref="H16">IF(X16="","",INDEX('Inventory - P10'!$J$16:$J$27,(INT((X16-1)/4)+1)))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P10'!$B$16:$B$27,(INT((X17-1)/4)+1))&amp;IF(INDEX('Inventory - P10'!$C$16:$C$27,(INT((X17-1)/4)+1))="",""," ("&amp;INDEX('Inventory - P10'!$C$16:$C$27,(INT((X17-1)/4)+1))&amp;" mg)"))</f>
        <v/>
      </c>
      <c r="D17" s="7" t="str">
        <f t="array" ref="D17">IF(X17="","",INDEX('Inventory - P10'!$K$16:$K$27,(INT((X17-1)/4)+1))-SUMPRODUCT(($B$10:$B$61=B17)*(($I$10:$I$61&lt;&gt;"")+($K$10:$K$61&lt;&gt;"")+($M$10:$M$61&lt;&gt;"")+($O$10:$O$61&lt;&gt;"")+($Q$10:$Q$61&lt;&gt;"")+($S$10:$S$61&lt;&gt;"")+($U$10:$U$61&lt;&gt;""))))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P10'!$D$16:$D$27,(INT((X17-1)/4)+1)))</f>
        <v/>
      </c>
      <c r="F17" s="7" t="str">
        <f t="array" ref="F17">IF(X17="","",INDEX('Inventory - P10'!$E$16:$E$27,(INT((X17-1)/4)+1)))</f>
        <v/>
      </c>
      <c r="G17" s="7" t="str">
        <f t="array" ref="G17">IF(X17="","",INDEX('Inventory - P10'!$I$16:$I$27,(INT((X17-1)/4)+1)))</f>
        <v/>
      </c>
      <c r="H17" s="7" t="str">
        <f t="array" ref="H17">IF(X17="","",INDEX('Inventory - P10'!$J$16:$J$27,(INT((X17-1)/4)+1)))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P10'!$B$16:$B$27,(INT((X18-1)/4)+1))&amp;IF(INDEX('Inventory - P10'!$C$16:$C$27,(INT((X18-1)/4)+1))="",""," ("&amp;INDEX('Inventory - P10'!$C$16:$C$27,(INT((X18-1)/4)+1))&amp;" mg)"))</f>
        <v/>
      </c>
      <c r="D18" s="7" t="str">
        <f t="array" ref="D18">IF(X18="","",INDEX('Inventory - P10'!$K$16:$K$27,(INT((X18-1)/4)+1))-SUMPRODUCT(($B$10:$B$61=B18)*(($I$10:$I$61&lt;&gt;"")+($K$10:$K$61&lt;&gt;"")+($M$10:$M$61&lt;&gt;"")+($O$10:$O$61&lt;&gt;"")+($Q$10:$Q$61&lt;&gt;"")+($S$10:$S$61&lt;&gt;"")+($U$10:$U$61&lt;&gt;""))))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P10'!$D$16:$D$27,(INT((X18-1)/4)+1)))</f>
        <v/>
      </c>
      <c r="F18" s="7" t="str">
        <f t="array" ref="F18">IF(X18="","",INDEX('Inventory - P10'!$E$16:$E$27,(INT((X18-1)/4)+1)))</f>
        <v/>
      </c>
      <c r="G18" s="7" t="str">
        <f t="array" ref="G18">IF(X18="","",INDEX('Inventory - P10'!$I$16:$I$27,(INT((X18-1)/4)+1)))</f>
        <v/>
      </c>
      <c r="H18" s="7" t="str">
        <f t="array" ref="H18">IF(X18="","",INDEX('Inventory - P10'!$J$16:$J$27,(INT((X18-1)/4)+1)))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P10'!$B$16:$B$27,(INT((X19-1)/4)+1))&amp;IF(INDEX('Inventory - P10'!$C$16:$C$27,(INT((X19-1)/4)+1))="",""," ("&amp;INDEX('Inventory - P10'!$C$16:$C$27,(INT((X19-1)/4)+1))&amp;" mg)"))</f>
        <v/>
      </c>
      <c r="D19" s="7" t="str">
        <f t="array" ref="D19">IF(X19="","",INDEX('Inventory - P10'!$K$16:$K$27,(INT((X19-1)/4)+1))-SUMPRODUCT(($B$10:$B$61=B19)*(($I$10:$I$61&lt;&gt;"")+($K$10:$K$61&lt;&gt;"")+($M$10:$M$61&lt;&gt;"")+($O$10:$O$61&lt;&gt;"")+($Q$10:$Q$61&lt;&gt;"")+($S$10:$S$61&lt;&gt;"")+($U$10:$U$61&lt;&gt;""))))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P10'!$D$16:$D$27,(INT((X19-1)/4)+1)))</f>
        <v/>
      </c>
      <c r="F19" s="7" t="str">
        <f t="array" ref="F19">IF(X19="","",INDEX('Inventory - P10'!$E$16:$E$27,(INT((X19-1)/4)+1)))</f>
        <v/>
      </c>
      <c r="G19" s="7" t="str">
        <f t="array" ref="G19">IF(X19="","",INDEX('Inventory - P10'!$I$16:$I$27,(INT((X19-1)/4)+1)))</f>
        <v/>
      </c>
      <c r="H19" s="7" t="str">
        <f t="array" ref="H19">IF(X19="","",INDEX('Inventory - P10'!$J$16:$J$27,(INT((X19-1)/4)+1)))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P10'!$B$16:$B$27,(INT((X20-1)/4)+1))&amp;IF(INDEX('Inventory - P10'!$C$16:$C$27,(INT((X20-1)/4)+1))="",""," ("&amp;INDEX('Inventory - P10'!$C$16:$C$27,(INT((X20-1)/4)+1))&amp;" mg)"))</f>
        <v/>
      </c>
      <c r="D20" s="7" t="str">
        <f t="array" ref="D20">IF(X20="","",INDEX('Inventory - P10'!$K$16:$K$27,(INT((X20-1)/4)+1))-SUMPRODUCT(($B$10:$B$61=B20)*(($I$10:$I$61&lt;&gt;"")+($K$10:$K$61&lt;&gt;"")+($M$10:$M$61&lt;&gt;"")+($O$10:$O$61&lt;&gt;"")+($Q$10:$Q$61&lt;&gt;"")+($S$10:$S$61&lt;&gt;"")+($U$10:$U$61&lt;&gt;""))))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P10'!$D$16:$D$27,(INT((X20-1)/4)+1)))</f>
        <v/>
      </c>
      <c r="F20" s="7" t="str">
        <f t="array" ref="F20">IF(X20="","",INDEX('Inventory - P10'!$E$16:$E$27,(INT((X20-1)/4)+1)))</f>
        <v/>
      </c>
      <c r="G20" s="7" t="str">
        <f t="array" ref="G20">IF(X20="","",INDEX('Inventory - P10'!$I$16:$I$27,(INT((X20-1)/4)+1)))</f>
        <v/>
      </c>
      <c r="H20" s="7" t="str">
        <f t="array" ref="H20">IF(X20="","",INDEX('Inventory - P10'!$J$16:$J$27,(INT((X20-1)/4)+1)))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P10'!$B$16:$B$27,(INT((X21-1)/4)+1))&amp;IF(INDEX('Inventory - P10'!$C$16:$C$27,(INT((X21-1)/4)+1))="",""," ("&amp;INDEX('Inventory - P10'!$C$16:$C$27,(INT((X21-1)/4)+1))&amp;" mg)"))</f>
        <v/>
      </c>
      <c r="D21" s="7" t="str">
        <f t="array" ref="D21">IF(X21="","",INDEX('Inventory - P10'!$K$16:$K$27,(INT((X21-1)/4)+1))-SUMPRODUCT(($B$10:$B$61=B21)*(($I$10:$I$61&lt;&gt;"")+($K$10:$K$61&lt;&gt;"")+($M$10:$M$61&lt;&gt;"")+($O$10:$O$61&lt;&gt;"")+($Q$10:$Q$61&lt;&gt;"")+($S$10:$S$61&lt;&gt;"")+($U$10:$U$61&lt;&gt;""))))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P10'!$D$16:$D$27,(INT((X21-1)/4)+1)))</f>
        <v/>
      </c>
      <c r="F21" s="7" t="str">
        <f t="array" ref="F21">IF(X21="","",INDEX('Inventory - P10'!$E$16:$E$27,(INT((X21-1)/4)+1)))</f>
        <v/>
      </c>
      <c r="G21" s="7" t="str">
        <f t="array" ref="G21">IF(X21="","",INDEX('Inventory - P10'!$I$16:$I$27,(INT((X21-1)/4)+1)))</f>
        <v/>
      </c>
      <c r="H21" s="7" t="str">
        <f t="array" ref="H21">IF(X21="","",INDEX('Inventory - P10'!$J$16:$J$27,(INT((X21-1)/4)+1)))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P10'!$B$16:$B$27,(INT((X22-1)/4)+1))&amp;IF(INDEX('Inventory - P10'!$C$16:$C$27,(INT((X22-1)/4)+1))="",""," ("&amp;INDEX('Inventory - P10'!$C$16:$C$27,(INT((X22-1)/4)+1))&amp;" mg)"))</f>
        <v/>
      </c>
      <c r="D22" s="7" t="str">
        <f t="array" ref="D22">IF(X22="","",INDEX('Inventory - P10'!$K$16:$K$27,(INT((X22-1)/4)+1))-SUMPRODUCT(($B$10:$B$61=B22)*(($I$10:$I$61&lt;&gt;"")+($K$10:$K$61&lt;&gt;"")+($M$10:$M$61&lt;&gt;"")+($O$10:$O$61&lt;&gt;"")+($Q$10:$Q$61&lt;&gt;"")+($S$10:$S$61&lt;&gt;"")+($U$10:$U$61&lt;&gt;""))))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P10'!$D$16:$D$27,(INT((X22-1)/4)+1)))</f>
        <v/>
      </c>
      <c r="F22" s="7" t="str">
        <f t="array" ref="F22">IF(X22="","",INDEX('Inventory - P10'!$E$16:$E$27,(INT((X22-1)/4)+1)))</f>
        <v/>
      </c>
      <c r="G22" s="7" t="str">
        <f t="array" ref="G22">IF(X22="","",INDEX('Inventory - P10'!$I$16:$I$27,(INT((X22-1)/4)+1)))</f>
        <v/>
      </c>
      <c r="H22" s="7" t="str">
        <f t="array" ref="H22">IF(X22="","",INDEX('Inventory - P10'!$J$16:$J$27,(INT((X22-1)/4)+1)))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P10'!$B$16:$B$27,(INT((X24-1)/4)+1))&amp;IF(INDEX('Inventory - P10'!$C$16:$C$27,(INT((X24-1)/4)+1))="",""," ("&amp;INDEX('Inventory - P10'!$C$16:$C$27,(INT((X24-1)/4)+1))&amp;" mg)"))</f>
        <v/>
      </c>
      <c r="D24" s="7" t="str">
        <f t="array" ref="D24">IF(X24="","",INDEX('Inventory - P10'!$K$16:$K$27,(INT((X24-1)/4)+1))-SUMPRODUCT(($B$10:$B$61=B24)*(($I$10:$I$61&lt;&gt;"")+($K$10:$K$61&lt;&gt;"")+($M$10:$M$61&lt;&gt;"")+($O$10:$O$61&lt;&gt;"")+($Q$10:$Q$61&lt;&gt;"")+($S$10:$S$61&lt;&gt;"")+($U$10:$U$61&lt;&gt;""))))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P10'!$D$16:$D$27,(INT((X24-1)/4)+1)))</f>
        <v/>
      </c>
      <c r="F24" s="7" t="str">
        <f t="array" ref="F24">IF(X24="","",INDEX('Inventory - P10'!$E$16:$E$27,(INT((X24-1)/4)+1)))</f>
        <v/>
      </c>
      <c r="G24" s="7" t="str">
        <f t="array" ref="G24">IF(X24="","",INDEX('Inventory - P10'!$I$16:$I$27,(INT((X24-1)/4)+1)))</f>
        <v/>
      </c>
      <c r="H24" s="7" t="str">
        <f t="array" ref="H24">IF(X24="","",INDEX('Inventory - P10'!$J$16:$J$27,(INT((X24-1)/4)+1)))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P10'!$B$16:$B$27,(INT((X25-1)/4)+1))&amp;IF(INDEX('Inventory - P10'!$C$16:$C$27,(INT((X25-1)/4)+1))="",""," ("&amp;INDEX('Inventory - P10'!$C$16:$C$27,(INT((X25-1)/4)+1))&amp;" mg)"))</f>
        <v/>
      </c>
      <c r="D25" s="7" t="str">
        <f t="array" ref="D25">IF(X25="","",INDEX('Inventory - P10'!$K$16:$K$27,(INT((X25-1)/4)+1))-SUMPRODUCT(($B$10:$B$61=B25)*(($I$10:$I$61&lt;&gt;"")+($K$10:$K$61&lt;&gt;"")+($M$10:$M$61&lt;&gt;"")+($O$10:$O$61&lt;&gt;"")+($Q$10:$Q$61&lt;&gt;"")+($S$10:$S$61&lt;&gt;"")+($U$10:$U$61&lt;&gt;""))))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P10'!$D$16:$D$27,(INT((X25-1)/4)+1)))</f>
        <v/>
      </c>
      <c r="F25" s="7" t="str">
        <f t="array" ref="F25">IF(X25="","",INDEX('Inventory - P10'!$E$16:$E$27,(INT((X25-1)/4)+1)))</f>
        <v/>
      </c>
      <c r="G25" s="7" t="str">
        <f t="array" ref="G25">IF(X25="","",INDEX('Inventory - P10'!$I$16:$I$27,(INT((X25-1)/4)+1)))</f>
        <v/>
      </c>
      <c r="H25" s="7" t="str">
        <f t="array" ref="H25">IF(X25="","",INDEX('Inventory - P10'!$J$16:$J$27,(INT((X25-1)/4)+1)))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P10'!$B$16:$B$27,(INT((X26-1)/4)+1))&amp;IF(INDEX('Inventory - P10'!$C$16:$C$27,(INT((X26-1)/4)+1))="",""," ("&amp;INDEX('Inventory - P10'!$C$16:$C$27,(INT((X26-1)/4)+1))&amp;" mg)"))</f>
        <v/>
      </c>
      <c r="D26" s="7" t="str">
        <f t="array" ref="D26">IF(X26="","",INDEX('Inventory - P10'!$K$16:$K$27,(INT((X26-1)/4)+1))-SUMPRODUCT(($B$10:$B$61=B26)*(($I$10:$I$61&lt;&gt;"")+($K$10:$K$61&lt;&gt;"")+($M$10:$M$61&lt;&gt;"")+($O$10:$O$61&lt;&gt;"")+($Q$10:$Q$61&lt;&gt;"")+($S$10:$S$61&lt;&gt;"")+($U$10:$U$61&lt;&gt;""))))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P10'!$D$16:$D$27,(INT((X26-1)/4)+1)))</f>
        <v/>
      </c>
      <c r="F26" s="7" t="str">
        <f t="array" ref="F26">IF(X26="","",INDEX('Inventory - P10'!$E$16:$E$27,(INT((X26-1)/4)+1)))</f>
        <v/>
      </c>
      <c r="G26" s="7" t="str">
        <f t="array" ref="G26">IF(X26="","",INDEX('Inventory - P10'!$I$16:$I$27,(INT((X26-1)/4)+1)))</f>
        <v/>
      </c>
      <c r="H26" s="7" t="str">
        <f t="array" ref="H26">IF(X26="","",INDEX('Inventory - P10'!$J$16:$J$27,(INT((X26-1)/4)+1)))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P10'!$B$16:$B$27,(INT((X27-1)/4)+1))&amp;IF(INDEX('Inventory - P10'!$C$16:$C$27,(INT((X27-1)/4)+1))="",""," ("&amp;INDEX('Inventory - P10'!$C$16:$C$27,(INT((X27-1)/4)+1))&amp;" mg)"))</f>
        <v/>
      </c>
      <c r="D27" s="7" t="str">
        <f t="array" ref="D27">IF(X27="","",INDEX('Inventory - P10'!$K$16:$K$27,(INT((X27-1)/4)+1))-SUMPRODUCT(($B$10:$B$61=B27)*(($I$10:$I$61&lt;&gt;"")+($K$10:$K$61&lt;&gt;"")+($M$10:$M$61&lt;&gt;"")+($O$10:$O$61&lt;&gt;"")+($Q$10:$Q$61&lt;&gt;"")+($S$10:$S$61&lt;&gt;"")+($U$10:$U$61&lt;&gt;""))))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P10'!$D$16:$D$27,(INT((X27-1)/4)+1)))</f>
        <v/>
      </c>
      <c r="F27" s="7" t="str">
        <f t="array" ref="F27">IF(X27="","",INDEX('Inventory - P10'!$E$16:$E$27,(INT((X27-1)/4)+1)))</f>
        <v/>
      </c>
      <c r="G27" s="7" t="str">
        <f t="array" ref="G27">IF(X27="","",INDEX('Inventory - P10'!$I$16:$I$27,(INT((X27-1)/4)+1)))</f>
        <v/>
      </c>
      <c r="H27" s="7" t="str">
        <f t="array" ref="H27">IF(X27="","",INDEX('Inventory - P10'!$J$16:$J$27,(INT((X27-1)/4)+1)))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P10'!$B$16:$B$27,(INT((X28-1)/4)+1))&amp;IF(INDEX('Inventory - P10'!$C$16:$C$27,(INT((X28-1)/4)+1))="",""," ("&amp;INDEX('Inventory - P10'!$C$16:$C$27,(INT((X28-1)/4)+1))&amp;" mg)"))</f>
        <v/>
      </c>
      <c r="D28" s="7" t="str">
        <f t="array" ref="D28">IF(X28="","",INDEX('Inventory - P10'!$K$16:$K$27,(INT((X28-1)/4)+1))-SUMPRODUCT(($B$10:$B$61=B28)*(($I$10:$I$61&lt;&gt;"")+($K$10:$K$61&lt;&gt;"")+($M$10:$M$61&lt;&gt;"")+($O$10:$O$61&lt;&gt;"")+($Q$10:$Q$61&lt;&gt;"")+($S$10:$S$61&lt;&gt;"")+($U$10:$U$61&lt;&gt;""))))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P10'!$D$16:$D$27,(INT((X28-1)/4)+1)))</f>
        <v/>
      </c>
      <c r="F28" s="7" t="str">
        <f t="array" ref="F28">IF(X28="","",INDEX('Inventory - P10'!$E$16:$E$27,(INT((X28-1)/4)+1)))</f>
        <v/>
      </c>
      <c r="G28" s="7" t="str">
        <f t="array" ref="G28">IF(X28="","",INDEX('Inventory - P10'!$I$16:$I$27,(INT((X28-1)/4)+1)))</f>
        <v/>
      </c>
      <c r="H28" s="7" t="str">
        <f t="array" ref="H28">IF(X28="","",INDEX('Inventory - P10'!$J$16:$J$27,(INT((X28-1)/4)+1)))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P10'!$B$16:$B$27,(INT((X29-1)/4)+1))&amp;IF(INDEX('Inventory - P10'!$C$16:$C$27,(INT((X29-1)/4)+1))="",""," ("&amp;INDEX('Inventory - P10'!$C$16:$C$27,(INT((X29-1)/4)+1))&amp;" mg)"))</f>
        <v/>
      </c>
      <c r="D29" s="7" t="str">
        <f t="array" ref="D29">IF(X29="","",INDEX('Inventory - P10'!$K$16:$K$27,(INT((X29-1)/4)+1))-SUMPRODUCT(($B$10:$B$61=B29)*(($I$10:$I$61&lt;&gt;"")+($K$10:$K$61&lt;&gt;"")+($M$10:$M$61&lt;&gt;"")+($O$10:$O$61&lt;&gt;"")+($Q$10:$Q$61&lt;&gt;"")+($S$10:$S$61&lt;&gt;"")+($U$10:$U$61&lt;&gt;""))))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P10'!$D$16:$D$27,(INT((X29-1)/4)+1)))</f>
        <v/>
      </c>
      <c r="F29" s="7" t="str">
        <f t="array" ref="F29">IF(X29="","",INDEX('Inventory - P10'!$E$16:$E$27,(INT((X29-1)/4)+1)))</f>
        <v/>
      </c>
      <c r="G29" s="7" t="str">
        <f t="array" ref="G29">IF(X29="","",INDEX('Inventory - P10'!$I$16:$I$27,(INT((X29-1)/4)+1)))</f>
        <v/>
      </c>
      <c r="H29" s="7" t="str">
        <f t="array" ref="H29">IF(X29="","",INDEX('Inventory - P10'!$J$16:$J$27,(INT((X29-1)/4)+1)))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P10'!$B$16:$B$27,(INT((X30-1)/4)+1))&amp;IF(INDEX('Inventory - P10'!$C$16:$C$27,(INT((X30-1)/4)+1))="",""," ("&amp;INDEX('Inventory - P10'!$C$16:$C$27,(INT((X30-1)/4)+1))&amp;" mg)"))</f>
        <v/>
      </c>
      <c r="D30" s="7" t="str">
        <f t="array" ref="D30">IF(X30="","",INDEX('Inventory - P10'!$K$16:$K$27,(INT((X30-1)/4)+1))-SUMPRODUCT(($B$10:$B$61=B30)*(($I$10:$I$61&lt;&gt;"")+($K$10:$K$61&lt;&gt;"")+($M$10:$M$61&lt;&gt;"")+($O$10:$O$61&lt;&gt;"")+($Q$10:$Q$61&lt;&gt;"")+($S$10:$S$61&lt;&gt;"")+($U$10:$U$61&lt;&gt;""))))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P10'!$D$16:$D$27,(INT((X30-1)/4)+1)))</f>
        <v/>
      </c>
      <c r="F30" s="7" t="str">
        <f t="array" ref="F30">IF(X30="","",INDEX('Inventory - P10'!$E$16:$E$27,(INT((X30-1)/4)+1)))</f>
        <v/>
      </c>
      <c r="G30" s="7" t="str">
        <f t="array" ref="G30">IF(X30="","",INDEX('Inventory - P10'!$I$16:$I$27,(INT((X30-1)/4)+1)))</f>
        <v/>
      </c>
      <c r="H30" s="7" t="str">
        <f t="array" ref="H30">IF(X30="","",INDEX('Inventory - P10'!$J$16:$J$27,(INT((X30-1)/4)+1)))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P10'!$B$16:$B$27,(INT((X31-1)/4)+1))&amp;IF(INDEX('Inventory - P10'!$C$16:$C$27,(INT((X31-1)/4)+1))="",""," ("&amp;INDEX('Inventory - P10'!$C$16:$C$27,(INT((X31-1)/4)+1))&amp;" mg)"))</f>
        <v/>
      </c>
      <c r="D31" s="7" t="str">
        <f t="array" ref="D31">IF(X31="","",INDEX('Inventory - P10'!$K$16:$K$27,(INT((X31-1)/4)+1))-SUMPRODUCT(($B$10:$B$61=B31)*(($I$10:$I$61&lt;&gt;"")+($K$10:$K$61&lt;&gt;"")+($M$10:$M$61&lt;&gt;"")+($O$10:$O$61&lt;&gt;"")+($Q$10:$Q$61&lt;&gt;"")+($S$10:$S$61&lt;&gt;"")+($U$10:$U$61&lt;&gt;""))))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P10'!$D$16:$D$27,(INT((X31-1)/4)+1)))</f>
        <v/>
      </c>
      <c r="F31" s="7" t="str">
        <f t="array" ref="F31">IF(X31="","",INDEX('Inventory - P10'!$E$16:$E$27,(INT((X31-1)/4)+1)))</f>
        <v/>
      </c>
      <c r="G31" s="7" t="str">
        <f t="array" ref="G31">IF(X31="","",INDEX('Inventory - P10'!$I$16:$I$27,(INT((X31-1)/4)+1)))</f>
        <v/>
      </c>
      <c r="H31" s="7" t="str">
        <f t="array" ref="H31">IF(X31="","",INDEX('Inventory - P10'!$J$16:$J$27,(INT((X31-1)/4)+1)))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P10'!$B$16:$B$27,(INT((X32-1)/4)+1))&amp;IF(INDEX('Inventory - P10'!$C$16:$C$27,(INT((X32-1)/4)+1))="",""," ("&amp;INDEX('Inventory - P10'!$C$16:$C$27,(INT((X32-1)/4)+1))&amp;" mg)"))</f>
        <v/>
      </c>
      <c r="D32" s="7" t="str">
        <f t="array" ref="D32">IF(X32="","",INDEX('Inventory - P10'!$K$16:$K$27,(INT((X32-1)/4)+1))-SUMPRODUCT(($B$10:$B$61=B32)*(($I$10:$I$61&lt;&gt;"")+($K$10:$K$61&lt;&gt;"")+($M$10:$M$61&lt;&gt;"")+($O$10:$O$61&lt;&gt;"")+($Q$10:$Q$61&lt;&gt;"")+($S$10:$S$61&lt;&gt;"")+($U$10:$U$61&lt;&gt;""))))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P10'!$D$16:$D$27,(INT((X32-1)/4)+1)))</f>
        <v/>
      </c>
      <c r="F32" s="7" t="str">
        <f t="array" ref="F32">IF(X32="","",INDEX('Inventory - P10'!$E$16:$E$27,(INT((X32-1)/4)+1)))</f>
        <v/>
      </c>
      <c r="G32" s="7" t="str">
        <f t="array" ref="G32">IF(X32="","",INDEX('Inventory - P10'!$I$16:$I$27,(INT((X32-1)/4)+1)))</f>
        <v/>
      </c>
      <c r="H32" s="7" t="str">
        <f t="array" ref="H32">IF(X32="","",INDEX('Inventory - P10'!$J$16:$J$27,(INT((X32-1)/4)+1)))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P10'!$B$16:$B$27,(INT((X33-1)/4)+1))&amp;IF(INDEX('Inventory - P10'!$C$16:$C$27,(INT((X33-1)/4)+1))="",""," ("&amp;INDEX('Inventory - P10'!$C$16:$C$27,(INT((X33-1)/4)+1))&amp;" mg)"))</f>
        <v/>
      </c>
      <c r="D33" s="7" t="str">
        <f t="array" ref="D33">IF(X33="","",INDEX('Inventory - P10'!$K$16:$K$27,(INT((X33-1)/4)+1))-SUMPRODUCT(($B$10:$B$61=B33)*(($I$10:$I$61&lt;&gt;"")+($K$10:$K$61&lt;&gt;"")+($M$10:$M$61&lt;&gt;"")+($O$10:$O$61&lt;&gt;"")+($Q$10:$Q$61&lt;&gt;"")+($S$10:$S$61&lt;&gt;"")+($U$10:$U$61&lt;&gt;""))))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P10'!$D$16:$D$27,(INT((X33-1)/4)+1)))</f>
        <v/>
      </c>
      <c r="F33" s="7" t="str">
        <f t="array" ref="F33">IF(X33="","",INDEX('Inventory - P10'!$E$16:$E$27,(INT((X33-1)/4)+1)))</f>
        <v/>
      </c>
      <c r="G33" s="7" t="str">
        <f t="array" ref="G33">IF(X33="","",INDEX('Inventory - P10'!$I$16:$I$27,(INT((X33-1)/4)+1)))</f>
        <v/>
      </c>
      <c r="H33" s="7" t="str">
        <f t="array" ref="H33">IF(X33="","",INDEX('Inventory - P10'!$J$16:$J$27,(INT((X33-1)/4)+1)))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P10'!$B$16:$B$27,(INT((X34-1)/4)+1))&amp;IF(INDEX('Inventory - P10'!$C$16:$C$27,(INT((X34-1)/4)+1))="",""," ("&amp;INDEX('Inventory - P10'!$C$16:$C$27,(INT((X34-1)/4)+1))&amp;" mg)"))</f>
        <v/>
      </c>
      <c r="D34" s="7" t="str">
        <f t="array" ref="D34">IF(X34="","",INDEX('Inventory - P10'!$K$16:$K$27,(INT((X34-1)/4)+1))-SUMPRODUCT(($B$10:$B$61=B34)*(($I$10:$I$61&lt;&gt;"")+($K$10:$K$61&lt;&gt;"")+($M$10:$M$61&lt;&gt;"")+($O$10:$O$61&lt;&gt;"")+($Q$10:$Q$61&lt;&gt;"")+($S$10:$S$61&lt;&gt;"")+($U$10:$U$61&lt;&gt;""))))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P10'!$D$16:$D$27,(INT((X34-1)/4)+1)))</f>
        <v/>
      </c>
      <c r="F34" s="7" t="str">
        <f t="array" ref="F34">IF(X34="","",INDEX('Inventory - P10'!$E$16:$E$27,(INT((X34-1)/4)+1)))</f>
        <v/>
      </c>
      <c r="G34" s="7" t="str">
        <f t="array" ref="G34">IF(X34="","",INDEX('Inventory - P10'!$I$16:$I$27,(INT((X34-1)/4)+1)))</f>
        <v/>
      </c>
      <c r="H34" s="7" t="str">
        <f t="array" ref="H34">IF(X34="","",INDEX('Inventory - P10'!$J$16:$J$27,(INT((X34-1)/4)+1)))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P10'!$B$16:$B$27,(INT((X35-1)/4)+1))&amp;IF(INDEX('Inventory - P10'!$C$16:$C$27,(INT((X35-1)/4)+1))="",""," ("&amp;INDEX('Inventory - P10'!$C$16:$C$27,(INT((X35-1)/4)+1))&amp;" mg)"))</f>
        <v/>
      </c>
      <c r="D35" s="7" t="str">
        <f t="array" ref="D35">IF(X35="","",INDEX('Inventory - P10'!$K$16:$K$27,(INT((X35-1)/4)+1))-SUMPRODUCT(($B$10:$B$61=B35)*(($I$10:$I$61&lt;&gt;"")+($K$10:$K$61&lt;&gt;"")+($M$10:$M$61&lt;&gt;"")+($O$10:$O$61&lt;&gt;"")+($Q$10:$Q$61&lt;&gt;"")+($S$10:$S$61&lt;&gt;"")+($U$10:$U$61&lt;&gt;""))))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P10'!$D$16:$D$27,(INT((X35-1)/4)+1)))</f>
        <v/>
      </c>
      <c r="F35" s="7" t="str">
        <f t="array" ref="F35">IF(X35="","",INDEX('Inventory - P10'!$E$16:$E$27,(INT((X35-1)/4)+1)))</f>
        <v/>
      </c>
      <c r="G35" s="7" t="str">
        <f t="array" ref="G35">IF(X35="","",INDEX('Inventory - P10'!$I$16:$I$27,(INT((X35-1)/4)+1)))</f>
        <v/>
      </c>
      <c r="H35" s="7" t="str">
        <f t="array" ref="H35">IF(X35="","",INDEX('Inventory - P10'!$J$16:$J$27,(INT((X35-1)/4)+1)))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P10'!$B$16:$B$27,(INT((X37-1)/4)+1))&amp;IF(INDEX('Inventory - P10'!$C$16:$C$27,(INT((X37-1)/4)+1))="",""," ("&amp;INDEX('Inventory - P10'!$C$16:$C$27,(INT((X37-1)/4)+1))&amp;" mg)"))</f>
        <v/>
      </c>
      <c r="D37" s="7" t="str">
        <f t="array" ref="D37">IF(X37="","",INDEX('Inventory - P10'!$K$16:$K$27,(INT((X37-1)/4)+1))-SUMPRODUCT(($B$10:$B$61=B37)*(($I$10:$I$61&lt;&gt;"")+($K$10:$K$61&lt;&gt;"")+($M$10:$M$61&lt;&gt;"")+($O$10:$O$61&lt;&gt;"")+($Q$10:$Q$61&lt;&gt;"")+($S$10:$S$61&lt;&gt;"")+($U$10:$U$61&lt;&gt;""))))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P10'!$D$16:$D$27,(INT((X37-1)/4)+1)))</f>
        <v/>
      </c>
      <c r="F37" s="7" t="str">
        <f t="array" ref="F37">IF(X37="","",INDEX('Inventory - P10'!$E$16:$E$27,(INT((X37-1)/4)+1)))</f>
        <v/>
      </c>
      <c r="G37" s="7" t="str">
        <f t="array" ref="G37">IF(X37="","",INDEX('Inventory - P10'!$I$16:$I$27,(INT((X37-1)/4)+1)))</f>
        <v/>
      </c>
      <c r="H37" s="7" t="str">
        <f t="array" ref="H37">IF(X37="","",INDEX('Inventory - P10'!$J$16:$J$27,(INT((X37-1)/4)+1)))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P10'!$B$16:$B$27,(INT((X38-1)/4)+1))&amp;IF(INDEX('Inventory - P10'!$C$16:$C$27,(INT((X38-1)/4)+1))="",""," ("&amp;INDEX('Inventory - P10'!$C$16:$C$27,(INT((X38-1)/4)+1))&amp;" mg)"))</f>
        <v/>
      </c>
      <c r="D38" s="7" t="str">
        <f t="array" ref="D38">IF(X38="","",INDEX('Inventory - P10'!$K$16:$K$27,(INT((X38-1)/4)+1))-SUMPRODUCT(($B$10:$B$61=B38)*(($I$10:$I$61&lt;&gt;"")+($K$10:$K$61&lt;&gt;"")+($M$10:$M$61&lt;&gt;"")+($O$10:$O$61&lt;&gt;"")+($Q$10:$Q$61&lt;&gt;"")+($S$10:$S$61&lt;&gt;"")+($U$10:$U$61&lt;&gt;""))))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P10'!$D$16:$D$27,(INT((X38-1)/4)+1)))</f>
        <v/>
      </c>
      <c r="F38" s="7" t="str">
        <f t="array" ref="F38">IF(X38="","",INDEX('Inventory - P10'!$E$16:$E$27,(INT((X38-1)/4)+1)))</f>
        <v/>
      </c>
      <c r="G38" s="7" t="str">
        <f t="array" ref="G38">IF(X38="","",INDEX('Inventory - P10'!$I$16:$I$27,(INT((X38-1)/4)+1)))</f>
        <v/>
      </c>
      <c r="H38" s="7" t="str">
        <f t="array" ref="H38">IF(X38="","",INDEX('Inventory - P10'!$J$16:$J$27,(INT((X38-1)/4)+1)))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P10'!$B$16:$B$27,(INT((X39-1)/4)+1))&amp;IF(INDEX('Inventory - P10'!$C$16:$C$27,(INT((X39-1)/4)+1))="",""," ("&amp;INDEX('Inventory - P10'!$C$16:$C$27,(INT((X39-1)/4)+1))&amp;" mg)"))</f>
        <v/>
      </c>
      <c r="D39" s="7" t="str">
        <f t="array" ref="D39">IF(X39="","",INDEX('Inventory - P10'!$K$16:$K$27,(INT((X39-1)/4)+1))-SUMPRODUCT(($B$10:$B$61=B39)*(($I$10:$I$61&lt;&gt;"")+($K$10:$K$61&lt;&gt;"")+($M$10:$M$61&lt;&gt;"")+($O$10:$O$61&lt;&gt;"")+($Q$10:$Q$61&lt;&gt;"")+($S$10:$S$61&lt;&gt;"")+($U$10:$U$61&lt;&gt;""))))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P10'!$D$16:$D$27,(INT((X39-1)/4)+1)))</f>
        <v/>
      </c>
      <c r="F39" s="7" t="str">
        <f t="array" ref="F39">IF(X39="","",INDEX('Inventory - P10'!$E$16:$E$27,(INT((X39-1)/4)+1)))</f>
        <v/>
      </c>
      <c r="G39" s="7" t="str">
        <f t="array" ref="G39">IF(X39="","",INDEX('Inventory - P10'!$I$16:$I$27,(INT((X39-1)/4)+1)))</f>
        <v/>
      </c>
      <c r="H39" s="7" t="str">
        <f t="array" ref="H39">IF(X39="","",INDEX('Inventory - P10'!$J$16:$J$27,(INT((X39-1)/4)+1)))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P10'!$B$16:$B$27,(INT((X40-1)/4)+1))&amp;IF(INDEX('Inventory - P10'!$C$16:$C$27,(INT((X40-1)/4)+1))="",""," ("&amp;INDEX('Inventory - P10'!$C$16:$C$27,(INT((X40-1)/4)+1))&amp;" mg)"))</f>
        <v/>
      </c>
      <c r="D40" s="7" t="str">
        <f t="array" ref="D40">IF(X40="","",INDEX('Inventory - P10'!$K$16:$K$27,(INT((X40-1)/4)+1))-SUMPRODUCT(($B$10:$B$61=B40)*(($I$10:$I$61&lt;&gt;"")+($K$10:$K$61&lt;&gt;"")+($M$10:$M$61&lt;&gt;"")+($O$10:$O$61&lt;&gt;"")+($Q$10:$Q$61&lt;&gt;"")+($S$10:$S$61&lt;&gt;"")+($U$10:$U$61&lt;&gt;""))))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P10'!$D$16:$D$27,(INT((X40-1)/4)+1)))</f>
        <v/>
      </c>
      <c r="F40" s="7" t="str">
        <f t="array" ref="F40">IF(X40="","",INDEX('Inventory - P10'!$E$16:$E$27,(INT((X40-1)/4)+1)))</f>
        <v/>
      </c>
      <c r="G40" s="7" t="str">
        <f t="array" ref="G40">IF(X40="","",INDEX('Inventory - P10'!$I$16:$I$27,(INT((X40-1)/4)+1)))</f>
        <v/>
      </c>
      <c r="H40" s="7" t="str">
        <f t="array" ref="H40">IF(X40="","",INDEX('Inventory - P10'!$J$16:$J$27,(INT((X40-1)/4)+1)))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P10'!$B$16:$B$27,(INT((X41-1)/4)+1))&amp;IF(INDEX('Inventory - P10'!$C$16:$C$27,(INT((X41-1)/4)+1))="",""," ("&amp;INDEX('Inventory - P10'!$C$16:$C$27,(INT((X41-1)/4)+1))&amp;" mg)"))</f>
        <v/>
      </c>
      <c r="D41" s="7" t="str">
        <f t="array" ref="D41">IF(X41="","",INDEX('Inventory - P10'!$K$16:$K$27,(INT((X41-1)/4)+1))-SUMPRODUCT(($B$10:$B$61=B41)*(($I$10:$I$61&lt;&gt;"")+($K$10:$K$61&lt;&gt;"")+($M$10:$M$61&lt;&gt;"")+($O$10:$O$61&lt;&gt;"")+($Q$10:$Q$61&lt;&gt;"")+($S$10:$S$61&lt;&gt;"")+($U$10:$U$61&lt;&gt;""))))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P10'!$D$16:$D$27,(INT((X41-1)/4)+1)))</f>
        <v/>
      </c>
      <c r="F41" s="7" t="str">
        <f t="array" ref="F41">IF(X41="","",INDEX('Inventory - P10'!$E$16:$E$27,(INT((X41-1)/4)+1)))</f>
        <v/>
      </c>
      <c r="G41" s="7" t="str">
        <f t="array" ref="G41">IF(X41="","",INDEX('Inventory - P10'!$I$16:$I$27,(INT((X41-1)/4)+1)))</f>
        <v/>
      </c>
      <c r="H41" s="7" t="str">
        <f t="array" ref="H41">IF(X41="","",INDEX('Inventory - P10'!$J$16:$J$27,(INT((X41-1)/4)+1)))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P10'!$B$16:$B$27,(INT((X42-1)/4)+1))&amp;IF(INDEX('Inventory - P10'!$C$16:$C$27,(INT((X42-1)/4)+1))="",""," ("&amp;INDEX('Inventory - P10'!$C$16:$C$27,(INT((X42-1)/4)+1))&amp;" mg)"))</f>
        <v/>
      </c>
      <c r="D42" s="7" t="str">
        <f t="array" ref="D42">IF(X42="","",INDEX('Inventory - P10'!$K$16:$K$27,(INT((X42-1)/4)+1))-SUMPRODUCT(($B$10:$B$61=B42)*(($I$10:$I$61&lt;&gt;"")+($K$10:$K$61&lt;&gt;"")+($M$10:$M$61&lt;&gt;"")+($O$10:$O$61&lt;&gt;"")+($Q$10:$Q$61&lt;&gt;"")+($S$10:$S$61&lt;&gt;"")+($U$10:$U$61&lt;&gt;""))))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P10'!$D$16:$D$27,(INT((X42-1)/4)+1)))</f>
        <v/>
      </c>
      <c r="F42" s="7" t="str">
        <f t="array" ref="F42">IF(X42="","",INDEX('Inventory - P10'!$E$16:$E$27,(INT((X42-1)/4)+1)))</f>
        <v/>
      </c>
      <c r="G42" s="7" t="str">
        <f t="array" ref="G42">IF(X42="","",INDEX('Inventory - P10'!$I$16:$I$27,(INT((X42-1)/4)+1)))</f>
        <v/>
      </c>
      <c r="H42" s="7" t="str">
        <f t="array" ref="H42">IF(X42="","",INDEX('Inventory - P10'!$J$16:$J$27,(INT((X42-1)/4)+1)))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P10'!$B$16:$B$27,(INT((X43-1)/4)+1))&amp;IF(INDEX('Inventory - P10'!$C$16:$C$27,(INT((X43-1)/4)+1))="",""," ("&amp;INDEX('Inventory - P10'!$C$16:$C$27,(INT((X43-1)/4)+1))&amp;" mg)"))</f>
        <v/>
      </c>
      <c r="D43" s="7" t="str">
        <f t="array" ref="D43">IF(X43="","",INDEX('Inventory - P10'!$K$16:$K$27,(INT((X43-1)/4)+1))-SUMPRODUCT(($B$10:$B$61=B43)*(($I$10:$I$61&lt;&gt;"")+($K$10:$K$61&lt;&gt;"")+($M$10:$M$61&lt;&gt;"")+($O$10:$O$61&lt;&gt;"")+($Q$10:$Q$61&lt;&gt;"")+($S$10:$S$61&lt;&gt;"")+($U$10:$U$61&lt;&gt;""))))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P10'!$D$16:$D$27,(INT((X43-1)/4)+1)))</f>
        <v/>
      </c>
      <c r="F43" s="7" t="str">
        <f t="array" ref="F43">IF(X43="","",INDEX('Inventory - P10'!$E$16:$E$27,(INT((X43-1)/4)+1)))</f>
        <v/>
      </c>
      <c r="G43" s="7" t="str">
        <f t="array" ref="G43">IF(X43="","",INDEX('Inventory - P10'!$I$16:$I$27,(INT((X43-1)/4)+1)))</f>
        <v/>
      </c>
      <c r="H43" s="7" t="str">
        <f t="array" ref="H43">IF(X43="","",INDEX('Inventory - P10'!$J$16:$J$27,(INT((X43-1)/4)+1)))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P10'!$B$16:$B$27,(INT((X44-1)/4)+1))&amp;IF(INDEX('Inventory - P10'!$C$16:$C$27,(INT((X44-1)/4)+1))="",""," ("&amp;INDEX('Inventory - P10'!$C$16:$C$27,(INT((X44-1)/4)+1))&amp;" mg)"))</f>
        <v/>
      </c>
      <c r="D44" s="7" t="str">
        <f t="array" ref="D44">IF(X44="","",INDEX('Inventory - P10'!$K$16:$K$27,(INT((X44-1)/4)+1))-SUMPRODUCT(($B$10:$B$61=B44)*(($I$10:$I$61&lt;&gt;"")+($K$10:$K$61&lt;&gt;"")+($M$10:$M$61&lt;&gt;"")+($O$10:$O$61&lt;&gt;"")+($Q$10:$Q$61&lt;&gt;"")+($S$10:$S$61&lt;&gt;"")+($U$10:$U$61&lt;&gt;""))))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P10'!$D$16:$D$27,(INT((X44-1)/4)+1)))</f>
        <v/>
      </c>
      <c r="F44" s="7" t="str">
        <f t="array" ref="F44">IF(X44="","",INDEX('Inventory - P10'!$E$16:$E$27,(INT((X44-1)/4)+1)))</f>
        <v/>
      </c>
      <c r="G44" s="7" t="str">
        <f t="array" ref="G44">IF(X44="","",INDEX('Inventory - P10'!$I$16:$I$27,(INT((X44-1)/4)+1)))</f>
        <v/>
      </c>
      <c r="H44" s="7" t="str">
        <f t="array" ref="H44">IF(X44="","",INDEX('Inventory - P10'!$J$16:$J$27,(INT((X44-1)/4)+1)))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P10'!$B$16:$B$27,(INT((X45-1)/4)+1))&amp;IF(INDEX('Inventory - P10'!$C$16:$C$27,(INT((X45-1)/4)+1))="",""," ("&amp;INDEX('Inventory - P10'!$C$16:$C$27,(INT((X45-1)/4)+1))&amp;" mg)"))</f>
        <v/>
      </c>
      <c r="D45" s="7" t="str">
        <f t="array" ref="D45">IF(X45="","",INDEX('Inventory - P10'!$K$16:$K$27,(INT((X45-1)/4)+1))-SUMPRODUCT(($B$10:$B$61=B45)*(($I$10:$I$61&lt;&gt;"")+($K$10:$K$61&lt;&gt;"")+($M$10:$M$61&lt;&gt;"")+($O$10:$O$61&lt;&gt;"")+($Q$10:$Q$61&lt;&gt;"")+($S$10:$S$61&lt;&gt;"")+($U$10:$U$61&lt;&gt;""))))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P10'!$D$16:$D$27,(INT((X45-1)/4)+1)))</f>
        <v/>
      </c>
      <c r="F45" s="7" t="str">
        <f t="array" ref="F45">IF(X45="","",INDEX('Inventory - P10'!$E$16:$E$27,(INT((X45-1)/4)+1)))</f>
        <v/>
      </c>
      <c r="G45" s="7" t="str">
        <f t="array" ref="G45">IF(X45="","",INDEX('Inventory - P10'!$I$16:$I$27,(INT((X45-1)/4)+1)))</f>
        <v/>
      </c>
      <c r="H45" s="7" t="str">
        <f t="array" ref="H45">IF(X45="","",INDEX('Inventory - P10'!$J$16:$J$27,(INT((X45-1)/4)+1)))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P10'!$B$16:$B$27,(INT((X46-1)/4)+1))&amp;IF(INDEX('Inventory - P10'!$C$16:$C$27,(INT((X46-1)/4)+1))="",""," ("&amp;INDEX('Inventory - P10'!$C$16:$C$27,(INT((X46-1)/4)+1))&amp;" mg)"))</f>
        <v/>
      </c>
      <c r="D46" s="7" t="str">
        <f t="array" ref="D46">IF(X46="","",INDEX('Inventory - P10'!$K$16:$K$27,(INT((X46-1)/4)+1))-SUMPRODUCT(($B$10:$B$61=B46)*(($I$10:$I$61&lt;&gt;"")+($K$10:$K$61&lt;&gt;"")+($M$10:$M$61&lt;&gt;"")+($O$10:$O$61&lt;&gt;"")+($Q$10:$Q$61&lt;&gt;"")+($S$10:$S$61&lt;&gt;"")+($U$10:$U$61&lt;&gt;""))))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P10'!$D$16:$D$27,(INT((X46-1)/4)+1)))</f>
        <v/>
      </c>
      <c r="F46" s="7" t="str">
        <f t="array" ref="F46">IF(X46="","",INDEX('Inventory - P10'!$E$16:$E$27,(INT((X46-1)/4)+1)))</f>
        <v/>
      </c>
      <c r="G46" s="7" t="str">
        <f t="array" ref="G46">IF(X46="","",INDEX('Inventory - P10'!$I$16:$I$27,(INT((X46-1)/4)+1)))</f>
        <v/>
      </c>
      <c r="H46" s="7" t="str">
        <f t="array" ref="H46">IF(X46="","",INDEX('Inventory - P10'!$J$16:$J$27,(INT((X46-1)/4)+1)))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P10'!$B$16:$B$27,(INT((X47-1)/4)+1))&amp;IF(INDEX('Inventory - P10'!$C$16:$C$27,(INT((X47-1)/4)+1))="",""," ("&amp;INDEX('Inventory - P10'!$C$16:$C$27,(INT((X47-1)/4)+1))&amp;" mg)"))</f>
        <v/>
      </c>
      <c r="D47" s="7" t="str">
        <f t="array" ref="D47">IF(X47="","",INDEX('Inventory - P10'!$K$16:$K$27,(INT((X47-1)/4)+1))-SUMPRODUCT(($B$10:$B$61=B47)*(($I$10:$I$61&lt;&gt;"")+($K$10:$K$61&lt;&gt;"")+($M$10:$M$61&lt;&gt;"")+($O$10:$O$61&lt;&gt;"")+($Q$10:$Q$61&lt;&gt;"")+($S$10:$S$61&lt;&gt;"")+($U$10:$U$61&lt;&gt;""))))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P10'!$D$16:$D$27,(INT((X47-1)/4)+1)))</f>
        <v/>
      </c>
      <c r="F47" s="7" t="str">
        <f t="array" ref="F47">IF(X47="","",INDEX('Inventory - P10'!$E$16:$E$27,(INT((X47-1)/4)+1)))</f>
        <v/>
      </c>
      <c r="G47" s="7" t="str">
        <f t="array" ref="G47">IF(X47="","",INDEX('Inventory - P10'!$I$16:$I$27,(INT((X47-1)/4)+1)))</f>
        <v/>
      </c>
      <c r="H47" s="7" t="str">
        <f t="array" ref="H47">IF(X47="","",INDEX('Inventory - P10'!$J$16:$J$27,(INT((X47-1)/4)+1)))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P10'!$B$16:$B$27,(INT((X48-1)/4)+1))&amp;IF(INDEX('Inventory - P10'!$C$16:$C$27,(INT((X48-1)/4)+1))="",""," ("&amp;INDEX('Inventory - P10'!$C$16:$C$27,(INT((X48-1)/4)+1))&amp;" mg)"))</f>
        <v/>
      </c>
      <c r="D48" s="7" t="str">
        <f t="array" ref="D48">IF(X48="","",INDEX('Inventory - P10'!$K$16:$K$27,(INT((X48-1)/4)+1))-SUMPRODUCT(($B$10:$B$61=B48)*(($I$10:$I$61&lt;&gt;"")+($K$10:$K$61&lt;&gt;"")+($M$10:$M$61&lt;&gt;"")+($O$10:$O$61&lt;&gt;"")+($Q$10:$Q$61&lt;&gt;"")+($S$10:$S$61&lt;&gt;"")+($U$10:$U$61&lt;&gt;""))))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P10'!$D$16:$D$27,(INT((X48-1)/4)+1)))</f>
        <v/>
      </c>
      <c r="F48" s="7" t="str">
        <f t="array" ref="F48">IF(X48="","",INDEX('Inventory - P10'!$E$16:$E$27,(INT((X48-1)/4)+1)))</f>
        <v/>
      </c>
      <c r="G48" s="7" t="str">
        <f t="array" ref="G48">IF(X48="","",INDEX('Inventory - P10'!$I$16:$I$27,(INT((X48-1)/4)+1)))</f>
        <v/>
      </c>
      <c r="H48" s="7" t="str">
        <f t="array" ref="H48">IF(X48="","",INDEX('Inventory - P10'!$J$16:$J$27,(INT((X48-1)/4)+1)))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P10'!$B$16:$B$27,(INT((X50-1)/4)+1))&amp;IF(INDEX('Inventory - P10'!$C$16:$C$27,(INT((X50-1)/4)+1))="",""," ("&amp;INDEX('Inventory - P10'!$C$16:$C$27,(INT((X50-1)/4)+1))&amp;" mg)"))</f>
        <v/>
      </c>
      <c r="D50" s="7" t="str">
        <f t="array" ref="D50">IF(X50="","",INDEX('Inventory - P10'!$K$16:$K$27,(INT((X50-1)/4)+1))-SUMPRODUCT(($B$10:$B$61=B50)*(($I$10:$I$61&lt;&gt;"")+($K$10:$K$61&lt;&gt;"")+($M$10:$M$61&lt;&gt;"")+($O$10:$O$61&lt;&gt;"")+($Q$10:$Q$61&lt;&gt;"")+($S$10:$S$61&lt;&gt;"")+($U$10:$U$61&lt;&gt;""))))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P10'!$D$16:$D$27,(INT((X50-1)/4)+1)))</f>
        <v/>
      </c>
      <c r="F50" s="7" t="str">
        <f t="array" ref="F50">IF(X50="","",INDEX('Inventory - P10'!$E$16:$E$27,(INT((X50-1)/4)+1)))</f>
        <v/>
      </c>
      <c r="G50" s="7" t="str">
        <f t="array" ref="G50">IF(X50="","",INDEX('Inventory - P10'!$I$16:$I$27,(INT((X50-1)/4)+1)))</f>
        <v/>
      </c>
      <c r="H50" s="7" t="str">
        <f t="array" ref="H50">IF(X50="","",INDEX('Inventory - P10'!$J$16:$J$27,(INT((X50-1)/4)+1)))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P10'!$B$16:$B$27,(INT((X51-1)/4)+1))&amp;IF(INDEX('Inventory - P10'!$C$16:$C$27,(INT((X51-1)/4)+1))="",""," ("&amp;INDEX('Inventory - P10'!$C$16:$C$27,(INT((X51-1)/4)+1))&amp;" mg)"))</f>
        <v/>
      </c>
      <c r="D51" s="7" t="str">
        <f t="array" ref="D51">IF(X51="","",INDEX('Inventory - P10'!$K$16:$K$27,(INT((X51-1)/4)+1))-SUMPRODUCT(($B$10:$B$61=B51)*(($I$10:$I$61&lt;&gt;"")+($K$10:$K$61&lt;&gt;"")+($M$10:$M$61&lt;&gt;"")+($O$10:$O$61&lt;&gt;"")+($Q$10:$Q$61&lt;&gt;"")+($S$10:$S$61&lt;&gt;"")+($U$10:$U$61&lt;&gt;""))))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P10'!$D$16:$D$27,(INT((X51-1)/4)+1)))</f>
        <v/>
      </c>
      <c r="F51" s="7" t="str">
        <f t="array" ref="F51">IF(X51="","",INDEX('Inventory - P10'!$E$16:$E$27,(INT((X51-1)/4)+1)))</f>
        <v/>
      </c>
      <c r="G51" s="7" t="str">
        <f t="array" ref="G51">IF(X51="","",INDEX('Inventory - P10'!$I$16:$I$27,(INT((X51-1)/4)+1)))</f>
        <v/>
      </c>
      <c r="H51" s="7" t="str">
        <f t="array" ref="H51">IF(X51="","",INDEX('Inventory - P10'!$J$16:$J$27,(INT((X51-1)/4)+1)))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P10'!$B$16:$B$27,(INT((X52-1)/4)+1))&amp;IF(INDEX('Inventory - P10'!$C$16:$C$27,(INT((X52-1)/4)+1))="",""," ("&amp;INDEX('Inventory - P10'!$C$16:$C$27,(INT((X52-1)/4)+1))&amp;" mg)"))</f>
        <v/>
      </c>
      <c r="D52" s="7" t="str">
        <f t="array" ref="D52">IF(X52="","",INDEX('Inventory - P10'!$K$16:$K$27,(INT((X52-1)/4)+1))-SUMPRODUCT(($B$10:$B$61=B52)*(($I$10:$I$61&lt;&gt;"")+($K$10:$K$61&lt;&gt;"")+($M$10:$M$61&lt;&gt;"")+($O$10:$O$61&lt;&gt;"")+($Q$10:$Q$61&lt;&gt;"")+($S$10:$S$61&lt;&gt;"")+($U$10:$U$61&lt;&gt;""))))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P10'!$D$16:$D$27,(INT((X52-1)/4)+1)))</f>
        <v/>
      </c>
      <c r="F52" s="7" t="str">
        <f t="array" ref="F52">IF(X52="","",INDEX('Inventory - P10'!$E$16:$E$27,(INT((X52-1)/4)+1)))</f>
        <v/>
      </c>
      <c r="G52" s="7" t="str">
        <f t="array" ref="G52">IF(X52="","",INDEX('Inventory - P10'!$I$16:$I$27,(INT((X52-1)/4)+1)))</f>
        <v/>
      </c>
      <c r="H52" s="7" t="str">
        <f t="array" ref="H52">IF(X52="","",INDEX('Inventory - P10'!$J$16:$J$27,(INT((X52-1)/4)+1)))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P10'!$B$16:$B$27,(INT((X53-1)/4)+1))&amp;IF(INDEX('Inventory - P10'!$C$16:$C$27,(INT((X53-1)/4)+1))="",""," ("&amp;INDEX('Inventory - P10'!$C$16:$C$27,(INT((X53-1)/4)+1))&amp;" mg)"))</f>
        <v/>
      </c>
      <c r="D53" s="7" t="str">
        <f t="array" ref="D53">IF(X53="","",INDEX('Inventory - P10'!$K$16:$K$27,(INT((X53-1)/4)+1))-SUMPRODUCT(($B$10:$B$61=B53)*(($I$10:$I$61&lt;&gt;"")+($K$10:$K$61&lt;&gt;"")+($M$10:$M$61&lt;&gt;"")+($O$10:$O$61&lt;&gt;"")+($Q$10:$Q$61&lt;&gt;"")+($S$10:$S$61&lt;&gt;"")+($U$10:$U$61&lt;&gt;""))))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P10'!$D$16:$D$27,(INT((X53-1)/4)+1)))</f>
        <v/>
      </c>
      <c r="F53" s="7" t="str">
        <f t="array" ref="F53">IF(X53="","",INDEX('Inventory - P10'!$E$16:$E$27,(INT((X53-1)/4)+1)))</f>
        <v/>
      </c>
      <c r="G53" s="7" t="str">
        <f t="array" ref="G53">IF(X53="","",INDEX('Inventory - P10'!$I$16:$I$27,(INT((X53-1)/4)+1)))</f>
        <v/>
      </c>
      <c r="H53" s="7" t="str">
        <f t="array" ref="H53">IF(X53="","",INDEX('Inventory - P10'!$J$16:$J$27,(INT((X53-1)/4)+1)))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P10'!$B$16:$B$27,(INT((X54-1)/4)+1))&amp;IF(INDEX('Inventory - P10'!$C$16:$C$27,(INT((X54-1)/4)+1))="",""," ("&amp;INDEX('Inventory - P10'!$C$16:$C$27,(INT((X54-1)/4)+1))&amp;" mg)"))</f>
        <v/>
      </c>
      <c r="D54" s="7" t="str">
        <f t="array" ref="D54">IF(X54="","",INDEX('Inventory - P10'!$K$16:$K$27,(INT((X54-1)/4)+1))-SUMPRODUCT(($B$10:$B$61=B54)*(($I$10:$I$61&lt;&gt;"")+($K$10:$K$61&lt;&gt;"")+($M$10:$M$61&lt;&gt;"")+($O$10:$O$61&lt;&gt;"")+($Q$10:$Q$61&lt;&gt;"")+($S$10:$S$61&lt;&gt;"")+($U$10:$U$61&lt;&gt;""))))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P10'!$D$16:$D$27,(INT((X54-1)/4)+1)))</f>
        <v/>
      </c>
      <c r="F54" s="7" t="str">
        <f t="array" ref="F54">IF(X54="","",INDEX('Inventory - P10'!$E$16:$E$27,(INT((X54-1)/4)+1)))</f>
        <v/>
      </c>
      <c r="G54" s="7" t="str">
        <f t="array" ref="G54">IF(X54="","",INDEX('Inventory - P10'!$I$16:$I$27,(INT((X54-1)/4)+1)))</f>
        <v/>
      </c>
      <c r="H54" s="7" t="str">
        <f t="array" ref="H54">IF(X54="","",INDEX('Inventory - P10'!$J$16:$J$27,(INT((X54-1)/4)+1)))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P10'!$B$16:$B$27,(INT((X55-1)/4)+1))&amp;IF(INDEX('Inventory - P10'!$C$16:$C$27,(INT((X55-1)/4)+1))="",""," ("&amp;INDEX('Inventory - P10'!$C$16:$C$27,(INT((X55-1)/4)+1))&amp;" mg)"))</f>
        <v/>
      </c>
      <c r="D55" s="7" t="str">
        <f t="array" ref="D55">IF(X55="","",INDEX('Inventory - P10'!$K$16:$K$27,(INT((X55-1)/4)+1))-SUMPRODUCT(($B$10:$B$61=B55)*(($I$10:$I$61&lt;&gt;"")+($K$10:$K$61&lt;&gt;"")+($M$10:$M$61&lt;&gt;"")+($O$10:$O$61&lt;&gt;"")+($Q$10:$Q$61&lt;&gt;"")+($S$10:$S$61&lt;&gt;"")+($U$10:$U$61&lt;&gt;""))))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P10'!$D$16:$D$27,(INT((X55-1)/4)+1)))</f>
        <v/>
      </c>
      <c r="F55" s="7" t="str">
        <f t="array" ref="F55">IF(X55="","",INDEX('Inventory - P10'!$E$16:$E$27,(INT((X55-1)/4)+1)))</f>
        <v/>
      </c>
      <c r="G55" s="7" t="str">
        <f t="array" ref="G55">IF(X55="","",INDEX('Inventory - P10'!$I$16:$I$27,(INT((X55-1)/4)+1)))</f>
        <v/>
      </c>
      <c r="H55" s="7" t="str">
        <f t="array" ref="H55">IF(X55="","",INDEX('Inventory - P10'!$J$16:$J$27,(INT((X55-1)/4)+1)))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P10'!$B$16:$B$27,(INT((X56-1)/4)+1))&amp;IF(INDEX('Inventory - P10'!$C$16:$C$27,(INT((X56-1)/4)+1))="",""," ("&amp;INDEX('Inventory - P10'!$C$16:$C$27,(INT((X56-1)/4)+1))&amp;" mg)"))</f>
        <v/>
      </c>
      <c r="D56" s="7" t="str">
        <f t="array" ref="D56">IF(X56="","",INDEX('Inventory - P10'!$K$16:$K$27,(INT((X56-1)/4)+1))-SUMPRODUCT(($B$10:$B$61=B56)*(($I$10:$I$61&lt;&gt;"")+($K$10:$K$61&lt;&gt;"")+($M$10:$M$61&lt;&gt;"")+($O$10:$O$61&lt;&gt;"")+($Q$10:$Q$61&lt;&gt;"")+($S$10:$S$61&lt;&gt;"")+($U$10:$U$61&lt;&gt;""))))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P10'!$D$16:$D$27,(INT((X56-1)/4)+1)))</f>
        <v/>
      </c>
      <c r="F56" s="7" t="str">
        <f t="array" ref="F56">IF(X56="","",INDEX('Inventory - P10'!$E$16:$E$27,(INT((X56-1)/4)+1)))</f>
        <v/>
      </c>
      <c r="G56" s="7" t="str">
        <f t="array" ref="G56">IF(X56="","",INDEX('Inventory - P10'!$I$16:$I$27,(INT((X56-1)/4)+1)))</f>
        <v/>
      </c>
      <c r="H56" s="7" t="str">
        <f t="array" ref="H56">IF(X56="","",INDEX('Inventory - P10'!$J$16:$J$27,(INT((X56-1)/4)+1)))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P10'!$B$16:$B$27,(INT((X57-1)/4)+1))&amp;IF(INDEX('Inventory - P10'!$C$16:$C$27,(INT((X57-1)/4)+1))="",""," ("&amp;INDEX('Inventory - P10'!$C$16:$C$27,(INT((X57-1)/4)+1))&amp;" mg)"))</f>
        <v/>
      </c>
      <c r="D57" s="7" t="str">
        <f t="array" ref="D57">IF(X57="","",INDEX('Inventory - P10'!$K$16:$K$27,(INT((X57-1)/4)+1))-SUMPRODUCT(($B$10:$B$61=B57)*(($I$10:$I$61&lt;&gt;"")+($K$10:$K$61&lt;&gt;"")+($M$10:$M$61&lt;&gt;"")+($O$10:$O$61&lt;&gt;"")+($Q$10:$Q$61&lt;&gt;"")+($S$10:$S$61&lt;&gt;"")+($U$10:$U$61&lt;&gt;""))))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P10'!$D$16:$D$27,(INT((X57-1)/4)+1)))</f>
        <v/>
      </c>
      <c r="F57" s="7" t="str">
        <f t="array" ref="F57">IF(X57="","",INDEX('Inventory - P10'!$E$16:$E$27,(INT((X57-1)/4)+1)))</f>
        <v/>
      </c>
      <c r="G57" s="7" t="str">
        <f t="array" ref="G57">IF(X57="","",INDEX('Inventory - P10'!$I$16:$I$27,(INT((X57-1)/4)+1)))</f>
        <v/>
      </c>
      <c r="H57" s="7" t="str">
        <f t="array" ref="H57">IF(X57="","",INDEX('Inventory - P10'!$J$16:$J$27,(INT((X57-1)/4)+1)))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P10'!$B$16:$B$27,(INT((X58-1)/4)+1))&amp;IF(INDEX('Inventory - P10'!$C$16:$C$27,(INT((X58-1)/4)+1))="",""," ("&amp;INDEX('Inventory - P10'!$C$16:$C$27,(INT((X58-1)/4)+1))&amp;" mg)"))</f>
        <v/>
      </c>
      <c r="D58" s="7" t="str">
        <f t="array" ref="D58">IF(X58="","",INDEX('Inventory - P10'!$K$16:$K$27,(INT((X58-1)/4)+1))-SUMPRODUCT(($B$10:$B$61=B58)*(($I$10:$I$61&lt;&gt;"")+($K$10:$K$61&lt;&gt;"")+($M$10:$M$61&lt;&gt;"")+($O$10:$O$61&lt;&gt;"")+($Q$10:$Q$61&lt;&gt;"")+($S$10:$S$61&lt;&gt;"")+($U$10:$U$61&lt;&gt;""))))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P10'!$D$16:$D$27,(INT((X58-1)/4)+1)))</f>
        <v/>
      </c>
      <c r="F58" s="7" t="str">
        <f t="array" ref="F58">IF(X58="","",INDEX('Inventory - P10'!$E$16:$E$27,(INT((X58-1)/4)+1)))</f>
        <v/>
      </c>
      <c r="G58" s="7" t="str">
        <f t="array" ref="G58">IF(X58="","",INDEX('Inventory - P10'!$I$16:$I$27,(INT((X58-1)/4)+1)))</f>
        <v/>
      </c>
      <c r="H58" s="7" t="str">
        <f t="array" ref="H58">IF(X58="","",INDEX('Inventory - P10'!$J$16:$J$27,(INT((X58-1)/4)+1)))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P10'!$B$16:$B$27,(INT((X59-1)/4)+1))&amp;IF(INDEX('Inventory - P10'!$C$16:$C$27,(INT((X59-1)/4)+1))="",""," ("&amp;INDEX('Inventory - P10'!$C$16:$C$27,(INT((X59-1)/4)+1))&amp;" mg)"))</f>
        <v/>
      </c>
      <c r="D59" s="7" t="str">
        <f t="array" ref="D59">IF(X59="","",INDEX('Inventory - P10'!$K$16:$K$27,(INT((X59-1)/4)+1))-SUMPRODUCT(($B$10:$B$61=B59)*(($I$10:$I$61&lt;&gt;"")+($K$10:$K$61&lt;&gt;"")+($M$10:$M$61&lt;&gt;"")+($O$10:$O$61&lt;&gt;"")+($Q$10:$Q$61&lt;&gt;"")+($S$10:$S$61&lt;&gt;"")+($U$10:$U$61&lt;&gt;""))))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P10'!$D$16:$D$27,(INT((X59-1)/4)+1)))</f>
        <v/>
      </c>
      <c r="F59" s="7" t="str">
        <f t="array" ref="F59">IF(X59="","",INDEX('Inventory - P10'!$E$16:$E$27,(INT((X59-1)/4)+1)))</f>
        <v/>
      </c>
      <c r="G59" s="7" t="str">
        <f t="array" ref="G59">IF(X59="","",INDEX('Inventory - P10'!$I$16:$I$27,(INT((X59-1)/4)+1)))</f>
        <v/>
      </c>
      <c r="H59" s="7" t="str">
        <f t="array" ref="H59">IF(X59="","",INDEX('Inventory - P10'!$J$16:$J$27,(INT((X59-1)/4)+1)))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P10'!$B$16:$B$27,(INT((X60-1)/4)+1))&amp;IF(INDEX('Inventory - P10'!$C$16:$C$27,(INT((X60-1)/4)+1))="",""," ("&amp;INDEX('Inventory - P10'!$C$16:$C$27,(INT((X60-1)/4)+1))&amp;" mg)"))</f>
        <v/>
      </c>
      <c r="D60" s="7" t="str">
        <f t="array" ref="D60">IF(X60="","",INDEX('Inventory - P10'!$K$16:$K$27,(INT((X60-1)/4)+1))-SUMPRODUCT(($B$10:$B$61=B60)*(($I$10:$I$61&lt;&gt;"")+($K$10:$K$61&lt;&gt;"")+($M$10:$M$61&lt;&gt;"")+($O$10:$O$61&lt;&gt;"")+($Q$10:$Q$61&lt;&gt;"")+($S$10:$S$61&lt;&gt;"")+($U$10:$U$61&lt;&gt;""))))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P10'!$D$16:$D$27,(INT((X60-1)/4)+1)))</f>
        <v/>
      </c>
      <c r="F60" s="7" t="str">
        <f t="array" ref="F60">IF(X60="","",INDEX('Inventory - P10'!$E$16:$E$27,(INT((X60-1)/4)+1)))</f>
        <v/>
      </c>
      <c r="G60" s="7" t="str">
        <f t="array" ref="G60">IF(X60="","",INDEX('Inventory - P10'!$I$16:$I$27,(INT((X60-1)/4)+1)))</f>
        <v/>
      </c>
      <c r="H60" s="7" t="str">
        <f t="array" ref="H60">IF(X60="","",INDEX('Inventory - P10'!$J$16:$J$27,(INT((X60-1)/4)+1)))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P10'!$B$16:$B$27,(INT((X61-1)/4)+1))&amp;IF(INDEX('Inventory - P10'!$C$16:$C$27,(INT((X61-1)/4)+1))="",""," ("&amp;INDEX('Inventory - P10'!$C$16:$C$27,(INT((X61-1)/4)+1))&amp;" mg)"))</f>
        <v/>
      </c>
      <c r="D61" s="7" t="str">
        <f t="array" ref="D61">IF(X61="","",INDEX('Inventory - P10'!$K$16:$K$27,(INT((X61-1)/4)+1))-SUMPRODUCT(($B$10:$B$61=B61)*(($I$10:$I$61&lt;&gt;"")+($K$10:$K$61&lt;&gt;"")+($M$10:$M$61&lt;&gt;"")+($O$10:$O$61&lt;&gt;"")+($Q$10:$Q$61&lt;&gt;"")+($S$10:$S$61&lt;&gt;"")+($U$10:$U$61&lt;&gt;""))))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P10'!$D$16:$D$27,(INT((X61-1)/4)+1)))</f>
        <v/>
      </c>
      <c r="F61" s="7" t="str">
        <f t="array" ref="F61">IF(X61="","",INDEX('Inventory - P10'!$E$16:$E$27,(INT((X61-1)/4)+1)))</f>
        <v/>
      </c>
      <c r="G61" s="7" t="str">
        <f t="array" ref="G61">IF(X61="","",INDEX('Inventory - P10'!$I$16:$I$27,(INT((X61-1)/4)+1)))</f>
        <v/>
      </c>
      <c r="H61" s="7" t="str">
        <f t="array" ref="H61">IF(X61="","",INDEX('Inventory - P10'!$J$16:$J$27,(INT((X61-1)/4)+1)))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P10'!E16&lt;1,'Inventory - P10'!F16="",'Inventory - P10'!G16=""),9,MOD('Inventory - P10'!F16+0*'Inventory - P10'!G16/24,1))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P10'!E16&lt;2,'Inventory - P10'!F16="",'Inventory - P10'!G16=""),9,MOD('Inventory - P10'!F16+1*'Inventory - P10'!G16/24,1))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P10'!E16&lt;3,'Inventory - P10'!F16="",'Inventory - P10'!G16=""),9,MOD('Inventory - P10'!F16+2*'Inventory - P10'!G16/24,1))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P10'!E16&lt;4,'Inventory - P10'!F16="",'Inventory - P10'!G16=""),9,MOD('Inventory - P10'!F16+3*'Inventory - P10'!G16/24,1))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P10'!E17&lt;1,'Inventory - P10'!F17="",'Inventory - P10'!G17=""),9,MOD('Inventory - P10'!F17+0*'Inventory - P10'!G17/24,1))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P10'!E17&lt;2,'Inventory - P10'!F17="",'Inventory - P10'!G17=""),9,MOD('Inventory - P10'!F17+1*'Inventory - P10'!G17/24,1))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P10'!E17&lt;3,'Inventory - P10'!F17="",'Inventory - P10'!G17=""),9,MOD('Inventory - P10'!F17+2*'Inventory - P10'!G17/24,1))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P10'!E17&lt;4,'Inventory - P10'!F17="",'Inventory - P10'!G17=""),9,MOD('Inventory - P10'!F17+3*'Inventory - P10'!G17/24,1))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P10'!E18&lt;1,'Inventory - P10'!F18="",'Inventory - P10'!G18=""),9,MOD('Inventory - P10'!F18+0*'Inventory - P10'!G18/24,1))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P10'!E18&lt;2,'Inventory - P10'!F18="",'Inventory - P10'!G18=""),9,MOD('Inventory - P10'!F18+1*'Inventory - P10'!G18/24,1))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P10'!E18&lt;3,'Inventory - P10'!F18="",'Inventory - P10'!G18=""),9,MOD('Inventory - P10'!F18+2*'Inventory - P10'!G18/24,1))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P10'!E18&lt;4,'Inventory - P10'!F18="",'Inventory - P10'!G18=""),9,MOD('Inventory - P10'!F18+3*'Inventory - P10'!G18/24,1))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P10'!E19&lt;1,'Inventory - P10'!F19="",'Inventory - P10'!G19=""),9,MOD('Inventory - P10'!F19+0*'Inventory - P10'!G19/24,1))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P10'!E19&lt;2,'Inventory - P10'!F19="",'Inventory - P10'!G19=""),9,MOD('Inventory - P10'!F19+1*'Inventory - P10'!G19/24,1))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P10'!E19&lt;3,'Inventory - P10'!F19="",'Inventory - P10'!G19=""),9,MOD('Inventory - P10'!F19+2*'Inventory - P10'!G19/24,1))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P10'!E19&lt;4,'Inventory - P10'!F19="",'Inventory - P10'!G19=""),9,MOD('Inventory - P10'!F19+3*'Inventory - P10'!G19/24,1))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P10'!E20&lt;1,'Inventory - P10'!F20="",'Inventory - P10'!G20=""),9,MOD('Inventory - P10'!F20+0*'Inventory - P10'!G20/24,1))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P10'!E20&lt;2,'Inventory - P10'!F20="",'Inventory - P10'!G20=""),9,MOD('Inventory - P10'!F20+1*'Inventory - P10'!G20/24,1))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P10'!E20&lt;3,'Inventory - P10'!F20="",'Inventory - P10'!G20=""),9,MOD('Inventory - P10'!F20+2*'Inventory - P10'!G20/24,1))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P10'!E20&lt;4,'Inventory - P10'!F20="",'Inventory - P10'!G20=""),9,MOD('Inventory - P10'!F20+3*'Inventory - P10'!G20/24,1))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P10'!E21&lt;1,'Inventory - P10'!F21="",'Inventory - P10'!G21=""),9,MOD('Inventory - P10'!F21+0*'Inventory - P10'!G21/24,1))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P10'!E21&lt;2,'Inventory - P10'!F21="",'Inventory - P10'!G21=""),9,MOD('Inventory - P10'!F21+1*'Inventory - P10'!G21/24,1))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P10'!E21&lt;3,'Inventory - P10'!F21="",'Inventory - P10'!G21=""),9,MOD('Inventory - P10'!F21+2*'Inventory - P10'!G21/24,1))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P10'!E21&lt;4,'Inventory - P10'!F21="",'Inventory - P10'!G21=""),9,MOD('Inventory - P10'!F21+3*'Inventory - P10'!G21/24,1))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P10'!E22&lt;1,'Inventory - P10'!F22="",'Inventory - P10'!G22=""),9,MOD('Inventory - P10'!F22+0*'Inventory - P10'!G22/24,1))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P10'!E22&lt;2,'Inventory - P10'!F22="",'Inventory - P10'!G22=""),9,MOD('Inventory - P10'!F22+1*'Inventory - P10'!G22/24,1))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P10'!E22&lt;3,'Inventory - P10'!F22="",'Inventory - P10'!G22=""),9,MOD('Inventory - P10'!F22+2*'Inventory - P10'!G22/24,1))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P10'!E22&lt;4,'Inventory - P10'!F22="",'Inventory - P10'!G22=""),9,MOD('Inventory - P10'!F22+3*'Inventory - P10'!G22/24,1))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P10'!E23&lt;1,'Inventory - P10'!F23="",'Inventory - P10'!G23=""),9,MOD('Inventory - P10'!F23+0*'Inventory - P10'!G23/24,1))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P10'!E23&lt;2,'Inventory - P10'!F23="",'Inventory - P10'!G23=""),9,MOD('Inventory - P10'!F23+1*'Inventory - P10'!G23/24,1))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P10'!E23&lt;3,'Inventory - P10'!F23="",'Inventory - P10'!G23=""),9,MOD('Inventory - P10'!F23+2*'Inventory - P10'!G23/24,1))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P10'!E23&lt;4,'Inventory - P10'!F23="",'Inventory - P10'!G23=""),9,MOD('Inventory - P10'!F23+3*'Inventory - P10'!G23/24,1))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P10'!E24&lt;1,'Inventory - P10'!F24="",'Inventory - P10'!G24=""),9,MOD('Inventory - P10'!F24+0*'Inventory - P10'!G24/24,1))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P10'!E24&lt;2,'Inventory - P10'!F24="",'Inventory - P10'!G24=""),9,MOD('Inventory - P10'!F24+1*'Inventory - P10'!G24/24,1))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P10'!E24&lt;3,'Inventory - P10'!F24="",'Inventory - P10'!G24=""),9,MOD('Inventory - P10'!F24+2*'Inventory - P10'!G24/24,1))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P10'!E24&lt;4,'Inventory - P10'!F24="",'Inventory - P10'!G24=""),9,MOD('Inventory - P10'!F24+3*'Inventory - P10'!G24/24,1))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P10'!E25&lt;1,'Inventory - P10'!F25="",'Inventory - P10'!G25=""),9,MOD('Inventory - P10'!F25+0*'Inventory - P10'!G25/24,1))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P10'!E25&lt;2,'Inventory - P10'!F25="",'Inventory - P10'!G25=""),9,MOD('Inventory - P10'!F25+1*'Inventory - P10'!G25/24,1))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P10'!E25&lt;3,'Inventory - P10'!F25="",'Inventory - P10'!G25=""),9,MOD('Inventory - P10'!F25+2*'Inventory - P10'!G25/24,1))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P10'!E25&lt;4,'Inventory - P10'!F25="",'Inventory - P10'!G25=""),9,MOD('Inventory - P10'!F25+3*'Inventory - P10'!G25/24,1))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P10'!E26&lt;1,'Inventory - P10'!F26="",'Inventory - P10'!G26=""),9,MOD('Inventory - P10'!F26+0*'Inventory - P10'!G26/24,1))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P10'!E26&lt;2,'Inventory - P10'!F26="",'Inventory - P10'!G26=""),9,MOD('Inventory - P10'!F26+1*'Inventory - P10'!G26/24,1))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P10'!E26&lt;3,'Inventory - P10'!F26="",'Inventory - P10'!G26=""),9,MOD('Inventory - P10'!F26+2*'Inventory - P10'!G26/24,1))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P10'!E26&lt;4,'Inventory - P10'!F26="",'Inventory - P10'!G26=""),9,MOD('Inventory - P10'!F26+3*'Inventory - P10'!G26/24,1))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P10'!E27&lt;1,'Inventory - P10'!F27="",'Inventory - P10'!G27=""),9,MOD('Inventory - P10'!F27+0*'Inventory - P10'!G27/24,1))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P10'!E27&lt;2,'Inventory - P10'!F27="",'Inventory - P10'!G27=""),9,MOD('Inventory - P10'!F27+1*'Inventory - P10'!G27/24,1))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P10'!E27&lt;3,'Inventory - P10'!F27="",'Inventory - P10'!G27=""),9,MOD('Inventory - P10'!F27+2*'Inventory - P10'!G27/24,1))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P10'!E27&lt;4,'Inventory - P10'!F27="",'Inventory - P10'!G27=""),9,MOD('Inventory - P10'!F27+3*'Inventory - P10'!G27/24,1))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397" priority="1">
      <formula>$W11&gt;=9</formula>
    </cfRule>
  </conditionalFormatting>
  <conditionalFormatting sqref="A12:V12">
    <cfRule type="expression" dxfId="396" priority="2">
      <formula>$W12&gt;=9</formula>
    </cfRule>
  </conditionalFormatting>
  <conditionalFormatting sqref="A13:V13">
    <cfRule type="expression" dxfId="395" priority="3">
      <formula>$W13&gt;=9</formula>
    </cfRule>
  </conditionalFormatting>
  <conditionalFormatting sqref="A14:V14">
    <cfRule type="expression" dxfId="394" priority="4">
      <formula>$W14&gt;=9</formula>
    </cfRule>
  </conditionalFormatting>
  <conditionalFormatting sqref="A15:V15">
    <cfRule type="expression" dxfId="393" priority="5">
      <formula>$W15&gt;=9</formula>
    </cfRule>
  </conditionalFormatting>
  <conditionalFormatting sqref="A16:V16">
    <cfRule type="expression" dxfId="392" priority="6">
      <formula>$W16&gt;=9</formula>
    </cfRule>
  </conditionalFormatting>
  <conditionalFormatting sqref="A17:V17">
    <cfRule type="expression" dxfId="391" priority="7">
      <formula>$W17&gt;=9</formula>
    </cfRule>
  </conditionalFormatting>
  <conditionalFormatting sqref="A18:V18">
    <cfRule type="expression" dxfId="390" priority="8">
      <formula>$W18&gt;=9</formula>
    </cfRule>
  </conditionalFormatting>
  <conditionalFormatting sqref="A19:V19">
    <cfRule type="expression" dxfId="389" priority="9">
      <formula>$W19&gt;=9</formula>
    </cfRule>
  </conditionalFormatting>
  <conditionalFormatting sqref="A20:V20">
    <cfRule type="expression" dxfId="388" priority="10">
      <formula>$W20&gt;=9</formula>
    </cfRule>
  </conditionalFormatting>
  <conditionalFormatting sqref="A21:V21">
    <cfRule type="expression" dxfId="387" priority="11">
      <formula>$W21&gt;=9</formula>
    </cfRule>
  </conditionalFormatting>
  <conditionalFormatting sqref="A22:V22">
    <cfRule type="expression" dxfId="386" priority="12">
      <formula>$W22&gt;=9</formula>
    </cfRule>
  </conditionalFormatting>
  <conditionalFormatting sqref="A24:V24">
    <cfRule type="expression" dxfId="385" priority="13">
      <formula>$W24&gt;=9</formula>
    </cfRule>
  </conditionalFormatting>
  <conditionalFormatting sqref="A25:V25">
    <cfRule type="expression" dxfId="384" priority="14">
      <formula>$W25&gt;=9</formula>
    </cfRule>
  </conditionalFormatting>
  <conditionalFormatting sqref="A26:V26">
    <cfRule type="expression" dxfId="383" priority="15">
      <formula>$W26&gt;=9</formula>
    </cfRule>
  </conditionalFormatting>
  <conditionalFormatting sqref="A27:V27">
    <cfRule type="expression" dxfId="382" priority="16">
      <formula>$W27&gt;=9</formula>
    </cfRule>
  </conditionalFormatting>
  <conditionalFormatting sqref="A28:V28">
    <cfRule type="expression" dxfId="381" priority="17">
      <formula>$W28&gt;=9</formula>
    </cfRule>
  </conditionalFormatting>
  <conditionalFormatting sqref="A29:V29">
    <cfRule type="expression" dxfId="380" priority="18">
      <formula>$W29&gt;=9</formula>
    </cfRule>
  </conditionalFormatting>
  <conditionalFormatting sqref="A30:V30">
    <cfRule type="expression" dxfId="379" priority="19">
      <formula>$W30&gt;=9</formula>
    </cfRule>
  </conditionalFormatting>
  <conditionalFormatting sqref="A31:V31">
    <cfRule type="expression" dxfId="378" priority="20">
      <formula>$W31&gt;=9</formula>
    </cfRule>
  </conditionalFormatting>
  <conditionalFormatting sqref="A32:V32">
    <cfRule type="expression" dxfId="377" priority="21">
      <formula>$W32&gt;=9</formula>
    </cfRule>
  </conditionalFormatting>
  <conditionalFormatting sqref="A33:V33">
    <cfRule type="expression" dxfId="376" priority="22">
      <formula>$W33&gt;=9</formula>
    </cfRule>
  </conditionalFormatting>
  <conditionalFormatting sqref="A34:V34">
    <cfRule type="expression" dxfId="375" priority="23">
      <formula>$W34&gt;=9</formula>
    </cfRule>
  </conditionalFormatting>
  <conditionalFormatting sqref="A35:V35">
    <cfRule type="expression" dxfId="374" priority="24">
      <formula>$W35&gt;=9</formula>
    </cfRule>
  </conditionalFormatting>
  <conditionalFormatting sqref="A37:V37">
    <cfRule type="expression" dxfId="373" priority="25">
      <formula>$W37&gt;=9</formula>
    </cfRule>
  </conditionalFormatting>
  <conditionalFormatting sqref="A38:V38">
    <cfRule type="expression" dxfId="372" priority="26">
      <formula>$W38&gt;=9</formula>
    </cfRule>
  </conditionalFormatting>
  <conditionalFormatting sqref="A39:V39">
    <cfRule type="expression" dxfId="371" priority="27">
      <formula>$W39&gt;=9</formula>
    </cfRule>
  </conditionalFormatting>
  <conditionalFormatting sqref="A40:V40">
    <cfRule type="expression" dxfId="370" priority="28">
      <formula>$W40&gt;=9</formula>
    </cfRule>
  </conditionalFormatting>
  <conditionalFormatting sqref="A41:V41">
    <cfRule type="expression" dxfId="369" priority="29">
      <formula>$W41&gt;=9</formula>
    </cfRule>
  </conditionalFormatting>
  <conditionalFormatting sqref="A42:V42">
    <cfRule type="expression" dxfId="368" priority="30">
      <formula>$W42&gt;=9</formula>
    </cfRule>
  </conditionalFormatting>
  <conditionalFormatting sqref="A43:V43">
    <cfRule type="expression" dxfId="367" priority="31">
      <formula>$W43&gt;=9</formula>
    </cfRule>
  </conditionalFormatting>
  <conditionalFormatting sqref="A44:V44">
    <cfRule type="expression" dxfId="366" priority="32">
      <formula>$W44&gt;=9</formula>
    </cfRule>
  </conditionalFormatting>
  <conditionalFormatting sqref="A45:V45">
    <cfRule type="expression" dxfId="365" priority="33">
      <formula>$W45&gt;=9</formula>
    </cfRule>
  </conditionalFormatting>
  <conditionalFormatting sqref="A46:V46">
    <cfRule type="expression" dxfId="364" priority="34">
      <formula>$W46&gt;=9</formula>
    </cfRule>
  </conditionalFormatting>
  <conditionalFormatting sqref="A47:V47">
    <cfRule type="expression" dxfId="363" priority="35">
      <formula>$W47&gt;=9</formula>
    </cfRule>
  </conditionalFormatting>
  <conditionalFormatting sqref="A48:V48">
    <cfRule type="expression" dxfId="362" priority="36">
      <formula>$W48&gt;=9</formula>
    </cfRule>
  </conditionalFormatting>
  <conditionalFormatting sqref="A50:V50">
    <cfRule type="expression" dxfId="361" priority="37">
      <formula>$W50&gt;=9</formula>
    </cfRule>
  </conditionalFormatting>
  <conditionalFormatting sqref="A51:V51">
    <cfRule type="expression" dxfId="360" priority="38">
      <formula>$W51&gt;=9</formula>
    </cfRule>
  </conditionalFormatting>
  <conditionalFormatting sqref="A52:V52">
    <cfRule type="expression" dxfId="359" priority="39">
      <formula>$W52&gt;=9</formula>
    </cfRule>
  </conditionalFormatting>
  <conditionalFormatting sqref="A53:V53">
    <cfRule type="expression" dxfId="358" priority="40">
      <formula>$W53&gt;=9</formula>
    </cfRule>
  </conditionalFormatting>
  <conditionalFormatting sqref="A54:V54">
    <cfRule type="expression" dxfId="357" priority="41">
      <formula>$W54&gt;=9</formula>
    </cfRule>
  </conditionalFormatting>
  <conditionalFormatting sqref="A55:V55">
    <cfRule type="expression" dxfId="356" priority="42">
      <formula>$W55&gt;=9</formula>
    </cfRule>
  </conditionalFormatting>
  <conditionalFormatting sqref="A56:V56">
    <cfRule type="expression" dxfId="355" priority="43">
      <formula>$W56&gt;=9</formula>
    </cfRule>
  </conditionalFormatting>
  <conditionalFormatting sqref="A57:V57">
    <cfRule type="expression" dxfId="354" priority="44">
      <formula>$W57&gt;=9</formula>
    </cfRule>
  </conditionalFormatting>
  <conditionalFormatting sqref="A58:V58">
    <cfRule type="expression" dxfId="353" priority="45">
      <formula>$W58&gt;=9</formula>
    </cfRule>
  </conditionalFormatting>
  <conditionalFormatting sqref="A59:V59">
    <cfRule type="expression" dxfId="352" priority="46">
      <formula>$W59&gt;=9</formula>
    </cfRule>
  </conditionalFormatting>
  <conditionalFormatting sqref="A60:V60">
    <cfRule type="expression" dxfId="351" priority="47">
      <formula>$W60&gt;=9</formula>
    </cfRule>
  </conditionalFormatting>
  <conditionalFormatting sqref="A61:V61">
    <cfRule type="expression" dxfId="350" priority="48">
      <formula>$W61&gt;=9</formula>
    </cfRule>
  </conditionalFormatting>
  <conditionalFormatting sqref="H10:H61">
    <cfRule type="cellIs" dxfId="349" priority="49" operator="equal">
      <formula>"Physical"</formula>
    </cfRule>
  </conditionalFormatting>
  <conditionalFormatting sqref="H10:H61">
    <cfRule type="cellIs" dxfId="348" priority="50" operator="equal">
      <formula>"Psychological"</formula>
    </cfRule>
  </conditionalFormatting>
  <conditionalFormatting sqref="G10:G61">
    <cfRule type="cellIs" dxfId="347" priority="51" operator="equal">
      <formula>"Y"</formula>
    </cfRule>
  </conditionalFormatting>
  <conditionalFormatting sqref="G10:G61">
    <cfRule type="cellIs" dxfId="346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Tracker'!B15="","",UPPER(LEFT(TRIM('Client Needs Tracker'!B15),1))&amp;UPPER(MID('Client Needs Tracker'!B15,FIND("@",SUBSTITUTE('Client Needs Tracker'!B15," ","@",LEN('Client Needs Tracker'!B15)-LEN(SUBSTITUTE('Client Needs Tracker'!B15," ",""))))+1,1))&amp;"-"&amp;SUBSTITUTE('Client Needs Tracker'!S15," ",""))</f>
        <v>BB-F-2A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Tracker'!S15="","","INV-"&amp;SUBSTITUTE('Client Needs Tracker'!S15," ",""))</f>
        <v>INV-F-2A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Tracker'!B15="","(Add client on Client Needs Tracker, row 15)",'Client Needs Tracker'!B15)</f>
        <v>Betty Boop</v>
      </c>
      <c r="B6" s="134"/>
      <c r="C6" s="134"/>
      <c r="D6" s="134"/>
      <c r="E6" s="134"/>
      <c r="F6" s="93">
        <f>'Client Needs Tracker'!A15</f>
        <v>10101010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Tracker'!C15="","",'Client Needs Tracker'!C15)</f>
        <v>46237</v>
      </c>
      <c r="B8" s="134"/>
      <c r="C8" s="134"/>
      <c r="D8" s="134"/>
      <c r="E8" s="134"/>
      <c r="F8" s="95">
        <f>'Client Needs Tracker'!E15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Tracker'!F15="","",'Client Needs Tracker'!F15)</f>
        <v/>
      </c>
      <c r="B10" s="134"/>
      <c r="C10" s="134"/>
      <c r="D10" s="134"/>
      <c r="E10" s="134"/>
      <c r="F10" s="89" t="str">
        <f>IF('Client Status Board'!G15="","",'Client Status Board'!G15)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Board'!L15="","",'Client Status Board'!L15)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P11'!$B$10:$B$61=1)*(('MAR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P11'!$B$10:$B$61=2)*(('MAR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P11'!$B$10:$B$61=3)*(('MAR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P11'!$B$10:$B$61=4)*(('MAR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P11'!$B$10:$B$61=5)*(('MAR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P11'!$B$10:$B$61=6)*(('MAR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P11'!$B$10:$B$61=7)*(('MAR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P11'!$B$10:$B$61=8)*(('MAR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P11'!$B$10:$B$61=9)*(('MAR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P11'!$B$10:$B$61=10)*(('MAR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P11'!$B$10:$B$61=11)*(('MAR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P11'!$B$10:$B$61=12)*(('MAR - P11'!$I$10:$I$61&lt;&gt;"")+('MAR - P11'!$K$10:$K$61&lt;&gt;"")+('MAR - P11'!$M$10:$M$61&lt;&gt;"")+('MAR - P11'!$O$10:$O$61&lt;&gt;"")+('MAR - P11'!$Q$10:$Q$61&lt;&gt;"")+('MAR - P11'!$S$10:$S$61&lt;&gt;"")+('MAR - P11'!$U$10:$U$61&lt;&gt;""))))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345" priority="1" operator="equal">
      <formula>"Physical"</formula>
    </cfRule>
  </conditionalFormatting>
  <conditionalFormatting sqref="J16:J27">
    <cfRule type="cellIs" dxfId="344" priority="2" operator="equal">
      <formula>"Psychological"</formula>
    </cfRule>
  </conditionalFormatting>
  <conditionalFormatting sqref="I16:I27">
    <cfRule type="cellIs" dxfId="343" priority="3" operator="equal">
      <formula>"Y"</formula>
    </cfRule>
  </conditionalFormatting>
  <conditionalFormatting sqref="I16:I27">
    <cfRule type="cellIs" dxfId="342" priority="4" operator="equal">
      <formula>"N"</formula>
    </cfRule>
  </conditionalFormatting>
  <dataValidations count="5">
    <dataValidation type="list" allowBlank="1" sqref="I16:I27" xr:uid="{00000000-0002-0000-1900-000001000000}">
      <formula1>"Y,N"</formula1>
    </dataValidation>
    <dataValidation type="list" allowBlank="1" sqref="J16:J27" xr:uid="{00000000-0002-0000-1900-000002000000}">
      <formula1>"Physical,Psychological"</formula1>
    </dataValidation>
    <dataValidation type="list" allowBlank="1" sqref="C16:C27" xr:uid="{00000000-0002-0000-19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900-000004000000}">
      <formula1>"PO,IM,IV,SubQ,Topical,Inhaled,Sublingual,Rectal,Other"</formula1>
    </dataValidation>
    <dataValidation type="list" allowBlank="1" sqref="G16:G27" xr:uid="{00000000-0002-0000-19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9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Tracker'!B15="","",UPPER(LEFT(TRIM('Client Needs Tracker'!B15),1))&amp;UPPER(MID('Client Needs Tracker'!B15,FIND("@",SUBSTITUTE('Client Needs Tracker'!B15," ","@",LEN('Client Needs Tracker'!B15)-LEN(SUBSTITUTE('Client Needs Tracker'!B15," ",""))))+1,1))&amp;"-"&amp;SUBSTITUTE('Client Needs Tracker'!S15," ",""))</f>
        <v>BB-F-2A</v>
      </c>
    </row>
    <row r="3" spans="1:33" ht="15" customHeight="1">
      <c r="A3" s="103" t="str">
        <f>IF('Inventory - P11'!A6="","(Enter name in Inventory - P11)",'Inventory - P11'!A6)</f>
        <v>Betty Boop</v>
      </c>
      <c r="B3" s="145"/>
      <c r="C3" s="145"/>
      <c r="D3" s="145"/>
      <c r="E3" s="145"/>
      <c r="F3" s="104" t="str">
        <f>IF('Inventory - P11'!F6="","(Enter ID in Inventory - P11)","Member ID: "&amp;'Inventory - P11'!F6)</f>
        <v>Member ID: 10101010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Tracker'!S15="","","INV-"&amp;SUBSTITUTE('Client Needs Tracker'!S15," ",""))</f>
        <v>INV-F-2A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P11'!F8="","-",'Inventory - P11'!F8)</f>
        <v>LOC: 0</v>
      </c>
      <c r="B5" s="106"/>
      <c r="C5" s="2"/>
      <c r="D5" s="102" t="str">
        <f>"Case Manager: "&amp;IF('Inventory - P11'!A10="","-",'Inventory - P11'!A10)</f>
        <v>Case Manager: -</v>
      </c>
      <c r="E5" s="106"/>
      <c r="F5" s="2"/>
      <c r="G5" s="102" t="str">
        <f>"Doctor: "&amp;IF('Inventory - P11'!F10="","-",'Inventory - P11'!F10)</f>
        <v>Doctor: -</v>
      </c>
      <c r="H5" s="106"/>
      <c r="I5" s="2"/>
      <c r="J5" s="102" t="str">
        <f>"Pharmacy: "&amp;IF('Inventory - P11'!A12="","-",'Inventory - P11'!A12)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P11'!A14="","",'Inventory - P11'!A14)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P11'!A14="","",'Inventory - P11'!A14+0)</f>
        <v/>
      </c>
      <c r="J8" s="134"/>
      <c r="K8" s="101" t="str">
        <f>IF('Inventory - P11'!A14="","",'Inventory - P11'!A14+1)</f>
        <v/>
      </c>
      <c r="L8" s="134"/>
      <c r="M8" s="101" t="str">
        <f>IF('Inventory - P11'!A14="","",'Inventory - P11'!A14+2)</f>
        <v/>
      </c>
      <c r="N8" s="134"/>
      <c r="O8" s="101" t="str">
        <f>IF('Inventory - P11'!A14="","",'Inventory - P11'!A14+3)</f>
        <v/>
      </c>
      <c r="P8" s="134"/>
      <c r="Q8" s="101" t="str">
        <f>IF('Inventory - P11'!A14="","",'Inventory - P11'!A14+4)</f>
        <v/>
      </c>
      <c r="R8" s="134"/>
      <c r="S8" s="101" t="str">
        <f>IF('Inventory - P11'!A14="","",'Inventory - P11'!A14+5)</f>
        <v/>
      </c>
      <c r="T8" s="134"/>
      <c r="U8" s="101" t="str">
        <f>IF('Inventory - P11'!A14="","",'Inventory - P11'!A14+6)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P11'!$B$16:$B$27,(INT((X11-1)/4)+1))&amp;IF(INDEX('Inventory - P11'!$C$16:$C$27,(INT((X11-1)/4)+1))="",""," ("&amp;INDEX('Inventory - P11'!$C$16:$C$27,(INT((X11-1)/4)+1))&amp;" mg)"))</f>
        <v/>
      </c>
      <c r="D11" s="7" t="str">
        <f t="array" ref="D11">IF(X11="","",INDEX('Inventory - P11'!$K$16:$K$27,(INT((X11-1)/4)+1))-SUMPRODUCT(($B$10:$B$61=B11)*(($I$10:$I$61&lt;&gt;"")+($K$10:$K$61&lt;&gt;"")+($M$10:$M$61&lt;&gt;"")+($O$10:$O$61&lt;&gt;"")+($Q$10:$Q$61&lt;&gt;"")+($S$10:$S$61&lt;&gt;"")+($U$10:$U$61&lt;&gt;""))))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P11'!$D$16:$D$27,(INT((X11-1)/4)+1)))</f>
        <v/>
      </c>
      <c r="F11" s="7" t="str">
        <f t="array" ref="F11">IF(X11="","",INDEX('Inventory - P11'!$E$16:$E$27,(INT((X11-1)/4)+1)))</f>
        <v/>
      </c>
      <c r="G11" s="7" t="str">
        <f t="array" ref="G11">IF(X11="","",INDEX('Inventory - P11'!$I$16:$I$27,(INT((X11-1)/4)+1)))</f>
        <v/>
      </c>
      <c r="H11" s="7" t="str">
        <f t="array" ref="H11">IF(X11="","",INDEX('Inventory - P11'!$J$16:$J$27,(INT((X11-1)/4)+1)))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P11'!$B$16:$B$27,(INT((X12-1)/4)+1))&amp;IF(INDEX('Inventory - P11'!$C$16:$C$27,(INT((X12-1)/4)+1))="",""," ("&amp;INDEX('Inventory - P11'!$C$16:$C$27,(INT((X12-1)/4)+1))&amp;" mg)"))</f>
        <v/>
      </c>
      <c r="D12" s="7" t="str">
        <f t="array" ref="D12">IF(X12="","",INDEX('Inventory - P11'!$K$16:$K$27,(INT((X12-1)/4)+1))-SUMPRODUCT(($B$10:$B$61=B12)*(($I$10:$I$61&lt;&gt;"")+($K$10:$K$61&lt;&gt;"")+($M$10:$M$61&lt;&gt;"")+($O$10:$O$61&lt;&gt;"")+($Q$10:$Q$61&lt;&gt;"")+($S$10:$S$61&lt;&gt;"")+($U$10:$U$61&lt;&gt;""))))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P11'!$D$16:$D$27,(INT((X12-1)/4)+1)))</f>
        <v/>
      </c>
      <c r="F12" s="7" t="str">
        <f t="array" ref="F12">IF(X12="","",INDEX('Inventory - P11'!$E$16:$E$27,(INT((X12-1)/4)+1)))</f>
        <v/>
      </c>
      <c r="G12" s="7" t="str">
        <f t="array" ref="G12">IF(X12="","",INDEX('Inventory - P11'!$I$16:$I$27,(INT((X12-1)/4)+1)))</f>
        <v/>
      </c>
      <c r="H12" s="7" t="str">
        <f t="array" ref="H12">IF(X12="","",INDEX('Inventory - P11'!$J$16:$J$27,(INT((X12-1)/4)+1)))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P11'!$B$16:$B$27,(INT((X13-1)/4)+1))&amp;IF(INDEX('Inventory - P11'!$C$16:$C$27,(INT((X13-1)/4)+1))="",""," ("&amp;INDEX('Inventory - P11'!$C$16:$C$27,(INT((X13-1)/4)+1))&amp;" mg)"))</f>
        <v/>
      </c>
      <c r="D13" s="7" t="str">
        <f t="array" ref="D13">IF(X13="","",INDEX('Inventory - P11'!$K$16:$K$27,(INT((X13-1)/4)+1))-SUMPRODUCT(($B$10:$B$61=B13)*(($I$10:$I$61&lt;&gt;"")+($K$10:$K$61&lt;&gt;"")+($M$10:$M$61&lt;&gt;"")+($O$10:$O$61&lt;&gt;"")+($Q$10:$Q$61&lt;&gt;"")+($S$10:$S$61&lt;&gt;"")+($U$10:$U$61&lt;&gt;""))))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P11'!$D$16:$D$27,(INT((X13-1)/4)+1)))</f>
        <v/>
      </c>
      <c r="F13" s="7" t="str">
        <f t="array" ref="F13">IF(X13="","",INDEX('Inventory - P11'!$E$16:$E$27,(INT((X13-1)/4)+1)))</f>
        <v/>
      </c>
      <c r="G13" s="7" t="str">
        <f t="array" ref="G13">IF(X13="","",INDEX('Inventory - P11'!$I$16:$I$27,(INT((X13-1)/4)+1)))</f>
        <v/>
      </c>
      <c r="H13" s="7" t="str">
        <f t="array" ref="H13">IF(X13="","",INDEX('Inventory - P11'!$J$16:$J$27,(INT((X13-1)/4)+1)))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P11'!$B$16:$B$27,(INT((X14-1)/4)+1))&amp;IF(INDEX('Inventory - P11'!$C$16:$C$27,(INT((X14-1)/4)+1))="",""," ("&amp;INDEX('Inventory - P11'!$C$16:$C$27,(INT((X14-1)/4)+1))&amp;" mg)"))</f>
        <v/>
      </c>
      <c r="D14" s="7" t="str">
        <f t="array" ref="D14">IF(X14="","",INDEX('Inventory - P11'!$K$16:$K$27,(INT((X14-1)/4)+1))-SUMPRODUCT(($B$10:$B$61=B14)*(($I$10:$I$61&lt;&gt;"")+($K$10:$K$61&lt;&gt;"")+($M$10:$M$61&lt;&gt;"")+($O$10:$O$61&lt;&gt;"")+($Q$10:$Q$61&lt;&gt;"")+($S$10:$S$61&lt;&gt;"")+($U$10:$U$61&lt;&gt;""))))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P11'!$D$16:$D$27,(INT((X14-1)/4)+1)))</f>
        <v/>
      </c>
      <c r="F14" s="7" t="str">
        <f t="array" ref="F14">IF(X14="","",INDEX('Inventory - P11'!$E$16:$E$27,(INT((X14-1)/4)+1)))</f>
        <v/>
      </c>
      <c r="G14" s="7" t="str">
        <f t="array" ref="G14">IF(X14="","",INDEX('Inventory - P11'!$I$16:$I$27,(INT((X14-1)/4)+1)))</f>
        <v/>
      </c>
      <c r="H14" s="7" t="str">
        <f t="array" ref="H14">IF(X14="","",INDEX('Inventory - P11'!$J$16:$J$27,(INT((X14-1)/4)+1)))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P11'!$B$16:$B$27,(INT((X15-1)/4)+1))&amp;IF(INDEX('Inventory - P11'!$C$16:$C$27,(INT((X15-1)/4)+1))="",""," ("&amp;INDEX('Inventory - P11'!$C$16:$C$27,(INT((X15-1)/4)+1))&amp;" mg)"))</f>
        <v/>
      </c>
      <c r="D15" s="7" t="str">
        <f t="array" ref="D15">IF(X15="","",INDEX('Inventory - P11'!$K$16:$K$27,(INT((X15-1)/4)+1))-SUMPRODUCT(($B$10:$B$61=B15)*(($I$10:$I$61&lt;&gt;"")+($K$10:$K$61&lt;&gt;"")+($M$10:$M$61&lt;&gt;"")+($O$10:$O$61&lt;&gt;"")+($Q$10:$Q$61&lt;&gt;"")+($S$10:$S$61&lt;&gt;"")+($U$10:$U$61&lt;&gt;""))))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P11'!$D$16:$D$27,(INT((X15-1)/4)+1)))</f>
        <v/>
      </c>
      <c r="F15" s="7" t="str">
        <f t="array" ref="F15">IF(X15="","",INDEX('Inventory - P11'!$E$16:$E$27,(INT((X15-1)/4)+1)))</f>
        <v/>
      </c>
      <c r="G15" s="7" t="str">
        <f t="array" ref="G15">IF(X15="","",INDEX('Inventory - P11'!$I$16:$I$27,(INT((X15-1)/4)+1)))</f>
        <v/>
      </c>
      <c r="H15" s="7" t="str">
        <f t="array" ref="H15">IF(X15="","",INDEX('Inventory - P11'!$J$16:$J$27,(INT((X15-1)/4)+1)))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P11'!$B$16:$B$27,(INT((X16-1)/4)+1))&amp;IF(INDEX('Inventory - P11'!$C$16:$C$27,(INT((X16-1)/4)+1))="",""," ("&amp;INDEX('Inventory - P11'!$C$16:$C$27,(INT((X16-1)/4)+1))&amp;" mg)"))</f>
        <v/>
      </c>
      <c r="D16" s="7" t="str">
        <f t="array" ref="D16">IF(X16="","",INDEX('Inventory - P11'!$K$16:$K$27,(INT((X16-1)/4)+1))-SUMPRODUCT(($B$10:$B$61=B16)*(($I$10:$I$61&lt;&gt;"")+($K$10:$K$61&lt;&gt;"")+($M$10:$M$61&lt;&gt;"")+($O$10:$O$61&lt;&gt;"")+($Q$10:$Q$61&lt;&gt;"")+($S$10:$S$61&lt;&gt;"")+($U$10:$U$61&lt;&gt;""))))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P11'!$D$16:$D$27,(INT((X16-1)/4)+1)))</f>
        <v/>
      </c>
      <c r="F16" s="7" t="str">
        <f t="array" ref="F16">IF(X16="","",INDEX('Inventory - P11'!$E$16:$E$27,(INT((X16-1)/4)+1)))</f>
        <v/>
      </c>
      <c r="G16" s="7" t="str">
        <f t="array" ref="G16">IF(X16="","",INDEX('Inventory - P11'!$I$16:$I$27,(INT((X16-1)/4)+1)))</f>
        <v/>
      </c>
      <c r="H16" s="7" t="str">
        <f t="array" ref="H16">IF(X16="","",INDEX('Inventory - P11'!$J$16:$J$27,(INT((X16-1)/4)+1)))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P11'!$B$16:$B$27,(INT((X17-1)/4)+1))&amp;IF(INDEX('Inventory - P11'!$C$16:$C$27,(INT((X17-1)/4)+1))="",""," ("&amp;INDEX('Inventory - P11'!$C$16:$C$27,(INT((X17-1)/4)+1))&amp;" mg)"))</f>
        <v/>
      </c>
      <c r="D17" s="7" t="str">
        <f t="array" ref="D17">IF(X17="","",INDEX('Inventory - P11'!$K$16:$K$27,(INT((X17-1)/4)+1))-SUMPRODUCT(($B$10:$B$61=B17)*(($I$10:$I$61&lt;&gt;"")+($K$10:$K$61&lt;&gt;"")+($M$10:$M$61&lt;&gt;"")+($O$10:$O$61&lt;&gt;"")+($Q$10:$Q$61&lt;&gt;"")+($S$10:$S$61&lt;&gt;"")+($U$10:$U$61&lt;&gt;""))))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P11'!$D$16:$D$27,(INT((X17-1)/4)+1)))</f>
        <v/>
      </c>
      <c r="F17" s="7" t="str">
        <f t="array" ref="F17">IF(X17="","",INDEX('Inventory - P11'!$E$16:$E$27,(INT((X17-1)/4)+1)))</f>
        <v/>
      </c>
      <c r="G17" s="7" t="str">
        <f t="array" ref="G17">IF(X17="","",INDEX('Inventory - P11'!$I$16:$I$27,(INT((X17-1)/4)+1)))</f>
        <v/>
      </c>
      <c r="H17" s="7" t="str">
        <f t="array" ref="H17">IF(X17="","",INDEX('Inventory - P11'!$J$16:$J$27,(INT((X17-1)/4)+1)))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P11'!$B$16:$B$27,(INT((X18-1)/4)+1))&amp;IF(INDEX('Inventory - P11'!$C$16:$C$27,(INT((X18-1)/4)+1))="",""," ("&amp;INDEX('Inventory - P11'!$C$16:$C$27,(INT((X18-1)/4)+1))&amp;" mg)"))</f>
        <v/>
      </c>
      <c r="D18" s="7" t="str">
        <f t="array" ref="D18">IF(X18="","",INDEX('Inventory - P11'!$K$16:$K$27,(INT((X18-1)/4)+1))-SUMPRODUCT(($B$10:$B$61=B18)*(($I$10:$I$61&lt;&gt;"")+($K$10:$K$61&lt;&gt;"")+($M$10:$M$61&lt;&gt;"")+($O$10:$O$61&lt;&gt;"")+($Q$10:$Q$61&lt;&gt;"")+($S$10:$S$61&lt;&gt;"")+($U$10:$U$61&lt;&gt;""))))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P11'!$D$16:$D$27,(INT((X18-1)/4)+1)))</f>
        <v/>
      </c>
      <c r="F18" s="7" t="str">
        <f t="array" ref="F18">IF(X18="","",INDEX('Inventory - P11'!$E$16:$E$27,(INT((X18-1)/4)+1)))</f>
        <v/>
      </c>
      <c r="G18" s="7" t="str">
        <f t="array" ref="G18">IF(X18="","",INDEX('Inventory - P11'!$I$16:$I$27,(INT((X18-1)/4)+1)))</f>
        <v/>
      </c>
      <c r="H18" s="7" t="str">
        <f t="array" ref="H18">IF(X18="","",INDEX('Inventory - P11'!$J$16:$J$27,(INT((X18-1)/4)+1)))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P11'!$B$16:$B$27,(INT((X19-1)/4)+1))&amp;IF(INDEX('Inventory - P11'!$C$16:$C$27,(INT((X19-1)/4)+1))="",""," ("&amp;INDEX('Inventory - P11'!$C$16:$C$27,(INT((X19-1)/4)+1))&amp;" mg)"))</f>
        <v/>
      </c>
      <c r="D19" s="7" t="str">
        <f t="array" ref="D19">IF(X19="","",INDEX('Inventory - P11'!$K$16:$K$27,(INT((X19-1)/4)+1))-SUMPRODUCT(($B$10:$B$61=B19)*(($I$10:$I$61&lt;&gt;"")+($K$10:$K$61&lt;&gt;"")+($M$10:$M$61&lt;&gt;"")+($O$10:$O$61&lt;&gt;"")+($Q$10:$Q$61&lt;&gt;"")+($S$10:$S$61&lt;&gt;"")+($U$10:$U$61&lt;&gt;""))))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P11'!$D$16:$D$27,(INT((X19-1)/4)+1)))</f>
        <v/>
      </c>
      <c r="F19" s="7" t="str">
        <f t="array" ref="F19">IF(X19="","",INDEX('Inventory - P11'!$E$16:$E$27,(INT((X19-1)/4)+1)))</f>
        <v/>
      </c>
      <c r="G19" s="7" t="str">
        <f t="array" ref="G19">IF(X19="","",INDEX('Inventory - P11'!$I$16:$I$27,(INT((X19-1)/4)+1)))</f>
        <v/>
      </c>
      <c r="H19" s="7" t="str">
        <f t="array" ref="H19">IF(X19="","",INDEX('Inventory - P11'!$J$16:$J$27,(INT((X19-1)/4)+1)))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P11'!$B$16:$B$27,(INT((X20-1)/4)+1))&amp;IF(INDEX('Inventory - P11'!$C$16:$C$27,(INT((X20-1)/4)+1))="",""," ("&amp;INDEX('Inventory - P11'!$C$16:$C$27,(INT((X20-1)/4)+1))&amp;" mg)"))</f>
        <v/>
      </c>
      <c r="D20" s="7" t="str">
        <f t="array" ref="D20">IF(X20="","",INDEX('Inventory - P11'!$K$16:$K$27,(INT((X20-1)/4)+1))-SUMPRODUCT(($B$10:$B$61=B20)*(($I$10:$I$61&lt;&gt;"")+($K$10:$K$61&lt;&gt;"")+($M$10:$M$61&lt;&gt;"")+($O$10:$O$61&lt;&gt;"")+($Q$10:$Q$61&lt;&gt;"")+($S$10:$S$61&lt;&gt;"")+($U$10:$U$61&lt;&gt;""))))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P11'!$D$16:$D$27,(INT((X20-1)/4)+1)))</f>
        <v/>
      </c>
      <c r="F20" s="7" t="str">
        <f t="array" ref="F20">IF(X20="","",INDEX('Inventory - P11'!$E$16:$E$27,(INT((X20-1)/4)+1)))</f>
        <v/>
      </c>
      <c r="G20" s="7" t="str">
        <f t="array" ref="G20">IF(X20="","",INDEX('Inventory - P11'!$I$16:$I$27,(INT((X20-1)/4)+1)))</f>
        <v/>
      </c>
      <c r="H20" s="7" t="str">
        <f t="array" ref="H20">IF(X20="","",INDEX('Inventory - P11'!$J$16:$J$27,(INT((X20-1)/4)+1)))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P11'!$B$16:$B$27,(INT((X21-1)/4)+1))&amp;IF(INDEX('Inventory - P11'!$C$16:$C$27,(INT((X21-1)/4)+1))="",""," ("&amp;INDEX('Inventory - P11'!$C$16:$C$27,(INT((X21-1)/4)+1))&amp;" mg)"))</f>
        <v/>
      </c>
      <c r="D21" s="7" t="str">
        <f t="array" ref="D21">IF(X21="","",INDEX('Inventory - P11'!$K$16:$K$27,(INT((X21-1)/4)+1))-SUMPRODUCT(($B$10:$B$61=B21)*(($I$10:$I$61&lt;&gt;"")+($K$10:$K$61&lt;&gt;"")+($M$10:$M$61&lt;&gt;"")+($O$10:$O$61&lt;&gt;"")+($Q$10:$Q$61&lt;&gt;"")+($S$10:$S$61&lt;&gt;"")+($U$10:$U$61&lt;&gt;""))))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P11'!$D$16:$D$27,(INT((X21-1)/4)+1)))</f>
        <v/>
      </c>
      <c r="F21" s="7" t="str">
        <f t="array" ref="F21">IF(X21="","",INDEX('Inventory - P11'!$E$16:$E$27,(INT((X21-1)/4)+1)))</f>
        <v/>
      </c>
      <c r="G21" s="7" t="str">
        <f t="array" ref="G21">IF(X21="","",INDEX('Inventory - P11'!$I$16:$I$27,(INT((X21-1)/4)+1)))</f>
        <v/>
      </c>
      <c r="H21" s="7" t="str">
        <f t="array" ref="H21">IF(X21="","",INDEX('Inventory - P11'!$J$16:$J$27,(INT((X21-1)/4)+1)))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P11'!$B$16:$B$27,(INT((X22-1)/4)+1))&amp;IF(INDEX('Inventory - P11'!$C$16:$C$27,(INT((X22-1)/4)+1))="",""," ("&amp;INDEX('Inventory - P11'!$C$16:$C$27,(INT((X22-1)/4)+1))&amp;" mg)"))</f>
        <v/>
      </c>
      <c r="D22" s="7" t="str">
        <f t="array" ref="D22">IF(X22="","",INDEX('Inventory - P11'!$K$16:$K$27,(INT((X22-1)/4)+1))-SUMPRODUCT(($B$10:$B$61=B22)*(($I$10:$I$61&lt;&gt;"")+($K$10:$K$61&lt;&gt;"")+($M$10:$M$61&lt;&gt;"")+($O$10:$O$61&lt;&gt;"")+($Q$10:$Q$61&lt;&gt;"")+($S$10:$S$61&lt;&gt;"")+($U$10:$U$61&lt;&gt;""))))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P11'!$D$16:$D$27,(INT((X22-1)/4)+1)))</f>
        <v/>
      </c>
      <c r="F22" s="7" t="str">
        <f t="array" ref="F22">IF(X22="","",INDEX('Inventory - P11'!$E$16:$E$27,(INT((X22-1)/4)+1)))</f>
        <v/>
      </c>
      <c r="G22" s="7" t="str">
        <f t="array" ref="G22">IF(X22="","",INDEX('Inventory - P11'!$I$16:$I$27,(INT((X22-1)/4)+1)))</f>
        <v/>
      </c>
      <c r="H22" s="7" t="str">
        <f t="array" ref="H22">IF(X22="","",INDEX('Inventory - P11'!$J$16:$J$27,(INT((X22-1)/4)+1)))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P11'!$B$16:$B$27,(INT((X24-1)/4)+1))&amp;IF(INDEX('Inventory - P11'!$C$16:$C$27,(INT((X24-1)/4)+1))="",""," ("&amp;INDEX('Inventory - P11'!$C$16:$C$27,(INT((X24-1)/4)+1))&amp;" mg)"))</f>
        <v/>
      </c>
      <c r="D24" s="7" t="str">
        <f t="array" ref="D24">IF(X24="","",INDEX('Inventory - P11'!$K$16:$K$27,(INT((X24-1)/4)+1))-SUMPRODUCT(($B$10:$B$61=B24)*(($I$10:$I$61&lt;&gt;"")+($K$10:$K$61&lt;&gt;"")+($M$10:$M$61&lt;&gt;"")+($O$10:$O$61&lt;&gt;"")+($Q$10:$Q$61&lt;&gt;"")+($S$10:$S$61&lt;&gt;"")+($U$10:$U$61&lt;&gt;""))))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P11'!$D$16:$D$27,(INT((X24-1)/4)+1)))</f>
        <v/>
      </c>
      <c r="F24" s="7" t="str">
        <f t="array" ref="F24">IF(X24="","",INDEX('Inventory - P11'!$E$16:$E$27,(INT((X24-1)/4)+1)))</f>
        <v/>
      </c>
      <c r="G24" s="7" t="str">
        <f t="array" ref="G24">IF(X24="","",INDEX('Inventory - P11'!$I$16:$I$27,(INT((X24-1)/4)+1)))</f>
        <v/>
      </c>
      <c r="H24" s="7" t="str">
        <f t="array" ref="H24">IF(X24="","",INDEX('Inventory - P11'!$J$16:$J$27,(INT((X24-1)/4)+1)))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P11'!$B$16:$B$27,(INT((X25-1)/4)+1))&amp;IF(INDEX('Inventory - P11'!$C$16:$C$27,(INT((X25-1)/4)+1))="",""," ("&amp;INDEX('Inventory - P11'!$C$16:$C$27,(INT((X25-1)/4)+1))&amp;" mg)"))</f>
        <v/>
      </c>
      <c r="D25" s="7" t="str">
        <f t="array" ref="D25">IF(X25="","",INDEX('Inventory - P11'!$K$16:$K$27,(INT((X25-1)/4)+1))-SUMPRODUCT(($B$10:$B$61=B25)*(($I$10:$I$61&lt;&gt;"")+($K$10:$K$61&lt;&gt;"")+($M$10:$M$61&lt;&gt;"")+($O$10:$O$61&lt;&gt;"")+($Q$10:$Q$61&lt;&gt;"")+($S$10:$S$61&lt;&gt;"")+($U$10:$U$61&lt;&gt;""))))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P11'!$D$16:$D$27,(INT((X25-1)/4)+1)))</f>
        <v/>
      </c>
      <c r="F25" s="7" t="str">
        <f t="array" ref="F25">IF(X25="","",INDEX('Inventory - P11'!$E$16:$E$27,(INT((X25-1)/4)+1)))</f>
        <v/>
      </c>
      <c r="G25" s="7" t="str">
        <f t="array" ref="G25">IF(X25="","",INDEX('Inventory - P11'!$I$16:$I$27,(INT((X25-1)/4)+1)))</f>
        <v/>
      </c>
      <c r="H25" s="7" t="str">
        <f t="array" ref="H25">IF(X25="","",INDEX('Inventory - P11'!$J$16:$J$27,(INT((X25-1)/4)+1)))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P11'!$B$16:$B$27,(INT((X26-1)/4)+1))&amp;IF(INDEX('Inventory - P11'!$C$16:$C$27,(INT((X26-1)/4)+1))="",""," ("&amp;INDEX('Inventory - P11'!$C$16:$C$27,(INT((X26-1)/4)+1))&amp;" mg)"))</f>
        <v/>
      </c>
      <c r="D26" s="7" t="str">
        <f t="array" ref="D26">IF(X26="","",INDEX('Inventory - P11'!$K$16:$K$27,(INT((X26-1)/4)+1))-SUMPRODUCT(($B$10:$B$61=B26)*(($I$10:$I$61&lt;&gt;"")+($K$10:$K$61&lt;&gt;"")+($M$10:$M$61&lt;&gt;"")+($O$10:$O$61&lt;&gt;"")+($Q$10:$Q$61&lt;&gt;"")+($S$10:$S$61&lt;&gt;"")+($U$10:$U$61&lt;&gt;""))))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P11'!$D$16:$D$27,(INT((X26-1)/4)+1)))</f>
        <v/>
      </c>
      <c r="F26" s="7" t="str">
        <f t="array" ref="F26">IF(X26="","",INDEX('Inventory - P11'!$E$16:$E$27,(INT((X26-1)/4)+1)))</f>
        <v/>
      </c>
      <c r="G26" s="7" t="str">
        <f t="array" ref="G26">IF(X26="","",INDEX('Inventory - P11'!$I$16:$I$27,(INT((X26-1)/4)+1)))</f>
        <v/>
      </c>
      <c r="H26" s="7" t="str">
        <f t="array" ref="H26">IF(X26="","",INDEX('Inventory - P11'!$J$16:$J$27,(INT((X26-1)/4)+1)))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P11'!$B$16:$B$27,(INT((X27-1)/4)+1))&amp;IF(INDEX('Inventory - P11'!$C$16:$C$27,(INT((X27-1)/4)+1))="",""," ("&amp;INDEX('Inventory - P11'!$C$16:$C$27,(INT((X27-1)/4)+1))&amp;" mg)"))</f>
        <v/>
      </c>
      <c r="D27" s="7" t="str">
        <f t="array" ref="D27">IF(X27="","",INDEX('Inventory - P11'!$K$16:$K$27,(INT((X27-1)/4)+1))-SUMPRODUCT(($B$10:$B$61=B27)*(($I$10:$I$61&lt;&gt;"")+($K$10:$K$61&lt;&gt;"")+($M$10:$M$61&lt;&gt;"")+($O$10:$O$61&lt;&gt;"")+($Q$10:$Q$61&lt;&gt;"")+($S$10:$S$61&lt;&gt;"")+($U$10:$U$61&lt;&gt;""))))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P11'!$D$16:$D$27,(INT((X27-1)/4)+1)))</f>
        <v/>
      </c>
      <c r="F27" s="7" t="str">
        <f t="array" ref="F27">IF(X27="","",INDEX('Inventory - P11'!$E$16:$E$27,(INT((X27-1)/4)+1)))</f>
        <v/>
      </c>
      <c r="G27" s="7" t="str">
        <f t="array" ref="G27">IF(X27="","",INDEX('Inventory - P11'!$I$16:$I$27,(INT((X27-1)/4)+1)))</f>
        <v/>
      </c>
      <c r="H27" s="7" t="str">
        <f t="array" ref="H27">IF(X27="","",INDEX('Inventory - P11'!$J$16:$J$27,(INT((X27-1)/4)+1)))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P11'!$B$16:$B$27,(INT((X28-1)/4)+1))&amp;IF(INDEX('Inventory - P11'!$C$16:$C$27,(INT((X28-1)/4)+1))="",""," ("&amp;INDEX('Inventory - P11'!$C$16:$C$27,(INT((X28-1)/4)+1))&amp;" mg)"))</f>
        <v/>
      </c>
      <c r="D28" s="7" t="str">
        <f t="array" ref="D28">IF(X28="","",INDEX('Inventory - P11'!$K$16:$K$27,(INT((X28-1)/4)+1))-SUMPRODUCT(($B$10:$B$61=B28)*(($I$10:$I$61&lt;&gt;"")+($K$10:$K$61&lt;&gt;"")+($M$10:$M$61&lt;&gt;"")+($O$10:$O$61&lt;&gt;"")+($Q$10:$Q$61&lt;&gt;"")+($S$10:$S$61&lt;&gt;"")+($U$10:$U$61&lt;&gt;""))))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P11'!$D$16:$D$27,(INT((X28-1)/4)+1)))</f>
        <v/>
      </c>
      <c r="F28" s="7" t="str">
        <f t="array" ref="F28">IF(X28="","",INDEX('Inventory - P11'!$E$16:$E$27,(INT((X28-1)/4)+1)))</f>
        <v/>
      </c>
      <c r="G28" s="7" t="str">
        <f t="array" ref="G28">IF(X28="","",INDEX('Inventory - P11'!$I$16:$I$27,(INT((X28-1)/4)+1)))</f>
        <v/>
      </c>
      <c r="H28" s="7" t="str">
        <f t="array" ref="H28">IF(X28="","",INDEX('Inventory - P11'!$J$16:$J$27,(INT((X28-1)/4)+1)))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P11'!$B$16:$B$27,(INT((X29-1)/4)+1))&amp;IF(INDEX('Inventory - P11'!$C$16:$C$27,(INT((X29-1)/4)+1))="",""," ("&amp;INDEX('Inventory - P11'!$C$16:$C$27,(INT((X29-1)/4)+1))&amp;" mg)"))</f>
        <v/>
      </c>
      <c r="D29" s="7" t="str">
        <f t="array" ref="D29">IF(X29="","",INDEX('Inventory - P11'!$K$16:$K$27,(INT((X29-1)/4)+1))-SUMPRODUCT(($B$10:$B$61=B29)*(($I$10:$I$61&lt;&gt;"")+($K$10:$K$61&lt;&gt;"")+($M$10:$M$61&lt;&gt;"")+($O$10:$O$61&lt;&gt;"")+($Q$10:$Q$61&lt;&gt;"")+($S$10:$S$61&lt;&gt;"")+($U$10:$U$61&lt;&gt;""))))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P11'!$D$16:$D$27,(INT((X29-1)/4)+1)))</f>
        <v/>
      </c>
      <c r="F29" s="7" t="str">
        <f t="array" ref="F29">IF(X29="","",INDEX('Inventory - P11'!$E$16:$E$27,(INT((X29-1)/4)+1)))</f>
        <v/>
      </c>
      <c r="G29" s="7" t="str">
        <f t="array" ref="G29">IF(X29="","",INDEX('Inventory - P11'!$I$16:$I$27,(INT((X29-1)/4)+1)))</f>
        <v/>
      </c>
      <c r="H29" s="7" t="str">
        <f t="array" ref="H29">IF(X29="","",INDEX('Inventory - P11'!$J$16:$J$27,(INT((X29-1)/4)+1)))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P11'!$B$16:$B$27,(INT((X30-1)/4)+1))&amp;IF(INDEX('Inventory - P11'!$C$16:$C$27,(INT((X30-1)/4)+1))="",""," ("&amp;INDEX('Inventory - P11'!$C$16:$C$27,(INT((X30-1)/4)+1))&amp;" mg)"))</f>
        <v/>
      </c>
      <c r="D30" s="7" t="str">
        <f t="array" ref="D30">IF(X30="","",INDEX('Inventory - P11'!$K$16:$K$27,(INT((X30-1)/4)+1))-SUMPRODUCT(($B$10:$B$61=B30)*(($I$10:$I$61&lt;&gt;"")+($K$10:$K$61&lt;&gt;"")+($M$10:$M$61&lt;&gt;"")+($O$10:$O$61&lt;&gt;"")+($Q$10:$Q$61&lt;&gt;"")+($S$10:$S$61&lt;&gt;"")+($U$10:$U$61&lt;&gt;""))))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P11'!$D$16:$D$27,(INT((X30-1)/4)+1)))</f>
        <v/>
      </c>
      <c r="F30" s="7" t="str">
        <f t="array" ref="F30">IF(X30="","",INDEX('Inventory - P11'!$E$16:$E$27,(INT((X30-1)/4)+1)))</f>
        <v/>
      </c>
      <c r="G30" s="7" t="str">
        <f t="array" ref="G30">IF(X30="","",INDEX('Inventory - P11'!$I$16:$I$27,(INT((X30-1)/4)+1)))</f>
        <v/>
      </c>
      <c r="H30" s="7" t="str">
        <f t="array" ref="H30">IF(X30="","",INDEX('Inventory - P11'!$J$16:$J$27,(INT((X30-1)/4)+1)))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P11'!$B$16:$B$27,(INT((X31-1)/4)+1))&amp;IF(INDEX('Inventory - P11'!$C$16:$C$27,(INT((X31-1)/4)+1))="",""," ("&amp;INDEX('Inventory - P11'!$C$16:$C$27,(INT((X31-1)/4)+1))&amp;" mg)"))</f>
        <v/>
      </c>
      <c r="D31" s="7" t="str">
        <f t="array" ref="D31">IF(X31="","",INDEX('Inventory - P11'!$K$16:$K$27,(INT((X31-1)/4)+1))-SUMPRODUCT(($B$10:$B$61=B31)*(($I$10:$I$61&lt;&gt;"")+($K$10:$K$61&lt;&gt;"")+($M$10:$M$61&lt;&gt;"")+($O$10:$O$61&lt;&gt;"")+($Q$10:$Q$61&lt;&gt;"")+($S$10:$S$61&lt;&gt;"")+($U$10:$U$61&lt;&gt;""))))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P11'!$D$16:$D$27,(INT((X31-1)/4)+1)))</f>
        <v/>
      </c>
      <c r="F31" s="7" t="str">
        <f t="array" ref="F31">IF(X31="","",INDEX('Inventory - P11'!$E$16:$E$27,(INT((X31-1)/4)+1)))</f>
        <v/>
      </c>
      <c r="G31" s="7" t="str">
        <f t="array" ref="G31">IF(X31="","",INDEX('Inventory - P11'!$I$16:$I$27,(INT((X31-1)/4)+1)))</f>
        <v/>
      </c>
      <c r="H31" s="7" t="str">
        <f t="array" ref="H31">IF(X31="","",INDEX('Inventory - P11'!$J$16:$J$27,(INT((X31-1)/4)+1)))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P11'!$B$16:$B$27,(INT((X32-1)/4)+1))&amp;IF(INDEX('Inventory - P11'!$C$16:$C$27,(INT((X32-1)/4)+1))="",""," ("&amp;INDEX('Inventory - P11'!$C$16:$C$27,(INT((X32-1)/4)+1))&amp;" mg)"))</f>
        <v/>
      </c>
      <c r="D32" s="7" t="str">
        <f t="array" ref="D32">IF(X32="","",INDEX('Inventory - P11'!$K$16:$K$27,(INT((X32-1)/4)+1))-SUMPRODUCT(($B$10:$B$61=B32)*(($I$10:$I$61&lt;&gt;"")+($K$10:$K$61&lt;&gt;"")+($M$10:$M$61&lt;&gt;"")+($O$10:$O$61&lt;&gt;"")+($Q$10:$Q$61&lt;&gt;"")+($S$10:$S$61&lt;&gt;"")+($U$10:$U$61&lt;&gt;""))))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P11'!$D$16:$D$27,(INT((X32-1)/4)+1)))</f>
        <v/>
      </c>
      <c r="F32" s="7" t="str">
        <f t="array" ref="F32">IF(X32="","",INDEX('Inventory - P11'!$E$16:$E$27,(INT((X32-1)/4)+1)))</f>
        <v/>
      </c>
      <c r="G32" s="7" t="str">
        <f t="array" ref="G32">IF(X32="","",INDEX('Inventory - P11'!$I$16:$I$27,(INT((X32-1)/4)+1)))</f>
        <v/>
      </c>
      <c r="H32" s="7" t="str">
        <f t="array" ref="H32">IF(X32="","",INDEX('Inventory - P11'!$J$16:$J$27,(INT((X32-1)/4)+1)))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P11'!$B$16:$B$27,(INT((X33-1)/4)+1))&amp;IF(INDEX('Inventory - P11'!$C$16:$C$27,(INT((X33-1)/4)+1))="",""," ("&amp;INDEX('Inventory - P11'!$C$16:$C$27,(INT((X33-1)/4)+1))&amp;" mg)"))</f>
        <v/>
      </c>
      <c r="D33" s="7" t="str">
        <f t="array" ref="D33">IF(X33="","",INDEX('Inventory - P11'!$K$16:$K$27,(INT((X33-1)/4)+1))-SUMPRODUCT(($B$10:$B$61=B33)*(($I$10:$I$61&lt;&gt;"")+($K$10:$K$61&lt;&gt;"")+($M$10:$M$61&lt;&gt;"")+($O$10:$O$61&lt;&gt;"")+($Q$10:$Q$61&lt;&gt;"")+($S$10:$S$61&lt;&gt;"")+($U$10:$U$61&lt;&gt;""))))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P11'!$D$16:$D$27,(INT((X33-1)/4)+1)))</f>
        <v/>
      </c>
      <c r="F33" s="7" t="str">
        <f t="array" ref="F33">IF(X33="","",INDEX('Inventory - P11'!$E$16:$E$27,(INT((X33-1)/4)+1)))</f>
        <v/>
      </c>
      <c r="G33" s="7" t="str">
        <f t="array" ref="G33">IF(X33="","",INDEX('Inventory - P11'!$I$16:$I$27,(INT((X33-1)/4)+1)))</f>
        <v/>
      </c>
      <c r="H33" s="7" t="str">
        <f t="array" ref="H33">IF(X33="","",INDEX('Inventory - P11'!$J$16:$J$27,(INT((X33-1)/4)+1)))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P11'!$B$16:$B$27,(INT((X34-1)/4)+1))&amp;IF(INDEX('Inventory - P11'!$C$16:$C$27,(INT((X34-1)/4)+1))="",""," ("&amp;INDEX('Inventory - P11'!$C$16:$C$27,(INT((X34-1)/4)+1))&amp;" mg)"))</f>
        <v/>
      </c>
      <c r="D34" s="7" t="str">
        <f t="array" ref="D34">IF(X34="","",INDEX('Inventory - P11'!$K$16:$K$27,(INT((X34-1)/4)+1))-SUMPRODUCT(($B$10:$B$61=B34)*(($I$10:$I$61&lt;&gt;"")+($K$10:$K$61&lt;&gt;"")+($M$10:$M$61&lt;&gt;"")+($O$10:$O$61&lt;&gt;"")+($Q$10:$Q$61&lt;&gt;"")+($S$10:$S$61&lt;&gt;"")+($U$10:$U$61&lt;&gt;""))))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P11'!$D$16:$D$27,(INT((X34-1)/4)+1)))</f>
        <v/>
      </c>
      <c r="F34" s="7" t="str">
        <f t="array" ref="F34">IF(X34="","",INDEX('Inventory - P11'!$E$16:$E$27,(INT((X34-1)/4)+1)))</f>
        <v/>
      </c>
      <c r="G34" s="7" t="str">
        <f t="array" ref="G34">IF(X34="","",INDEX('Inventory - P11'!$I$16:$I$27,(INT((X34-1)/4)+1)))</f>
        <v/>
      </c>
      <c r="H34" s="7" t="str">
        <f t="array" ref="H34">IF(X34="","",INDEX('Inventory - P11'!$J$16:$J$27,(INT((X34-1)/4)+1)))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P11'!$B$16:$B$27,(INT((X35-1)/4)+1))&amp;IF(INDEX('Inventory - P11'!$C$16:$C$27,(INT((X35-1)/4)+1))="",""," ("&amp;INDEX('Inventory - P11'!$C$16:$C$27,(INT((X35-1)/4)+1))&amp;" mg)"))</f>
        <v/>
      </c>
      <c r="D35" s="7" t="str">
        <f t="array" ref="D35">IF(X35="","",INDEX('Inventory - P11'!$K$16:$K$27,(INT((X35-1)/4)+1))-SUMPRODUCT(($B$10:$B$61=B35)*(($I$10:$I$61&lt;&gt;"")+($K$10:$K$61&lt;&gt;"")+($M$10:$M$61&lt;&gt;"")+($O$10:$O$61&lt;&gt;"")+($Q$10:$Q$61&lt;&gt;"")+($S$10:$S$61&lt;&gt;"")+($U$10:$U$61&lt;&gt;""))))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P11'!$D$16:$D$27,(INT((X35-1)/4)+1)))</f>
        <v/>
      </c>
      <c r="F35" s="7" t="str">
        <f t="array" ref="F35">IF(X35="","",INDEX('Inventory - P11'!$E$16:$E$27,(INT((X35-1)/4)+1)))</f>
        <v/>
      </c>
      <c r="G35" s="7" t="str">
        <f t="array" ref="G35">IF(X35="","",INDEX('Inventory - P11'!$I$16:$I$27,(INT((X35-1)/4)+1)))</f>
        <v/>
      </c>
      <c r="H35" s="7" t="str">
        <f t="array" ref="H35">IF(X35="","",INDEX('Inventory - P11'!$J$16:$J$27,(INT((X35-1)/4)+1)))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P11'!$B$16:$B$27,(INT((X37-1)/4)+1))&amp;IF(INDEX('Inventory - P11'!$C$16:$C$27,(INT((X37-1)/4)+1))="",""," ("&amp;INDEX('Inventory - P11'!$C$16:$C$27,(INT((X37-1)/4)+1))&amp;" mg)"))</f>
        <v/>
      </c>
      <c r="D37" s="7" t="str">
        <f t="array" ref="D37">IF(X37="","",INDEX('Inventory - P11'!$K$16:$K$27,(INT((X37-1)/4)+1))-SUMPRODUCT(($B$10:$B$61=B37)*(($I$10:$I$61&lt;&gt;"")+($K$10:$K$61&lt;&gt;"")+($M$10:$M$61&lt;&gt;"")+($O$10:$O$61&lt;&gt;"")+($Q$10:$Q$61&lt;&gt;"")+($S$10:$S$61&lt;&gt;"")+($U$10:$U$61&lt;&gt;""))))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P11'!$D$16:$D$27,(INT((X37-1)/4)+1)))</f>
        <v/>
      </c>
      <c r="F37" s="7" t="str">
        <f t="array" ref="F37">IF(X37="","",INDEX('Inventory - P11'!$E$16:$E$27,(INT((X37-1)/4)+1)))</f>
        <v/>
      </c>
      <c r="G37" s="7" t="str">
        <f t="array" ref="G37">IF(X37="","",INDEX('Inventory - P11'!$I$16:$I$27,(INT((X37-1)/4)+1)))</f>
        <v/>
      </c>
      <c r="H37" s="7" t="str">
        <f t="array" ref="H37">IF(X37="","",INDEX('Inventory - P11'!$J$16:$J$27,(INT((X37-1)/4)+1)))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P11'!$B$16:$B$27,(INT((X38-1)/4)+1))&amp;IF(INDEX('Inventory - P11'!$C$16:$C$27,(INT((X38-1)/4)+1))="",""," ("&amp;INDEX('Inventory - P11'!$C$16:$C$27,(INT((X38-1)/4)+1))&amp;" mg)"))</f>
        <v/>
      </c>
      <c r="D38" s="7" t="str">
        <f t="array" ref="D38">IF(X38="","",INDEX('Inventory - P11'!$K$16:$K$27,(INT((X38-1)/4)+1))-SUMPRODUCT(($B$10:$B$61=B38)*(($I$10:$I$61&lt;&gt;"")+($K$10:$K$61&lt;&gt;"")+($M$10:$M$61&lt;&gt;"")+($O$10:$O$61&lt;&gt;"")+($Q$10:$Q$61&lt;&gt;"")+($S$10:$S$61&lt;&gt;"")+($U$10:$U$61&lt;&gt;""))))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P11'!$D$16:$D$27,(INT((X38-1)/4)+1)))</f>
        <v/>
      </c>
      <c r="F38" s="7" t="str">
        <f t="array" ref="F38">IF(X38="","",INDEX('Inventory - P11'!$E$16:$E$27,(INT((X38-1)/4)+1)))</f>
        <v/>
      </c>
      <c r="G38" s="7" t="str">
        <f t="array" ref="G38">IF(X38="","",INDEX('Inventory - P11'!$I$16:$I$27,(INT((X38-1)/4)+1)))</f>
        <v/>
      </c>
      <c r="H38" s="7" t="str">
        <f t="array" ref="H38">IF(X38="","",INDEX('Inventory - P11'!$J$16:$J$27,(INT((X38-1)/4)+1)))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P11'!$B$16:$B$27,(INT((X39-1)/4)+1))&amp;IF(INDEX('Inventory - P11'!$C$16:$C$27,(INT((X39-1)/4)+1))="",""," ("&amp;INDEX('Inventory - P11'!$C$16:$C$27,(INT((X39-1)/4)+1))&amp;" mg)"))</f>
        <v/>
      </c>
      <c r="D39" s="7" t="str">
        <f t="array" ref="D39">IF(X39="","",INDEX('Inventory - P11'!$K$16:$K$27,(INT((X39-1)/4)+1))-SUMPRODUCT(($B$10:$B$61=B39)*(($I$10:$I$61&lt;&gt;"")+($K$10:$K$61&lt;&gt;"")+($M$10:$M$61&lt;&gt;"")+($O$10:$O$61&lt;&gt;"")+($Q$10:$Q$61&lt;&gt;"")+($S$10:$S$61&lt;&gt;"")+($U$10:$U$61&lt;&gt;""))))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P11'!$D$16:$D$27,(INT((X39-1)/4)+1)))</f>
        <v/>
      </c>
      <c r="F39" s="7" t="str">
        <f t="array" ref="F39">IF(X39="","",INDEX('Inventory - P11'!$E$16:$E$27,(INT((X39-1)/4)+1)))</f>
        <v/>
      </c>
      <c r="G39" s="7" t="str">
        <f t="array" ref="G39">IF(X39="","",INDEX('Inventory - P11'!$I$16:$I$27,(INT((X39-1)/4)+1)))</f>
        <v/>
      </c>
      <c r="H39" s="7" t="str">
        <f t="array" ref="H39">IF(X39="","",INDEX('Inventory - P11'!$J$16:$J$27,(INT((X39-1)/4)+1)))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P11'!$B$16:$B$27,(INT((X40-1)/4)+1))&amp;IF(INDEX('Inventory - P11'!$C$16:$C$27,(INT((X40-1)/4)+1))="",""," ("&amp;INDEX('Inventory - P11'!$C$16:$C$27,(INT((X40-1)/4)+1))&amp;" mg)"))</f>
        <v/>
      </c>
      <c r="D40" s="7" t="str">
        <f t="array" ref="D40">IF(X40="","",INDEX('Inventory - P11'!$K$16:$K$27,(INT((X40-1)/4)+1))-SUMPRODUCT(($B$10:$B$61=B40)*(($I$10:$I$61&lt;&gt;"")+($K$10:$K$61&lt;&gt;"")+($M$10:$M$61&lt;&gt;"")+($O$10:$O$61&lt;&gt;"")+($Q$10:$Q$61&lt;&gt;"")+($S$10:$S$61&lt;&gt;"")+($U$10:$U$61&lt;&gt;""))))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P11'!$D$16:$D$27,(INT((X40-1)/4)+1)))</f>
        <v/>
      </c>
      <c r="F40" s="7" t="str">
        <f t="array" ref="F40">IF(X40="","",INDEX('Inventory - P11'!$E$16:$E$27,(INT((X40-1)/4)+1)))</f>
        <v/>
      </c>
      <c r="G40" s="7" t="str">
        <f t="array" ref="G40">IF(X40="","",INDEX('Inventory - P11'!$I$16:$I$27,(INT((X40-1)/4)+1)))</f>
        <v/>
      </c>
      <c r="H40" s="7" t="str">
        <f t="array" ref="H40">IF(X40="","",INDEX('Inventory - P11'!$J$16:$J$27,(INT((X40-1)/4)+1)))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P11'!$B$16:$B$27,(INT((X41-1)/4)+1))&amp;IF(INDEX('Inventory - P11'!$C$16:$C$27,(INT((X41-1)/4)+1))="",""," ("&amp;INDEX('Inventory - P11'!$C$16:$C$27,(INT((X41-1)/4)+1))&amp;" mg)"))</f>
        <v/>
      </c>
      <c r="D41" s="7" t="str">
        <f t="array" ref="D41">IF(X41="","",INDEX('Inventory - P11'!$K$16:$K$27,(INT((X41-1)/4)+1))-SUMPRODUCT(($B$10:$B$61=B41)*(($I$10:$I$61&lt;&gt;"")+($K$10:$K$61&lt;&gt;"")+($M$10:$M$61&lt;&gt;"")+($O$10:$O$61&lt;&gt;"")+($Q$10:$Q$61&lt;&gt;"")+($S$10:$S$61&lt;&gt;"")+($U$10:$U$61&lt;&gt;""))))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P11'!$D$16:$D$27,(INT((X41-1)/4)+1)))</f>
        <v/>
      </c>
      <c r="F41" s="7" t="str">
        <f t="array" ref="F41">IF(X41="","",INDEX('Inventory - P11'!$E$16:$E$27,(INT((X41-1)/4)+1)))</f>
        <v/>
      </c>
      <c r="G41" s="7" t="str">
        <f t="array" ref="G41">IF(X41="","",INDEX('Inventory - P11'!$I$16:$I$27,(INT((X41-1)/4)+1)))</f>
        <v/>
      </c>
      <c r="H41" s="7" t="str">
        <f t="array" ref="H41">IF(X41="","",INDEX('Inventory - P11'!$J$16:$J$27,(INT((X41-1)/4)+1)))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P11'!$B$16:$B$27,(INT((X42-1)/4)+1))&amp;IF(INDEX('Inventory - P11'!$C$16:$C$27,(INT((X42-1)/4)+1))="",""," ("&amp;INDEX('Inventory - P11'!$C$16:$C$27,(INT((X42-1)/4)+1))&amp;" mg)"))</f>
        <v/>
      </c>
      <c r="D42" s="7" t="str">
        <f t="array" ref="D42">IF(X42="","",INDEX('Inventory - P11'!$K$16:$K$27,(INT((X42-1)/4)+1))-SUMPRODUCT(($B$10:$B$61=B42)*(($I$10:$I$61&lt;&gt;"")+($K$10:$K$61&lt;&gt;"")+($M$10:$M$61&lt;&gt;"")+($O$10:$O$61&lt;&gt;"")+($Q$10:$Q$61&lt;&gt;"")+($S$10:$S$61&lt;&gt;"")+($U$10:$U$61&lt;&gt;""))))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P11'!$D$16:$D$27,(INT((X42-1)/4)+1)))</f>
        <v/>
      </c>
      <c r="F42" s="7" t="str">
        <f t="array" ref="F42">IF(X42="","",INDEX('Inventory - P11'!$E$16:$E$27,(INT((X42-1)/4)+1)))</f>
        <v/>
      </c>
      <c r="G42" s="7" t="str">
        <f t="array" ref="G42">IF(X42="","",INDEX('Inventory - P11'!$I$16:$I$27,(INT((X42-1)/4)+1)))</f>
        <v/>
      </c>
      <c r="H42" s="7" t="str">
        <f t="array" ref="H42">IF(X42="","",INDEX('Inventory - P11'!$J$16:$J$27,(INT((X42-1)/4)+1)))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P11'!$B$16:$B$27,(INT((X43-1)/4)+1))&amp;IF(INDEX('Inventory - P11'!$C$16:$C$27,(INT((X43-1)/4)+1))="",""," ("&amp;INDEX('Inventory - P11'!$C$16:$C$27,(INT((X43-1)/4)+1))&amp;" mg)"))</f>
        <v/>
      </c>
      <c r="D43" s="7" t="str">
        <f t="array" ref="D43">IF(X43="","",INDEX('Inventory - P11'!$K$16:$K$27,(INT((X43-1)/4)+1))-SUMPRODUCT(($B$10:$B$61=B43)*(($I$10:$I$61&lt;&gt;"")+($K$10:$K$61&lt;&gt;"")+($M$10:$M$61&lt;&gt;"")+($O$10:$O$61&lt;&gt;"")+($Q$10:$Q$61&lt;&gt;"")+($S$10:$S$61&lt;&gt;"")+($U$10:$U$61&lt;&gt;""))))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P11'!$D$16:$D$27,(INT((X43-1)/4)+1)))</f>
        <v/>
      </c>
      <c r="F43" s="7" t="str">
        <f t="array" ref="F43">IF(X43="","",INDEX('Inventory - P11'!$E$16:$E$27,(INT((X43-1)/4)+1)))</f>
        <v/>
      </c>
      <c r="G43" s="7" t="str">
        <f t="array" ref="G43">IF(X43="","",INDEX('Inventory - P11'!$I$16:$I$27,(INT((X43-1)/4)+1)))</f>
        <v/>
      </c>
      <c r="H43" s="7" t="str">
        <f t="array" ref="H43">IF(X43="","",INDEX('Inventory - P11'!$J$16:$J$27,(INT((X43-1)/4)+1)))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P11'!$B$16:$B$27,(INT((X44-1)/4)+1))&amp;IF(INDEX('Inventory - P11'!$C$16:$C$27,(INT((X44-1)/4)+1))="",""," ("&amp;INDEX('Inventory - P11'!$C$16:$C$27,(INT((X44-1)/4)+1))&amp;" mg)"))</f>
        <v/>
      </c>
      <c r="D44" s="7" t="str">
        <f t="array" ref="D44">IF(X44="","",INDEX('Inventory - P11'!$K$16:$K$27,(INT((X44-1)/4)+1))-SUMPRODUCT(($B$10:$B$61=B44)*(($I$10:$I$61&lt;&gt;"")+($K$10:$K$61&lt;&gt;"")+($M$10:$M$61&lt;&gt;"")+($O$10:$O$61&lt;&gt;"")+($Q$10:$Q$61&lt;&gt;"")+($S$10:$S$61&lt;&gt;"")+($U$10:$U$61&lt;&gt;""))))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P11'!$D$16:$D$27,(INT((X44-1)/4)+1)))</f>
        <v/>
      </c>
      <c r="F44" s="7" t="str">
        <f t="array" ref="F44">IF(X44="","",INDEX('Inventory - P11'!$E$16:$E$27,(INT((X44-1)/4)+1)))</f>
        <v/>
      </c>
      <c r="G44" s="7" t="str">
        <f t="array" ref="G44">IF(X44="","",INDEX('Inventory - P11'!$I$16:$I$27,(INT((X44-1)/4)+1)))</f>
        <v/>
      </c>
      <c r="H44" s="7" t="str">
        <f t="array" ref="H44">IF(X44="","",INDEX('Inventory - P11'!$J$16:$J$27,(INT((X44-1)/4)+1)))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P11'!$B$16:$B$27,(INT((X45-1)/4)+1))&amp;IF(INDEX('Inventory - P11'!$C$16:$C$27,(INT((X45-1)/4)+1))="",""," ("&amp;INDEX('Inventory - P11'!$C$16:$C$27,(INT((X45-1)/4)+1))&amp;" mg)"))</f>
        <v/>
      </c>
      <c r="D45" s="7" t="str">
        <f t="array" ref="D45">IF(X45="","",INDEX('Inventory - P11'!$K$16:$K$27,(INT((X45-1)/4)+1))-SUMPRODUCT(($B$10:$B$61=B45)*(($I$10:$I$61&lt;&gt;"")+($K$10:$K$61&lt;&gt;"")+($M$10:$M$61&lt;&gt;"")+($O$10:$O$61&lt;&gt;"")+($Q$10:$Q$61&lt;&gt;"")+($S$10:$S$61&lt;&gt;"")+($U$10:$U$61&lt;&gt;""))))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P11'!$D$16:$D$27,(INT((X45-1)/4)+1)))</f>
        <v/>
      </c>
      <c r="F45" s="7" t="str">
        <f t="array" ref="F45">IF(X45="","",INDEX('Inventory - P11'!$E$16:$E$27,(INT((X45-1)/4)+1)))</f>
        <v/>
      </c>
      <c r="G45" s="7" t="str">
        <f t="array" ref="G45">IF(X45="","",INDEX('Inventory - P11'!$I$16:$I$27,(INT((X45-1)/4)+1)))</f>
        <v/>
      </c>
      <c r="H45" s="7" t="str">
        <f t="array" ref="H45">IF(X45="","",INDEX('Inventory - P11'!$J$16:$J$27,(INT((X45-1)/4)+1)))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P11'!$B$16:$B$27,(INT((X46-1)/4)+1))&amp;IF(INDEX('Inventory - P11'!$C$16:$C$27,(INT((X46-1)/4)+1))="",""," ("&amp;INDEX('Inventory - P11'!$C$16:$C$27,(INT((X46-1)/4)+1))&amp;" mg)"))</f>
        <v/>
      </c>
      <c r="D46" s="7" t="str">
        <f t="array" ref="D46">IF(X46="","",INDEX('Inventory - P11'!$K$16:$K$27,(INT((X46-1)/4)+1))-SUMPRODUCT(($B$10:$B$61=B46)*(($I$10:$I$61&lt;&gt;"")+($K$10:$K$61&lt;&gt;"")+($M$10:$M$61&lt;&gt;"")+($O$10:$O$61&lt;&gt;"")+($Q$10:$Q$61&lt;&gt;"")+($S$10:$S$61&lt;&gt;"")+($U$10:$U$61&lt;&gt;""))))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P11'!$D$16:$D$27,(INT((X46-1)/4)+1)))</f>
        <v/>
      </c>
      <c r="F46" s="7" t="str">
        <f t="array" ref="F46">IF(X46="","",INDEX('Inventory - P11'!$E$16:$E$27,(INT((X46-1)/4)+1)))</f>
        <v/>
      </c>
      <c r="G46" s="7" t="str">
        <f t="array" ref="G46">IF(X46="","",INDEX('Inventory - P11'!$I$16:$I$27,(INT((X46-1)/4)+1)))</f>
        <v/>
      </c>
      <c r="H46" s="7" t="str">
        <f t="array" ref="H46">IF(X46="","",INDEX('Inventory - P11'!$J$16:$J$27,(INT((X46-1)/4)+1)))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P11'!$B$16:$B$27,(INT((X47-1)/4)+1))&amp;IF(INDEX('Inventory - P11'!$C$16:$C$27,(INT((X47-1)/4)+1))="",""," ("&amp;INDEX('Inventory - P11'!$C$16:$C$27,(INT((X47-1)/4)+1))&amp;" mg)"))</f>
        <v/>
      </c>
      <c r="D47" s="7" t="str">
        <f t="array" ref="D47">IF(X47="","",INDEX('Inventory - P11'!$K$16:$K$27,(INT((X47-1)/4)+1))-SUMPRODUCT(($B$10:$B$61=B47)*(($I$10:$I$61&lt;&gt;"")+($K$10:$K$61&lt;&gt;"")+($M$10:$M$61&lt;&gt;"")+($O$10:$O$61&lt;&gt;"")+($Q$10:$Q$61&lt;&gt;"")+($S$10:$S$61&lt;&gt;"")+($U$10:$U$61&lt;&gt;""))))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P11'!$D$16:$D$27,(INT((X47-1)/4)+1)))</f>
        <v/>
      </c>
      <c r="F47" s="7" t="str">
        <f t="array" ref="F47">IF(X47="","",INDEX('Inventory - P11'!$E$16:$E$27,(INT((X47-1)/4)+1)))</f>
        <v/>
      </c>
      <c r="G47" s="7" t="str">
        <f t="array" ref="G47">IF(X47="","",INDEX('Inventory - P11'!$I$16:$I$27,(INT((X47-1)/4)+1)))</f>
        <v/>
      </c>
      <c r="H47" s="7" t="str">
        <f t="array" ref="H47">IF(X47="","",INDEX('Inventory - P11'!$J$16:$J$27,(INT((X47-1)/4)+1)))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P11'!$B$16:$B$27,(INT((X48-1)/4)+1))&amp;IF(INDEX('Inventory - P11'!$C$16:$C$27,(INT((X48-1)/4)+1))="",""," ("&amp;INDEX('Inventory - P11'!$C$16:$C$27,(INT((X48-1)/4)+1))&amp;" mg)"))</f>
        <v/>
      </c>
      <c r="D48" s="7" t="str">
        <f t="array" ref="D48">IF(X48="","",INDEX('Inventory - P11'!$K$16:$K$27,(INT((X48-1)/4)+1))-SUMPRODUCT(($B$10:$B$61=B48)*(($I$10:$I$61&lt;&gt;"")+($K$10:$K$61&lt;&gt;"")+($M$10:$M$61&lt;&gt;"")+($O$10:$O$61&lt;&gt;"")+($Q$10:$Q$61&lt;&gt;"")+($S$10:$S$61&lt;&gt;"")+($U$10:$U$61&lt;&gt;""))))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P11'!$D$16:$D$27,(INT((X48-1)/4)+1)))</f>
        <v/>
      </c>
      <c r="F48" s="7" t="str">
        <f t="array" ref="F48">IF(X48="","",INDEX('Inventory - P11'!$E$16:$E$27,(INT((X48-1)/4)+1)))</f>
        <v/>
      </c>
      <c r="G48" s="7" t="str">
        <f t="array" ref="G48">IF(X48="","",INDEX('Inventory - P11'!$I$16:$I$27,(INT((X48-1)/4)+1)))</f>
        <v/>
      </c>
      <c r="H48" s="7" t="str">
        <f t="array" ref="H48">IF(X48="","",INDEX('Inventory - P11'!$J$16:$J$27,(INT((X48-1)/4)+1)))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P11'!$B$16:$B$27,(INT((X50-1)/4)+1))&amp;IF(INDEX('Inventory - P11'!$C$16:$C$27,(INT((X50-1)/4)+1))="",""," ("&amp;INDEX('Inventory - P11'!$C$16:$C$27,(INT((X50-1)/4)+1))&amp;" mg)"))</f>
        <v/>
      </c>
      <c r="D50" s="7" t="str">
        <f t="array" ref="D50">IF(X50="","",INDEX('Inventory - P11'!$K$16:$K$27,(INT((X50-1)/4)+1))-SUMPRODUCT(($B$10:$B$61=B50)*(($I$10:$I$61&lt;&gt;"")+($K$10:$K$61&lt;&gt;"")+($M$10:$M$61&lt;&gt;"")+($O$10:$O$61&lt;&gt;"")+($Q$10:$Q$61&lt;&gt;"")+($S$10:$S$61&lt;&gt;"")+($U$10:$U$61&lt;&gt;""))))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P11'!$D$16:$D$27,(INT((X50-1)/4)+1)))</f>
        <v/>
      </c>
      <c r="F50" s="7" t="str">
        <f t="array" ref="F50">IF(X50="","",INDEX('Inventory - P11'!$E$16:$E$27,(INT((X50-1)/4)+1)))</f>
        <v/>
      </c>
      <c r="G50" s="7" t="str">
        <f t="array" ref="G50">IF(X50="","",INDEX('Inventory - P11'!$I$16:$I$27,(INT((X50-1)/4)+1)))</f>
        <v/>
      </c>
      <c r="H50" s="7" t="str">
        <f t="array" ref="H50">IF(X50="","",INDEX('Inventory - P11'!$J$16:$J$27,(INT((X50-1)/4)+1)))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P11'!$B$16:$B$27,(INT((X51-1)/4)+1))&amp;IF(INDEX('Inventory - P11'!$C$16:$C$27,(INT((X51-1)/4)+1))="",""," ("&amp;INDEX('Inventory - P11'!$C$16:$C$27,(INT((X51-1)/4)+1))&amp;" mg)"))</f>
        <v/>
      </c>
      <c r="D51" s="7" t="str">
        <f t="array" ref="D51">IF(X51="","",INDEX('Inventory - P11'!$K$16:$K$27,(INT((X51-1)/4)+1))-SUMPRODUCT(($B$10:$B$61=B51)*(($I$10:$I$61&lt;&gt;"")+($K$10:$K$61&lt;&gt;"")+($M$10:$M$61&lt;&gt;"")+($O$10:$O$61&lt;&gt;"")+($Q$10:$Q$61&lt;&gt;"")+($S$10:$S$61&lt;&gt;"")+($U$10:$U$61&lt;&gt;""))))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P11'!$D$16:$D$27,(INT((X51-1)/4)+1)))</f>
        <v/>
      </c>
      <c r="F51" s="7" t="str">
        <f t="array" ref="F51">IF(X51="","",INDEX('Inventory - P11'!$E$16:$E$27,(INT((X51-1)/4)+1)))</f>
        <v/>
      </c>
      <c r="G51" s="7" t="str">
        <f t="array" ref="G51">IF(X51="","",INDEX('Inventory - P11'!$I$16:$I$27,(INT((X51-1)/4)+1)))</f>
        <v/>
      </c>
      <c r="H51" s="7" t="str">
        <f t="array" ref="H51">IF(X51="","",INDEX('Inventory - P11'!$J$16:$J$27,(INT((X51-1)/4)+1)))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P11'!$B$16:$B$27,(INT((X52-1)/4)+1))&amp;IF(INDEX('Inventory - P11'!$C$16:$C$27,(INT((X52-1)/4)+1))="",""," ("&amp;INDEX('Inventory - P11'!$C$16:$C$27,(INT((X52-1)/4)+1))&amp;" mg)"))</f>
        <v/>
      </c>
      <c r="D52" s="7" t="str">
        <f t="array" ref="D52">IF(X52="","",INDEX('Inventory - P11'!$K$16:$K$27,(INT((X52-1)/4)+1))-SUMPRODUCT(($B$10:$B$61=B52)*(($I$10:$I$61&lt;&gt;"")+($K$10:$K$61&lt;&gt;"")+($M$10:$M$61&lt;&gt;"")+($O$10:$O$61&lt;&gt;"")+($Q$10:$Q$61&lt;&gt;"")+($S$10:$S$61&lt;&gt;"")+($U$10:$U$61&lt;&gt;""))))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P11'!$D$16:$D$27,(INT((X52-1)/4)+1)))</f>
        <v/>
      </c>
      <c r="F52" s="7" t="str">
        <f t="array" ref="F52">IF(X52="","",INDEX('Inventory - P11'!$E$16:$E$27,(INT((X52-1)/4)+1)))</f>
        <v/>
      </c>
      <c r="G52" s="7" t="str">
        <f t="array" ref="G52">IF(X52="","",INDEX('Inventory - P11'!$I$16:$I$27,(INT((X52-1)/4)+1)))</f>
        <v/>
      </c>
      <c r="H52" s="7" t="str">
        <f t="array" ref="H52">IF(X52="","",INDEX('Inventory - P11'!$J$16:$J$27,(INT((X52-1)/4)+1)))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P11'!$B$16:$B$27,(INT((X53-1)/4)+1))&amp;IF(INDEX('Inventory - P11'!$C$16:$C$27,(INT((X53-1)/4)+1))="",""," ("&amp;INDEX('Inventory - P11'!$C$16:$C$27,(INT((X53-1)/4)+1))&amp;" mg)"))</f>
        <v/>
      </c>
      <c r="D53" s="7" t="str">
        <f t="array" ref="D53">IF(X53="","",INDEX('Inventory - P11'!$K$16:$K$27,(INT((X53-1)/4)+1))-SUMPRODUCT(($B$10:$B$61=B53)*(($I$10:$I$61&lt;&gt;"")+($K$10:$K$61&lt;&gt;"")+($M$10:$M$61&lt;&gt;"")+($O$10:$O$61&lt;&gt;"")+($Q$10:$Q$61&lt;&gt;"")+($S$10:$S$61&lt;&gt;"")+($U$10:$U$61&lt;&gt;""))))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P11'!$D$16:$D$27,(INT((X53-1)/4)+1)))</f>
        <v/>
      </c>
      <c r="F53" s="7" t="str">
        <f t="array" ref="F53">IF(X53="","",INDEX('Inventory - P11'!$E$16:$E$27,(INT((X53-1)/4)+1)))</f>
        <v/>
      </c>
      <c r="G53" s="7" t="str">
        <f t="array" ref="G53">IF(X53="","",INDEX('Inventory - P11'!$I$16:$I$27,(INT((X53-1)/4)+1)))</f>
        <v/>
      </c>
      <c r="H53" s="7" t="str">
        <f t="array" ref="H53">IF(X53="","",INDEX('Inventory - P11'!$J$16:$J$27,(INT((X53-1)/4)+1)))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P11'!$B$16:$B$27,(INT((X54-1)/4)+1))&amp;IF(INDEX('Inventory - P11'!$C$16:$C$27,(INT((X54-1)/4)+1))="",""," ("&amp;INDEX('Inventory - P11'!$C$16:$C$27,(INT((X54-1)/4)+1))&amp;" mg)"))</f>
        <v/>
      </c>
      <c r="D54" s="7" t="str">
        <f t="array" ref="D54">IF(X54="","",INDEX('Inventory - P11'!$K$16:$K$27,(INT((X54-1)/4)+1))-SUMPRODUCT(($B$10:$B$61=B54)*(($I$10:$I$61&lt;&gt;"")+($K$10:$K$61&lt;&gt;"")+($M$10:$M$61&lt;&gt;"")+($O$10:$O$61&lt;&gt;"")+($Q$10:$Q$61&lt;&gt;"")+($S$10:$S$61&lt;&gt;"")+($U$10:$U$61&lt;&gt;""))))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P11'!$D$16:$D$27,(INT((X54-1)/4)+1)))</f>
        <v/>
      </c>
      <c r="F54" s="7" t="str">
        <f t="array" ref="F54">IF(X54="","",INDEX('Inventory - P11'!$E$16:$E$27,(INT((X54-1)/4)+1)))</f>
        <v/>
      </c>
      <c r="G54" s="7" t="str">
        <f t="array" ref="G54">IF(X54="","",INDEX('Inventory - P11'!$I$16:$I$27,(INT((X54-1)/4)+1)))</f>
        <v/>
      </c>
      <c r="H54" s="7" t="str">
        <f t="array" ref="H54">IF(X54="","",INDEX('Inventory - P11'!$J$16:$J$27,(INT((X54-1)/4)+1)))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P11'!$B$16:$B$27,(INT((X55-1)/4)+1))&amp;IF(INDEX('Inventory - P11'!$C$16:$C$27,(INT((X55-1)/4)+1))="",""," ("&amp;INDEX('Inventory - P11'!$C$16:$C$27,(INT((X55-1)/4)+1))&amp;" mg)"))</f>
        <v/>
      </c>
      <c r="D55" s="7" t="str">
        <f t="array" ref="D55">IF(X55="","",INDEX('Inventory - P11'!$K$16:$K$27,(INT((X55-1)/4)+1))-SUMPRODUCT(($B$10:$B$61=B55)*(($I$10:$I$61&lt;&gt;"")+($K$10:$K$61&lt;&gt;"")+($M$10:$M$61&lt;&gt;"")+($O$10:$O$61&lt;&gt;"")+($Q$10:$Q$61&lt;&gt;"")+($S$10:$S$61&lt;&gt;"")+($U$10:$U$61&lt;&gt;""))))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P11'!$D$16:$D$27,(INT((X55-1)/4)+1)))</f>
        <v/>
      </c>
      <c r="F55" s="7" t="str">
        <f t="array" ref="F55">IF(X55="","",INDEX('Inventory - P11'!$E$16:$E$27,(INT((X55-1)/4)+1)))</f>
        <v/>
      </c>
      <c r="G55" s="7" t="str">
        <f t="array" ref="G55">IF(X55="","",INDEX('Inventory - P11'!$I$16:$I$27,(INT((X55-1)/4)+1)))</f>
        <v/>
      </c>
      <c r="H55" s="7" t="str">
        <f t="array" ref="H55">IF(X55="","",INDEX('Inventory - P11'!$J$16:$J$27,(INT((X55-1)/4)+1)))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P11'!$B$16:$B$27,(INT((X56-1)/4)+1))&amp;IF(INDEX('Inventory - P11'!$C$16:$C$27,(INT((X56-1)/4)+1))="",""," ("&amp;INDEX('Inventory - P11'!$C$16:$C$27,(INT((X56-1)/4)+1))&amp;" mg)"))</f>
        <v/>
      </c>
      <c r="D56" s="7" t="str">
        <f t="array" ref="D56">IF(X56="","",INDEX('Inventory - P11'!$K$16:$K$27,(INT((X56-1)/4)+1))-SUMPRODUCT(($B$10:$B$61=B56)*(($I$10:$I$61&lt;&gt;"")+($K$10:$K$61&lt;&gt;"")+($M$10:$M$61&lt;&gt;"")+($O$10:$O$61&lt;&gt;"")+($Q$10:$Q$61&lt;&gt;"")+($S$10:$S$61&lt;&gt;"")+($U$10:$U$61&lt;&gt;""))))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P11'!$D$16:$D$27,(INT((X56-1)/4)+1)))</f>
        <v/>
      </c>
      <c r="F56" s="7" t="str">
        <f t="array" ref="F56">IF(X56="","",INDEX('Inventory - P11'!$E$16:$E$27,(INT((X56-1)/4)+1)))</f>
        <v/>
      </c>
      <c r="G56" s="7" t="str">
        <f t="array" ref="G56">IF(X56="","",INDEX('Inventory - P11'!$I$16:$I$27,(INT((X56-1)/4)+1)))</f>
        <v/>
      </c>
      <c r="H56" s="7" t="str">
        <f t="array" ref="H56">IF(X56="","",INDEX('Inventory - P11'!$J$16:$J$27,(INT((X56-1)/4)+1)))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P11'!$B$16:$B$27,(INT((X57-1)/4)+1))&amp;IF(INDEX('Inventory - P11'!$C$16:$C$27,(INT((X57-1)/4)+1))="",""," ("&amp;INDEX('Inventory - P11'!$C$16:$C$27,(INT((X57-1)/4)+1))&amp;" mg)"))</f>
        <v/>
      </c>
      <c r="D57" s="7" t="str">
        <f t="array" ref="D57">IF(X57="","",INDEX('Inventory - P11'!$K$16:$K$27,(INT((X57-1)/4)+1))-SUMPRODUCT(($B$10:$B$61=B57)*(($I$10:$I$61&lt;&gt;"")+($K$10:$K$61&lt;&gt;"")+($M$10:$M$61&lt;&gt;"")+($O$10:$O$61&lt;&gt;"")+($Q$10:$Q$61&lt;&gt;"")+($S$10:$S$61&lt;&gt;"")+($U$10:$U$61&lt;&gt;""))))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P11'!$D$16:$D$27,(INT((X57-1)/4)+1)))</f>
        <v/>
      </c>
      <c r="F57" s="7" t="str">
        <f t="array" ref="F57">IF(X57="","",INDEX('Inventory - P11'!$E$16:$E$27,(INT((X57-1)/4)+1)))</f>
        <v/>
      </c>
      <c r="G57" s="7" t="str">
        <f t="array" ref="G57">IF(X57="","",INDEX('Inventory - P11'!$I$16:$I$27,(INT((X57-1)/4)+1)))</f>
        <v/>
      </c>
      <c r="H57" s="7" t="str">
        <f t="array" ref="H57">IF(X57="","",INDEX('Inventory - P11'!$J$16:$J$27,(INT((X57-1)/4)+1)))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P11'!$B$16:$B$27,(INT((X58-1)/4)+1))&amp;IF(INDEX('Inventory - P11'!$C$16:$C$27,(INT((X58-1)/4)+1))="",""," ("&amp;INDEX('Inventory - P11'!$C$16:$C$27,(INT((X58-1)/4)+1))&amp;" mg)"))</f>
        <v/>
      </c>
      <c r="D58" s="7" t="str">
        <f t="array" ref="D58">IF(X58="","",INDEX('Inventory - P11'!$K$16:$K$27,(INT((X58-1)/4)+1))-SUMPRODUCT(($B$10:$B$61=B58)*(($I$10:$I$61&lt;&gt;"")+($K$10:$K$61&lt;&gt;"")+($M$10:$M$61&lt;&gt;"")+($O$10:$O$61&lt;&gt;"")+($Q$10:$Q$61&lt;&gt;"")+($S$10:$S$61&lt;&gt;"")+($U$10:$U$61&lt;&gt;""))))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P11'!$D$16:$D$27,(INT((X58-1)/4)+1)))</f>
        <v/>
      </c>
      <c r="F58" s="7" t="str">
        <f t="array" ref="F58">IF(X58="","",INDEX('Inventory - P11'!$E$16:$E$27,(INT((X58-1)/4)+1)))</f>
        <v/>
      </c>
      <c r="G58" s="7" t="str">
        <f t="array" ref="G58">IF(X58="","",INDEX('Inventory - P11'!$I$16:$I$27,(INT((X58-1)/4)+1)))</f>
        <v/>
      </c>
      <c r="H58" s="7" t="str">
        <f t="array" ref="H58">IF(X58="","",INDEX('Inventory - P11'!$J$16:$J$27,(INT((X58-1)/4)+1)))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P11'!$B$16:$B$27,(INT((X59-1)/4)+1))&amp;IF(INDEX('Inventory - P11'!$C$16:$C$27,(INT((X59-1)/4)+1))="",""," ("&amp;INDEX('Inventory - P11'!$C$16:$C$27,(INT((X59-1)/4)+1))&amp;" mg)"))</f>
        <v/>
      </c>
      <c r="D59" s="7" t="str">
        <f t="array" ref="D59">IF(X59="","",INDEX('Inventory - P11'!$K$16:$K$27,(INT((X59-1)/4)+1))-SUMPRODUCT(($B$10:$B$61=B59)*(($I$10:$I$61&lt;&gt;"")+($K$10:$K$61&lt;&gt;"")+($M$10:$M$61&lt;&gt;"")+($O$10:$O$61&lt;&gt;"")+($Q$10:$Q$61&lt;&gt;"")+($S$10:$S$61&lt;&gt;"")+($U$10:$U$61&lt;&gt;""))))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P11'!$D$16:$D$27,(INT((X59-1)/4)+1)))</f>
        <v/>
      </c>
      <c r="F59" s="7" t="str">
        <f t="array" ref="F59">IF(X59="","",INDEX('Inventory - P11'!$E$16:$E$27,(INT((X59-1)/4)+1)))</f>
        <v/>
      </c>
      <c r="G59" s="7" t="str">
        <f t="array" ref="G59">IF(X59="","",INDEX('Inventory - P11'!$I$16:$I$27,(INT((X59-1)/4)+1)))</f>
        <v/>
      </c>
      <c r="H59" s="7" t="str">
        <f t="array" ref="H59">IF(X59="","",INDEX('Inventory - P11'!$J$16:$J$27,(INT((X59-1)/4)+1)))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P11'!$B$16:$B$27,(INT((X60-1)/4)+1))&amp;IF(INDEX('Inventory - P11'!$C$16:$C$27,(INT((X60-1)/4)+1))="",""," ("&amp;INDEX('Inventory - P11'!$C$16:$C$27,(INT((X60-1)/4)+1))&amp;" mg)"))</f>
        <v/>
      </c>
      <c r="D60" s="7" t="str">
        <f t="array" ref="D60">IF(X60="","",INDEX('Inventory - P11'!$K$16:$K$27,(INT((X60-1)/4)+1))-SUMPRODUCT(($B$10:$B$61=B60)*(($I$10:$I$61&lt;&gt;"")+($K$10:$K$61&lt;&gt;"")+($M$10:$M$61&lt;&gt;"")+($O$10:$O$61&lt;&gt;"")+($Q$10:$Q$61&lt;&gt;"")+($S$10:$S$61&lt;&gt;"")+($U$10:$U$61&lt;&gt;""))))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P11'!$D$16:$D$27,(INT((X60-1)/4)+1)))</f>
        <v/>
      </c>
      <c r="F60" s="7" t="str">
        <f t="array" ref="F60">IF(X60="","",INDEX('Inventory - P11'!$E$16:$E$27,(INT((X60-1)/4)+1)))</f>
        <v/>
      </c>
      <c r="G60" s="7" t="str">
        <f t="array" ref="G60">IF(X60="","",INDEX('Inventory - P11'!$I$16:$I$27,(INT((X60-1)/4)+1)))</f>
        <v/>
      </c>
      <c r="H60" s="7" t="str">
        <f t="array" ref="H60">IF(X60="","",INDEX('Inventory - P11'!$J$16:$J$27,(INT((X60-1)/4)+1)))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P11'!$B$16:$B$27,(INT((X61-1)/4)+1))&amp;IF(INDEX('Inventory - P11'!$C$16:$C$27,(INT((X61-1)/4)+1))="",""," ("&amp;INDEX('Inventory - P11'!$C$16:$C$27,(INT((X61-1)/4)+1))&amp;" mg)"))</f>
        <v/>
      </c>
      <c r="D61" s="7" t="str">
        <f t="array" ref="D61">IF(X61="","",INDEX('Inventory - P11'!$K$16:$K$27,(INT((X61-1)/4)+1))-SUMPRODUCT(($B$10:$B$61=B61)*(($I$10:$I$61&lt;&gt;"")+($K$10:$K$61&lt;&gt;"")+($M$10:$M$61&lt;&gt;"")+($O$10:$O$61&lt;&gt;"")+($Q$10:$Q$61&lt;&gt;"")+($S$10:$S$61&lt;&gt;"")+($U$10:$U$61&lt;&gt;""))))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P11'!$D$16:$D$27,(INT((X61-1)/4)+1)))</f>
        <v/>
      </c>
      <c r="F61" s="7" t="str">
        <f t="array" ref="F61">IF(X61="","",INDEX('Inventory - P11'!$E$16:$E$27,(INT((X61-1)/4)+1)))</f>
        <v/>
      </c>
      <c r="G61" s="7" t="str">
        <f t="array" ref="G61">IF(X61="","",INDEX('Inventory - P11'!$I$16:$I$27,(INT((X61-1)/4)+1)))</f>
        <v/>
      </c>
      <c r="H61" s="7" t="str">
        <f t="array" ref="H61">IF(X61="","",INDEX('Inventory - P11'!$J$16:$J$27,(INT((X61-1)/4)+1)))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P11'!E16&lt;1,'Inventory - P11'!F16="",'Inventory - P11'!G16=""),9,MOD('Inventory - P11'!F16+0*'Inventory - P11'!G16/24,1))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P11'!E16&lt;2,'Inventory - P11'!F16="",'Inventory - P11'!G16=""),9,MOD('Inventory - P11'!F16+1*'Inventory - P11'!G16/24,1))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P11'!E16&lt;3,'Inventory - P11'!F16="",'Inventory - P11'!G16=""),9,MOD('Inventory - P11'!F16+2*'Inventory - P11'!G16/24,1))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P11'!E16&lt;4,'Inventory - P11'!F16="",'Inventory - P11'!G16=""),9,MOD('Inventory - P11'!F16+3*'Inventory - P11'!G16/24,1))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P11'!E17&lt;1,'Inventory - P11'!F17="",'Inventory - P11'!G17=""),9,MOD('Inventory - P11'!F17+0*'Inventory - P11'!G17/24,1))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P11'!E17&lt;2,'Inventory - P11'!F17="",'Inventory - P11'!G17=""),9,MOD('Inventory - P11'!F17+1*'Inventory - P11'!G17/24,1))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P11'!E17&lt;3,'Inventory - P11'!F17="",'Inventory - P11'!G17=""),9,MOD('Inventory - P11'!F17+2*'Inventory - P11'!G17/24,1))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P11'!E17&lt;4,'Inventory - P11'!F17="",'Inventory - P11'!G17=""),9,MOD('Inventory - P11'!F17+3*'Inventory - P11'!G17/24,1))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P11'!E18&lt;1,'Inventory - P11'!F18="",'Inventory - P11'!G18=""),9,MOD('Inventory - P11'!F18+0*'Inventory - P11'!G18/24,1))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P11'!E18&lt;2,'Inventory - P11'!F18="",'Inventory - P11'!G18=""),9,MOD('Inventory - P11'!F18+1*'Inventory - P11'!G18/24,1))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P11'!E18&lt;3,'Inventory - P11'!F18="",'Inventory - P11'!G18=""),9,MOD('Inventory - P11'!F18+2*'Inventory - P11'!G18/24,1))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P11'!E18&lt;4,'Inventory - P11'!F18="",'Inventory - P11'!G18=""),9,MOD('Inventory - P11'!F18+3*'Inventory - P11'!G18/24,1))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P11'!E19&lt;1,'Inventory - P11'!F19="",'Inventory - P11'!G19=""),9,MOD('Inventory - P11'!F19+0*'Inventory - P11'!G19/24,1))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P11'!E19&lt;2,'Inventory - P11'!F19="",'Inventory - P11'!G19=""),9,MOD('Inventory - P11'!F19+1*'Inventory - P11'!G19/24,1))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P11'!E19&lt;3,'Inventory - P11'!F19="",'Inventory - P11'!G19=""),9,MOD('Inventory - P11'!F19+2*'Inventory - P11'!G19/24,1))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P11'!E19&lt;4,'Inventory - P11'!F19="",'Inventory - P11'!G19=""),9,MOD('Inventory - P11'!F19+3*'Inventory - P11'!G19/24,1))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P11'!E20&lt;1,'Inventory - P11'!F20="",'Inventory - P11'!G20=""),9,MOD('Inventory - P11'!F20+0*'Inventory - P11'!G20/24,1))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P11'!E20&lt;2,'Inventory - P11'!F20="",'Inventory - P11'!G20=""),9,MOD('Inventory - P11'!F20+1*'Inventory - P11'!G20/24,1))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P11'!E20&lt;3,'Inventory - P11'!F20="",'Inventory - P11'!G20=""),9,MOD('Inventory - P11'!F20+2*'Inventory - P11'!G20/24,1))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P11'!E20&lt;4,'Inventory - P11'!F20="",'Inventory - P11'!G20=""),9,MOD('Inventory - P11'!F20+3*'Inventory - P11'!G20/24,1))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P11'!E21&lt;1,'Inventory - P11'!F21="",'Inventory - P11'!G21=""),9,MOD('Inventory - P11'!F21+0*'Inventory - P11'!G21/24,1))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P11'!E21&lt;2,'Inventory - P11'!F21="",'Inventory - P11'!G21=""),9,MOD('Inventory - P11'!F21+1*'Inventory - P11'!G21/24,1))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P11'!E21&lt;3,'Inventory - P11'!F21="",'Inventory - P11'!G21=""),9,MOD('Inventory - P11'!F21+2*'Inventory - P11'!G21/24,1))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P11'!E21&lt;4,'Inventory - P11'!F21="",'Inventory - P11'!G21=""),9,MOD('Inventory - P11'!F21+3*'Inventory - P11'!G21/24,1))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P11'!E22&lt;1,'Inventory - P11'!F22="",'Inventory - P11'!G22=""),9,MOD('Inventory - P11'!F22+0*'Inventory - P11'!G22/24,1))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P11'!E22&lt;2,'Inventory - P11'!F22="",'Inventory - P11'!G22=""),9,MOD('Inventory - P11'!F22+1*'Inventory - P11'!G22/24,1))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P11'!E22&lt;3,'Inventory - P11'!F22="",'Inventory - P11'!G22=""),9,MOD('Inventory - P11'!F22+2*'Inventory - P11'!G22/24,1))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P11'!E22&lt;4,'Inventory - P11'!F22="",'Inventory - P11'!G22=""),9,MOD('Inventory - P11'!F22+3*'Inventory - P11'!G22/24,1))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P11'!E23&lt;1,'Inventory - P11'!F23="",'Inventory - P11'!G23=""),9,MOD('Inventory - P11'!F23+0*'Inventory - P11'!G23/24,1))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P11'!E23&lt;2,'Inventory - P11'!F23="",'Inventory - P11'!G23=""),9,MOD('Inventory - P11'!F23+1*'Inventory - P11'!G23/24,1))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P11'!E23&lt;3,'Inventory - P11'!F23="",'Inventory - P11'!G23=""),9,MOD('Inventory - P11'!F23+2*'Inventory - P11'!G23/24,1))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P11'!E23&lt;4,'Inventory - P11'!F23="",'Inventory - P11'!G23=""),9,MOD('Inventory - P11'!F23+3*'Inventory - P11'!G23/24,1))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P11'!E24&lt;1,'Inventory - P11'!F24="",'Inventory - P11'!G24=""),9,MOD('Inventory - P11'!F24+0*'Inventory - P11'!G24/24,1))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P11'!E24&lt;2,'Inventory - P11'!F24="",'Inventory - P11'!G24=""),9,MOD('Inventory - P11'!F24+1*'Inventory - P11'!G24/24,1))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P11'!E24&lt;3,'Inventory - P11'!F24="",'Inventory - P11'!G24=""),9,MOD('Inventory - P11'!F24+2*'Inventory - P11'!G24/24,1))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P11'!E24&lt;4,'Inventory - P11'!F24="",'Inventory - P11'!G24=""),9,MOD('Inventory - P11'!F24+3*'Inventory - P11'!G24/24,1))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P11'!E25&lt;1,'Inventory - P11'!F25="",'Inventory - P11'!G25=""),9,MOD('Inventory - P11'!F25+0*'Inventory - P11'!G25/24,1))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P11'!E25&lt;2,'Inventory - P11'!F25="",'Inventory - P11'!G25=""),9,MOD('Inventory - P11'!F25+1*'Inventory - P11'!G25/24,1))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P11'!E25&lt;3,'Inventory - P11'!F25="",'Inventory - P11'!G25=""),9,MOD('Inventory - P11'!F25+2*'Inventory - P11'!G25/24,1))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P11'!E25&lt;4,'Inventory - P11'!F25="",'Inventory - P11'!G25=""),9,MOD('Inventory - P11'!F25+3*'Inventory - P11'!G25/24,1))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P11'!E26&lt;1,'Inventory - P11'!F26="",'Inventory - P11'!G26=""),9,MOD('Inventory - P11'!F26+0*'Inventory - P11'!G26/24,1))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P11'!E26&lt;2,'Inventory - P11'!F26="",'Inventory - P11'!G26=""),9,MOD('Inventory - P11'!F26+1*'Inventory - P11'!G26/24,1))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P11'!E26&lt;3,'Inventory - P11'!F26="",'Inventory - P11'!G26=""),9,MOD('Inventory - P11'!F26+2*'Inventory - P11'!G26/24,1))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P11'!E26&lt;4,'Inventory - P11'!F26="",'Inventory - P11'!G26=""),9,MOD('Inventory - P11'!F26+3*'Inventory - P11'!G26/24,1))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P11'!E27&lt;1,'Inventory - P11'!F27="",'Inventory - P11'!G27=""),9,MOD('Inventory - P11'!F27+0*'Inventory - P11'!G27/24,1))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P11'!E27&lt;2,'Inventory - P11'!F27="",'Inventory - P11'!G27=""),9,MOD('Inventory - P11'!F27+1*'Inventory - P11'!G27/24,1))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P11'!E27&lt;3,'Inventory - P11'!F27="",'Inventory - P11'!G27=""),9,MOD('Inventory - P11'!F27+2*'Inventory - P11'!G27/24,1))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P11'!E27&lt;4,'Inventory - P11'!F27="",'Inventory - P11'!G27=""),9,MOD('Inventory - P11'!F27+3*'Inventory - P11'!G27/24,1))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341" priority="1">
      <formula>$W11&gt;=9</formula>
    </cfRule>
  </conditionalFormatting>
  <conditionalFormatting sqref="A12:V12">
    <cfRule type="expression" dxfId="340" priority="2">
      <formula>$W12&gt;=9</formula>
    </cfRule>
  </conditionalFormatting>
  <conditionalFormatting sqref="A13:V13">
    <cfRule type="expression" dxfId="339" priority="3">
      <formula>$W13&gt;=9</formula>
    </cfRule>
  </conditionalFormatting>
  <conditionalFormatting sqref="A14:V14">
    <cfRule type="expression" dxfId="338" priority="4">
      <formula>$W14&gt;=9</formula>
    </cfRule>
  </conditionalFormatting>
  <conditionalFormatting sqref="A15:V15">
    <cfRule type="expression" dxfId="337" priority="5">
      <formula>$W15&gt;=9</formula>
    </cfRule>
  </conditionalFormatting>
  <conditionalFormatting sqref="A16:V16">
    <cfRule type="expression" dxfId="336" priority="6">
      <formula>$W16&gt;=9</formula>
    </cfRule>
  </conditionalFormatting>
  <conditionalFormatting sqref="A17:V17">
    <cfRule type="expression" dxfId="335" priority="7">
      <formula>$W17&gt;=9</formula>
    </cfRule>
  </conditionalFormatting>
  <conditionalFormatting sqref="A18:V18">
    <cfRule type="expression" dxfId="334" priority="8">
      <formula>$W18&gt;=9</formula>
    </cfRule>
  </conditionalFormatting>
  <conditionalFormatting sqref="A19:V19">
    <cfRule type="expression" dxfId="333" priority="9">
      <formula>$W19&gt;=9</formula>
    </cfRule>
  </conditionalFormatting>
  <conditionalFormatting sqref="A20:V20">
    <cfRule type="expression" dxfId="332" priority="10">
      <formula>$W20&gt;=9</formula>
    </cfRule>
  </conditionalFormatting>
  <conditionalFormatting sqref="A21:V21">
    <cfRule type="expression" dxfId="331" priority="11">
      <formula>$W21&gt;=9</formula>
    </cfRule>
  </conditionalFormatting>
  <conditionalFormatting sqref="A22:V22">
    <cfRule type="expression" dxfId="330" priority="12">
      <formula>$W22&gt;=9</formula>
    </cfRule>
  </conditionalFormatting>
  <conditionalFormatting sqref="A24:V24">
    <cfRule type="expression" dxfId="329" priority="13">
      <formula>$W24&gt;=9</formula>
    </cfRule>
  </conditionalFormatting>
  <conditionalFormatting sqref="A25:V25">
    <cfRule type="expression" dxfId="328" priority="14">
      <formula>$W25&gt;=9</formula>
    </cfRule>
  </conditionalFormatting>
  <conditionalFormatting sqref="A26:V26">
    <cfRule type="expression" dxfId="327" priority="15">
      <formula>$W26&gt;=9</formula>
    </cfRule>
  </conditionalFormatting>
  <conditionalFormatting sqref="A27:V27">
    <cfRule type="expression" dxfId="326" priority="16">
      <formula>$W27&gt;=9</formula>
    </cfRule>
  </conditionalFormatting>
  <conditionalFormatting sqref="A28:V28">
    <cfRule type="expression" dxfId="325" priority="17">
      <formula>$W28&gt;=9</formula>
    </cfRule>
  </conditionalFormatting>
  <conditionalFormatting sqref="A29:V29">
    <cfRule type="expression" dxfId="324" priority="18">
      <formula>$W29&gt;=9</formula>
    </cfRule>
  </conditionalFormatting>
  <conditionalFormatting sqref="A30:V30">
    <cfRule type="expression" dxfId="323" priority="19">
      <formula>$W30&gt;=9</formula>
    </cfRule>
  </conditionalFormatting>
  <conditionalFormatting sqref="A31:V31">
    <cfRule type="expression" dxfId="322" priority="20">
      <formula>$W31&gt;=9</formula>
    </cfRule>
  </conditionalFormatting>
  <conditionalFormatting sqref="A32:V32">
    <cfRule type="expression" dxfId="321" priority="21">
      <formula>$W32&gt;=9</formula>
    </cfRule>
  </conditionalFormatting>
  <conditionalFormatting sqref="A33:V33">
    <cfRule type="expression" dxfId="320" priority="22">
      <formula>$W33&gt;=9</formula>
    </cfRule>
  </conditionalFormatting>
  <conditionalFormatting sqref="A34:V34">
    <cfRule type="expression" dxfId="319" priority="23">
      <formula>$W34&gt;=9</formula>
    </cfRule>
  </conditionalFormatting>
  <conditionalFormatting sqref="A35:V35">
    <cfRule type="expression" dxfId="318" priority="24">
      <formula>$W35&gt;=9</formula>
    </cfRule>
  </conditionalFormatting>
  <conditionalFormatting sqref="A37:V37">
    <cfRule type="expression" dxfId="317" priority="25">
      <formula>$W37&gt;=9</formula>
    </cfRule>
  </conditionalFormatting>
  <conditionalFormatting sqref="A38:V38">
    <cfRule type="expression" dxfId="316" priority="26">
      <formula>$W38&gt;=9</formula>
    </cfRule>
  </conditionalFormatting>
  <conditionalFormatting sqref="A39:V39">
    <cfRule type="expression" dxfId="315" priority="27">
      <formula>$W39&gt;=9</formula>
    </cfRule>
  </conditionalFormatting>
  <conditionalFormatting sqref="A40:V40">
    <cfRule type="expression" dxfId="314" priority="28">
      <formula>$W40&gt;=9</formula>
    </cfRule>
  </conditionalFormatting>
  <conditionalFormatting sqref="A41:V41">
    <cfRule type="expression" dxfId="313" priority="29">
      <formula>$W41&gt;=9</formula>
    </cfRule>
  </conditionalFormatting>
  <conditionalFormatting sqref="A42:V42">
    <cfRule type="expression" dxfId="312" priority="30">
      <formula>$W42&gt;=9</formula>
    </cfRule>
  </conditionalFormatting>
  <conditionalFormatting sqref="A43:V43">
    <cfRule type="expression" dxfId="311" priority="31">
      <formula>$W43&gt;=9</formula>
    </cfRule>
  </conditionalFormatting>
  <conditionalFormatting sqref="A44:V44">
    <cfRule type="expression" dxfId="310" priority="32">
      <formula>$W44&gt;=9</formula>
    </cfRule>
  </conditionalFormatting>
  <conditionalFormatting sqref="A45:V45">
    <cfRule type="expression" dxfId="309" priority="33">
      <formula>$W45&gt;=9</formula>
    </cfRule>
  </conditionalFormatting>
  <conditionalFormatting sqref="A46:V46">
    <cfRule type="expression" dxfId="308" priority="34">
      <formula>$W46&gt;=9</formula>
    </cfRule>
  </conditionalFormatting>
  <conditionalFormatting sqref="A47:V47">
    <cfRule type="expression" dxfId="307" priority="35">
      <formula>$W47&gt;=9</formula>
    </cfRule>
  </conditionalFormatting>
  <conditionalFormatting sqref="A48:V48">
    <cfRule type="expression" dxfId="306" priority="36">
      <formula>$W48&gt;=9</formula>
    </cfRule>
  </conditionalFormatting>
  <conditionalFormatting sqref="A50:V50">
    <cfRule type="expression" dxfId="305" priority="37">
      <formula>$W50&gt;=9</formula>
    </cfRule>
  </conditionalFormatting>
  <conditionalFormatting sqref="A51:V51">
    <cfRule type="expression" dxfId="304" priority="38">
      <formula>$W51&gt;=9</formula>
    </cfRule>
  </conditionalFormatting>
  <conditionalFormatting sqref="A52:V52">
    <cfRule type="expression" dxfId="303" priority="39">
      <formula>$W52&gt;=9</formula>
    </cfRule>
  </conditionalFormatting>
  <conditionalFormatting sqref="A53:V53">
    <cfRule type="expression" dxfId="302" priority="40">
      <formula>$W53&gt;=9</formula>
    </cfRule>
  </conditionalFormatting>
  <conditionalFormatting sqref="A54:V54">
    <cfRule type="expression" dxfId="301" priority="41">
      <formula>$W54&gt;=9</formula>
    </cfRule>
  </conditionalFormatting>
  <conditionalFormatting sqref="A55:V55">
    <cfRule type="expression" dxfId="300" priority="42">
      <formula>$W55&gt;=9</formula>
    </cfRule>
  </conditionalFormatting>
  <conditionalFormatting sqref="A56:V56">
    <cfRule type="expression" dxfId="299" priority="43">
      <formula>$W56&gt;=9</formula>
    </cfRule>
  </conditionalFormatting>
  <conditionalFormatting sqref="A57:V57">
    <cfRule type="expression" dxfId="298" priority="44">
      <formula>$W57&gt;=9</formula>
    </cfRule>
  </conditionalFormatting>
  <conditionalFormatting sqref="A58:V58">
    <cfRule type="expression" dxfId="297" priority="45">
      <formula>$W58&gt;=9</formula>
    </cfRule>
  </conditionalFormatting>
  <conditionalFormatting sqref="A59:V59">
    <cfRule type="expression" dxfId="296" priority="46">
      <formula>$W59&gt;=9</formula>
    </cfRule>
  </conditionalFormatting>
  <conditionalFormatting sqref="A60:V60">
    <cfRule type="expression" dxfId="295" priority="47">
      <formula>$W60&gt;=9</formula>
    </cfRule>
  </conditionalFormatting>
  <conditionalFormatting sqref="A61:V61">
    <cfRule type="expression" dxfId="294" priority="48">
      <formula>$W61&gt;=9</formula>
    </cfRule>
  </conditionalFormatting>
  <conditionalFormatting sqref="H10:H61">
    <cfRule type="cellIs" dxfId="293" priority="49" operator="equal">
      <formula>"Physical"</formula>
    </cfRule>
  </conditionalFormatting>
  <conditionalFormatting sqref="H10:H61">
    <cfRule type="cellIs" dxfId="292" priority="50" operator="equal">
      <formula>"Psychological"</formula>
    </cfRule>
  </conditionalFormatting>
  <conditionalFormatting sqref="G10:G61">
    <cfRule type="cellIs" dxfId="291" priority="51" operator="equal">
      <formula>"Y"</formula>
    </cfRule>
  </conditionalFormatting>
  <conditionalFormatting sqref="G10:G61">
    <cfRule type="cellIs" dxfId="290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Tracker'!B16="","",UPPER(LEFT(TRIM('Client Needs Tracker'!B16),1))&amp;UPPER(MID('Client Needs Tracker'!B16,FIND("@",SUBSTITUTE('Client Needs Tracker'!B16," ","@",LEN('Client Needs Tracker'!B16)-LEN(SUBSTITUTE('Client Needs Tracker'!B16," ",""))))+1,1))&amp;"-"&amp;SUBSTITUTE('Client Needs Tracker'!S16," ",""))</f>
        <v>LK-F-2B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Tracker'!S16="","","INV-"&amp;SUBSTITUTE('Client Needs Tracker'!S16," ",""))</f>
        <v>INV-F-2B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Tracker'!B16="","(Add client on Client Needs Tracker, row 16)",'Client Needs Tracker'!B16)</f>
        <v>lololo kkk</v>
      </c>
      <c r="B6" s="134"/>
      <c r="C6" s="134"/>
      <c r="D6" s="134"/>
      <c r="E6" s="134"/>
      <c r="F6" s="93">
        <f>'Client Needs Tracker'!A16</f>
        <v>25585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Tracker'!C16="","",'Client Needs Tracker'!C16)</f>
        <v>46239</v>
      </c>
      <c r="B8" s="134"/>
      <c r="C8" s="134"/>
      <c r="D8" s="134"/>
      <c r="E8" s="134"/>
      <c r="F8" s="95">
        <f>'Client Needs Tracker'!E16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Tracker'!F16="","",'Client Needs Tracker'!F16)</f>
        <v/>
      </c>
      <c r="B10" s="134"/>
      <c r="C10" s="134"/>
      <c r="D10" s="134"/>
      <c r="E10" s="134"/>
      <c r="F10" s="89" t="str">
        <f>IF('Client Status Board'!G16="","",'Client Status Board'!G16)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Board'!L16="","",'Client Status Board'!L16)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P12'!$B$10:$B$61=1)*(('MAR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P12'!$B$10:$B$61=2)*(('MAR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P12'!$B$10:$B$61=3)*(('MAR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P12'!$B$10:$B$61=4)*(('MAR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P12'!$B$10:$B$61=5)*(('MAR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P12'!$B$10:$B$61=6)*(('MAR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P12'!$B$10:$B$61=7)*(('MAR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P12'!$B$10:$B$61=8)*(('MAR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P12'!$B$10:$B$61=9)*(('MAR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P12'!$B$10:$B$61=10)*(('MAR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P12'!$B$10:$B$61=11)*(('MAR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P12'!$B$10:$B$61=12)*(('MAR - P12'!$I$10:$I$61&lt;&gt;"")+('MAR - P12'!$K$10:$K$61&lt;&gt;"")+('MAR - P12'!$M$10:$M$61&lt;&gt;"")+('MAR - P12'!$O$10:$O$61&lt;&gt;"")+('MAR - P12'!$Q$10:$Q$61&lt;&gt;"")+('MAR - P12'!$S$10:$S$61&lt;&gt;"")+('MAR - P12'!$U$10:$U$61&lt;&gt;""))))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289" priority="1" operator="equal">
      <formula>"Physical"</formula>
    </cfRule>
  </conditionalFormatting>
  <conditionalFormatting sqref="J16:J27">
    <cfRule type="cellIs" dxfId="288" priority="2" operator="equal">
      <formula>"Psychological"</formula>
    </cfRule>
  </conditionalFormatting>
  <conditionalFormatting sqref="I16:I27">
    <cfRule type="cellIs" dxfId="287" priority="3" operator="equal">
      <formula>"Y"</formula>
    </cfRule>
  </conditionalFormatting>
  <conditionalFormatting sqref="I16:I27">
    <cfRule type="cellIs" dxfId="286" priority="4" operator="equal">
      <formula>"N"</formula>
    </cfRule>
  </conditionalFormatting>
  <dataValidations count="5">
    <dataValidation type="list" allowBlank="1" sqref="I16:I27" xr:uid="{00000000-0002-0000-1B00-000001000000}">
      <formula1>"Y,N"</formula1>
    </dataValidation>
    <dataValidation type="list" allowBlank="1" sqref="J16:J27" xr:uid="{00000000-0002-0000-1B00-000002000000}">
      <formula1>"Physical,Psychological"</formula1>
    </dataValidation>
    <dataValidation type="list" allowBlank="1" sqref="C16:C27" xr:uid="{00000000-0002-0000-1B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B00-000004000000}">
      <formula1>"PO,IM,IV,SubQ,Topical,Inhaled,Sublingual,Rectal,Other"</formula1>
    </dataValidation>
    <dataValidation type="list" allowBlank="1" sqref="G16:G27" xr:uid="{00000000-0002-0000-1B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B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Tracker'!B16="","",UPPER(LEFT(TRIM('Client Needs Tracker'!B16),1))&amp;UPPER(MID('Client Needs Tracker'!B16,FIND("@",SUBSTITUTE('Client Needs Tracker'!B16," ","@",LEN('Client Needs Tracker'!B16)-LEN(SUBSTITUTE('Client Needs Tracker'!B16," ",""))))+1,1))&amp;"-"&amp;SUBSTITUTE('Client Needs Tracker'!S16," ",""))</f>
        <v>LK-F-2B</v>
      </c>
    </row>
    <row r="3" spans="1:33" ht="15" customHeight="1">
      <c r="A3" s="103" t="str">
        <f>IF('Inventory - P12'!A6="","(Enter name in Inventory - P12)",'Inventory - P12'!A6)</f>
        <v>lololo kkk</v>
      </c>
      <c r="B3" s="145"/>
      <c r="C3" s="145"/>
      <c r="D3" s="145"/>
      <c r="E3" s="145"/>
      <c r="F3" s="104" t="str">
        <f>IF('Inventory - P12'!F6="","(Enter ID in Inventory - P12)","Member ID: "&amp;'Inventory - P12'!F6)</f>
        <v>Member ID: 25585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Tracker'!S16="","","INV-"&amp;SUBSTITUTE('Client Needs Tracker'!S16," ",""))</f>
        <v>INV-F-2B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P12'!F8="","-",'Inventory - P12'!F8)</f>
        <v>LOC: 0</v>
      </c>
      <c r="B5" s="106"/>
      <c r="C5" s="2"/>
      <c r="D5" s="102" t="str">
        <f>"Case Manager: "&amp;IF('Inventory - P12'!A10="","-",'Inventory - P12'!A10)</f>
        <v>Case Manager: -</v>
      </c>
      <c r="E5" s="106"/>
      <c r="F5" s="2"/>
      <c r="G5" s="102" t="str">
        <f>"Doctor: "&amp;IF('Inventory - P12'!F10="","-",'Inventory - P12'!F10)</f>
        <v>Doctor: -</v>
      </c>
      <c r="H5" s="106"/>
      <c r="I5" s="2"/>
      <c r="J5" s="102" t="str">
        <f>"Pharmacy: "&amp;IF('Inventory - P12'!A12="","-",'Inventory - P12'!A12)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P12'!A14="","",'Inventory - P12'!A14)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P12'!A14="","",'Inventory - P12'!A14+0)</f>
        <v/>
      </c>
      <c r="J8" s="134"/>
      <c r="K8" s="101" t="str">
        <f>IF('Inventory - P12'!A14="","",'Inventory - P12'!A14+1)</f>
        <v/>
      </c>
      <c r="L8" s="134"/>
      <c r="M8" s="101" t="str">
        <f>IF('Inventory - P12'!A14="","",'Inventory - P12'!A14+2)</f>
        <v/>
      </c>
      <c r="N8" s="134"/>
      <c r="O8" s="101" t="str">
        <f>IF('Inventory - P12'!A14="","",'Inventory - P12'!A14+3)</f>
        <v/>
      </c>
      <c r="P8" s="134"/>
      <c r="Q8" s="101" t="str">
        <f>IF('Inventory - P12'!A14="","",'Inventory - P12'!A14+4)</f>
        <v/>
      </c>
      <c r="R8" s="134"/>
      <c r="S8" s="101" t="str">
        <f>IF('Inventory - P12'!A14="","",'Inventory - P12'!A14+5)</f>
        <v/>
      </c>
      <c r="T8" s="134"/>
      <c r="U8" s="101" t="str">
        <f>IF('Inventory - P12'!A14="","",'Inventory - P12'!A14+6)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P12'!$B$16:$B$27,(INT((X11-1)/4)+1))&amp;IF(INDEX('Inventory - P12'!$C$16:$C$27,(INT((X11-1)/4)+1))="",""," ("&amp;INDEX('Inventory - P12'!$C$16:$C$27,(INT((X11-1)/4)+1))&amp;" mg)"))</f>
        <v/>
      </c>
      <c r="D11" s="7" t="str">
        <f t="array" ref="D11">IF(X11="","",INDEX('Inventory - P12'!$K$16:$K$27,(INT((X11-1)/4)+1))-SUMPRODUCT(($B$10:$B$61=B11)*(($I$10:$I$61&lt;&gt;"")+($K$10:$K$61&lt;&gt;"")+($M$10:$M$61&lt;&gt;"")+($O$10:$O$61&lt;&gt;"")+($Q$10:$Q$61&lt;&gt;"")+($S$10:$S$61&lt;&gt;"")+($U$10:$U$61&lt;&gt;""))))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P12'!$D$16:$D$27,(INT((X11-1)/4)+1)))</f>
        <v/>
      </c>
      <c r="F11" s="7" t="str">
        <f t="array" ref="F11">IF(X11="","",INDEX('Inventory - P12'!$E$16:$E$27,(INT((X11-1)/4)+1)))</f>
        <v/>
      </c>
      <c r="G11" s="7" t="str">
        <f t="array" ref="G11">IF(X11="","",INDEX('Inventory - P12'!$I$16:$I$27,(INT((X11-1)/4)+1)))</f>
        <v/>
      </c>
      <c r="H11" s="7" t="str">
        <f t="array" ref="H11">IF(X11="","",INDEX('Inventory - P12'!$J$16:$J$27,(INT((X11-1)/4)+1)))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P12'!$B$16:$B$27,(INT((X12-1)/4)+1))&amp;IF(INDEX('Inventory - P12'!$C$16:$C$27,(INT((X12-1)/4)+1))="",""," ("&amp;INDEX('Inventory - P12'!$C$16:$C$27,(INT((X12-1)/4)+1))&amp;" mg)"))</f>
        <v/>
      </c>
      <c r="D12" s="7" t="str">
        <f t="array" ref="D12">IF(X12="","",INDEX('Inventory - P12'!$K$16:$K$27,(INT((X12-1)/4)+1))-SUMPRODUCT(($B$10:$B$61=B12)*(($I$10:$I$61&lt;&gt;"")+($K$10:$K$61&lt;&gt;"")+($M$10:$M$61&lt;&gt;"")+($O$10:$O$61&lt;&gt;"")+($Q$10:$Q$61&lt;&gt;"")+($S$10:$S$61&lt;&gt;"")+($U$10:$U$61&lt;&gt;""))))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P12'!$D$16:$D$27,(INT((X12-1)/4)+1)))</f>
        <v/>
      </c>
      <c r="F12" s="7" t="str">
        <f t="array" ref="F12">IF(X12="","",INDEX('Inventory - P12'!$E$16:$E$27,(INT((X12-1)/4)+1)))</f>
        <v/>
      </c>
      <c r="G12" s="7" t="str">
        <f t="array" ref="G12">IF(X12="","",INDEX('Inventory - P12'!$I$16:$I$27,(INT((X12-1)/4)+1)))</f>
        <v/>
      </c>
      <c r="H12" s="7" t="str">
        <f t="array" ref="H12">IF(X12="","",INDEX('Inventory - P12'!$J$16:$J$27,(INT((X12-1)/4)+1)))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P12'!$B$16:$B$27,(INT((X13-1)/4)+1))&amp;IF(INDEX('Inventory - P12'!$C$16:$C$27,(INT((X13-1)/4)+1))="",""," ("&amp;INDEX('Inventory - P12'!$C$16:$C$27,(INT((X13-1)/4)+1))&amp;" mg)"))</f>
        <v/>
      </c>
      <c r="D13" s="7" t="str">
        <f t="array" ref="D13">IF(X13="","",INDEX('Inventory - P12'!$K$16:$K$27,(INT((X13-1)/4)+1))-SUMPRODUCT(($B$10:$B$61=B13)*(($I$10:$I$61&lt;&gt;"")+($K$10:$K$61&lt;&gt;"")+($M$10:$M$61&lt;&gt;"")+($O$10:$O$61&lt;&gt;"")+($Q$10:$Q$61&lt;&gt;"")+($S$10:$S$61&lt;&gt;"")+($U$10:$U$61&lt;&gt;""))))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P12'!$D$16:$D$27,(INT((X13-1)/4)+1)))</f>
        <v/>
      </c>
      <c r="F13" s="7" t="str">
        <f t="array" ref="F13">IF(X13="","",INDEX('Inventory - P12'!$E$16:$E$27,(INT((X13-1)/4)+1)))</f>
        <v/>
      </c>
      <c r="G13" s="7" t="str">
        <f t="array" ref="G13">IF(X13="","",INDEX('Inventory - P12'!$I$16:$I$27,(INT((X13-1)/4)+1)))</f>
        <v/>
      </c>
      <c r="H13" s="7" t="str">
        <f t="array" ref="H13">IF(X13="","",INDEX('Inventory - P12'!$J$16:$J$27,(INT((X13-1)/4)+1)))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P12'!$B$16:$B$27,(INT((X14-1)/4)+1))&amp;IF(INDEX('Inventory - P12'!$C$16:$C$27,(INT((X14-1)/4)+1))="",""," ("&amp;INDEX('Inventory - P12'!$C$16:$C$27,(INT((X14-1)/4)+1))&amp;" mg)"))</f>
        <v/>
      </c>
      <c r="D14" s="7" t="str">
        <f t="array" ref="D14">IF(X14="","",INDEX('Inventory - P12'!$K$16:$K$27,(INT((X14-1)/4)+1))-SUMPRODUCT(($B$10:$B$61=B14)*(($I$10:$I$61&lt;&gt;"")+($K$10:$K$61&lt;&gt;"")+($M$10:$M$61&lt;&gt;"")+($O$10:$O$61&lt;&gt;"")+($Q$10:$Q$61&lt;&gt;"")+($S$10:$S$61&lt;&gt;"")+($U$10:$U$61&lt;&gt;""))))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P12'!$D$16:$D$27,(INT((X14-1)/4)+1)))</f>
        <v/>
      </c>
      <c r="F14" s="7" t="str">
        <f t="array" ref="F14">IF(X14="","",INDEX('Inventory - P12'!$E$16:$E$27,(INT((X14-1)/4)+1)))</f>
        <v/>
      </c>
      <c r="G14" s="7" t="str">
        <f t="array" ref="G14">IF(X14="","",INDEX('Inventory - P12'!$I$16:$I$27,(INT((X14-1)/4)+1)))</f>
        <v/>
      </c>
      <c r="H14" s="7" t="str">
        <f t="array" ref="H14">IF(X14="","",INDEX('Inventory - P12'!$J$16:$J$27,(INT((X14-1)/4)+1)))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P12'!$B$16:$B$27,(INT((X15-1)/4)+1))&amp;IF(INDEX('Inventory - P12'!$C$16:$C$27,(INT((X15-1)/4)+1))="",""," ("&amp;INDEX('Inventory - P12'!$C$16:$C$27,(INT((X15-1)/4)+1))&amp;" mg)"))</f>
        <v/>
      </c>
      <c r="D15" s="7" t="str">
        <f t="array" ref="D15">IF(X15="","",INDEX('Inventory - P12'!$K$16:$K$27,(INT((X15-1)/4)+1))-SUMPRODUCT(($B$10:$B$61=B15)*(($I$10:$I$61&lt;&gt;"")+($K$10:$K$61&lt;&gt;"")+($M$10:$M$61&lt;&gt;"")+($O$10:$O$61&lt;&gt;"")+($Q$10:$Q$61&lt;&gt;"")+($S$10:$S$61&lt;&gt;"")+($U$10:$U$61&lt;&gt;""))))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P12'!$D$16:$D$27,(INT((X15-1)/4)+1)))</f>
        <v/>
      </c>
      <c r="F15" s="7" t="str">
        <f t="array" ref="F15">IF(X15="","",INDEX('Inventory - P12'!$E$16:$E$27,(INT((X15-1)/4)+1)))</f>
        <v/>
      </c>
      <c r="G15" s="7" t="str">
        <f t="array" ref="G15">IF(X15="","",INDEX('Inventory - P12'!$I$16:$I$27,(INT((X15-1)/4)+1)))</f>
        <v/>
      </c>
      <c r="H15" s="7" t="str">
        <f t="array" ref="H15">IF(X15="","",INDEX('Inventory - P12'!$J$16:$J$27,(INT((X15-1)/4)+1)))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P12'!$B$16:$B$27,(INT((X16-1)/4)+1))&amp;IF(INDEX('Inventory - P12'!$C$16:$C$27,(INT((X16-1)/4)+1))="",""," ("&amp;INDEX('Inventory - P12'!$C$16:$C$27,(INT((X16-1)/4)+1))&amp;" mg)"))</f>
        <v/>
      </c>
      <c r="D16" s="7" t="str">
        <f t="array" ref="D16">IF(X16="","",INDEX('Inventory - P12'!$K$16:$K$27,(INT((X16-1)/4)+1))-SUMPRODUCT(($B$10:$B$61=B16)*(($I$10:$I$61&lt;&gt;"")+($K$10:$K$61&lt;&gt;"")+($M$10:$M$61&lt;&gt;"")+($O$10:$O$61&lt;&gt;"")+($Q$10:$Q$61&lt;&gt;"")+($S$10:$S$61&lt;&gt;"")+($U$10:$U$61&lt;&gt;""))))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P12'!$D$16:$D$27,(INT((X16-1)/4)+1)))</f>
        <v/>
      </c>
      <c r="F16" s="7" t="str">
        <f t="array" ref="F16">IF(X16="","",INDEX('Inventory - P12'!$E$16:$E$27,(INT((X16-1)/4)+1)))</f>
        <v/>
      </c>
      <c r="G16" s="7" t="str">
        <f t="array" ref="G16">IF(X16="","",INDEX('Inventory - P12'!$I$16:$I$27,(INT((X16-1)/4)+1)))</f>
        <v/>
      </c>
      <c r="H16" s="7" t="str">
        <f t="array" ref="H16">IF(X16="","",INDEX('Inventory - P12'!$J$16:$J$27,(INT((X16-1)/4)+1)))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P12'!$B$16:$B$27,(INT((X17-1)/4)+1))&amp;IF(INDEX('Inventory - P12'!$C$16:$C$27,(INT((X17-1)/4)+1))="",""," ("&amp;INDEX('Inventory - P12'!$C$16:$C$27,(INT((X17-1)/4)+1))&amp;" mg)"))</f>
        <v/>
      </c>
      <c r="D17" s="7" t="str">
        <f t="array" ref="D17">IF(X17="","",INDEX('Inventory - P12'!$K$16:$K$27,(INT((X17-1)/4)+1))-SUMPRODUCT(($B$10:$B$61=B17)*(($I$10:$I$61&lt;&gt;"")+($K$10:$K$61&lt;&gt;"")+($M$10:$M$61&lt;&gt;"")+($O$10:$O$61&lt;&gt;"")+($Q$10:$Q$61&lt;&gt;"")+($S$10:$S$61&lt;&gt;"")+($U$10:$U$61&lt;&gt;""))))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P12'!$D$16:$D$27,(INT((X17-1)/4)+1)))</f>
        <v/>
      </c>
      <c r="F17" s="7" t="str">
        <f t="array" ref="F17">IF(X17="","",INDEX('Inventory - P12'!$E$16:$E$27,(INT((X17-1)/4)+1)))</f>
        <v/>
      </c>
      <c r="G17" s="7" t="str">
        <f t="array" ref="G17">IF(X17="","",INDEX('Inventory - P12'!$I$16:$I$27,(INT((X17-1)/4)+1)))</f>
        <v/>
      </c>
      <c r="H17" s="7" t="str">
        <f t="array" ref="H17">IF(X17="","",INDEX('Inventory - P12'!$J$16:$J$27,(INT((X17-1)/4)+1)))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P12'!$B$16:$B$27,(INT((X18-1)/4)+1))&amp;IF(INDEX('Inventory - P12'!$C$16:$C$27,(INT((X18-1)/4)+1))="",""," ("&amp;INDEX('Inventory - P12'!$C$16:$C$27,(INT((X18-1)/4)+1))&amp;" mg)"))</f>
        <v/>
      </c>
      <c r="D18" s="7" t="str">
        <f t="array" ref="D18">IF(X18="","",INDEX('Inventory - P12'!$K$16:$K$27,(INT((X18-1)/4)+1))-SUMPRODUCT(($B$10:$B$61=B18)*(($I$10:$I$61&lt;&gt;"")+($K$10:$K$61&lt;&gt;"")+($M$10:$M$61&lt;&gt;"")+($O$10:$O$61&lt;&gt;"")+($Q$10:$Q$61&lt;&gt;"")+($S$10:$S$61&lt;&gt;"")+($U$10:$U$61&lt;&gt;""))))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P12'!$D$16:$D$27,(INT((X18-1)/4)+1)))</f>
        <v/>
      </c>
      <c r="F18" s="7" t="str">
        <f t="array" ref="F18">IF(X18="","",INDEX('Inventory - P12'!$E$16:$E$27,(INT((X18-1)/4)+1)))</f>
        <v/>
      </c>
      <c r="G18" s="7" t="str">
        <f t="array" ref="G18">IF(X18="","",INDEX('Inventory - P12'!$I$16:$I$27,(INT((X18-1)/4)+1)))</f>
        <v/>
      </c>
      <c r="H18" s="7" t="str">
        <f t="array" ref="H18">IF(X18="","",INDEX('Inventory - P12'!$J$16:$J$27,(INT((X18-1)/4)+1)))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P12'!$B$16:$B$27,(INT((X19-1)/4)+1))&amp;IF(INDEX('Inventory - P12'!$C$16:$C$27,(INT((X19-1)/4)+1))="",""," ("&amp;INDEX('Inventory - P12'!$C$16:$C$27,(INT((X19-1)/4)+1))&amp;" mg)"))</f>
        <v/>
      </c>
      <c r="D19" s="7" t="str">
        <f t="array" ref="D19">IF(X19="","",INDEX('Inventory - P12'!$K$16:$K$27,(INT((X19-1)/4)+1))-SUMPRODUCT(($B$10:$B$61=B19)*(($I$10:$I$61&lt;&gt;"")+($K$10:$K$61&lt;&gt;"")+($M$10:$M$61&lt;&gt;"")+($O$10:$O$61&lt;&gt;"")+($Q$10:$Q$61&lt;&gt;"")+($S$10:$S$61&lt;&gt;"")+($U$10:$U$61&lt;&gt;""))))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P12'!$D$16:$D$27,(INT((X19-1)/4)+1)))</f>
        <v/>
      </c>
      <c r="F19" s="7" t="str">
        <f t="array" ref="F19">IF(X19="","",INDEX('Inventory - P12'!$E$16:$E$27,(INT((X19-1)/4)+1)))</f>
        <v/>
      </c>
      <c r="G19" s="7" t="str">
        <f t="array" ref="G19">IF(X19="","",INDEX('Inventory - P12'!$I$16:$I$27,(INT((X19-1)/4)+1)))</f>
        <v/>
      </c>
      <c r="H19" s="7" t="str">
        <f t="array" ref="H19">IF(X19="","",INDEX('Inventory - P12'!$J$16:$J$27,(INT((X19-1)/4)+1)))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P12'!$B$16:$B$27,(INT((X20-1)/4)+1))&amp;IF(INDEX('Inventory - P12'!$C$16:$C$27,(INT((X20-1)/4)+1))="",""," ("&amp;INDEX('Inventory - P12'!$C$16:$C$27,(INT((X20-1)/4)+1))&amp;" mg)"))</f>
        <v/>
      </c>
      <c r="D20" s="7" t="str">
        <f t="array" ref="D20">IF(X20="","",INDEX('Inventory - P12'!$K$16:$K$27,(INT((X20-1)/4)+1))-SUMPRODUCT(($B$10:$B$61=B20)*(($I$10:$I$61&lt;&gt;"")+($K$10:$K$61&lt;&gt;"")+($M$10:$M$61&lt;&gt;"")+($O$10:$O$61&lt;&gt;"")+($Q$10:$Q$61&lt;&gt;"")+($S$10:$S$61&lt;&gt;"")+($U$10:$U$61&lt;&gt;""))))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P12'!$D$16:$D$27,(INT((X20-1)/4)+1)))</f>
        <v/>
      </c>
      <c r="F20" s="7" t="str">
        <f t="array" ref="F20">IF(X20="","",INDEX('Inventory - P12'!$E$16:$E$27,(INT((X20-1)/4)+1)))</f>
        <v/>
      </c>
      <c r="G20" s="7" t="str">
        <f t="array" ref="G20">IF(X20="","",INDEX('Inventory - P12'!$I$16:$I$27,(INT((X20-1)/4)+1)))</f>
        <v/>
      </c>
      <c r="H20" s="7" t="str">
        <f t="array" ref="H20">IF(X20="","",INDEX('Inventory - P12'!$J$16:$J$27,(INT((X20-1)/4)+1)))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P12'!$B$16:$B$27,(INT((X21-1)/4)+1))&amp;IF(INDEX('Inventory - P12'!$C$16:$C$27,(INT((X21-1)/4)+1))="",""," ("&amp;INDEX('Inventory - P12'!$C$16:$C$27,(INT((X21-1)/4)+1))&amp;" mg)"))</f>
        <v/>
      </c>
      <c r="D21" s="7" t="str">
        <f t="array" ref="D21">IF(X21="","",INDEX('Inventory - P12'!$K$16:$K$27,(INT((X21-1)/4)+1))-SUMPRODUCT(($B$10:$B$61=B21)*(($I$10:$I$61&lt;&gt;"")+($K$10:$K$61&lt;&gt;"")+($M$10:$M$61&lt;&gt;"")+($O$10:$O$61&lt;&gt;"")+($Q$10:$Q$61&lt;&gt;"")+($S$10:$S$61&lt;&gt;"")+($U$10:$U$61&lt;&gt;""))))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P12'!$D$16:$D$27,(INT((X21-1)/4)+1)))</f>
        <v/>
      </c>
      <c r="F21" s="7" t="str">
        <f t="array" ref="F21">IF(X21="","",INDEX('Inventory - P12'!$E$16:$E$27,(INT((X21-1)/4)+1)))</f>
        <v/>
      </c>
      <c r="G21" s="7" t="str">
        <f t="array" ref="G21">IF(X21="","",INDEX('Inventory - P12'!$I$16:$I$27,(INT((X21-1)/4)+1)))</f>
        <v/>
      </c>
      <c r="H21" s="7" t="str">
        <f t="array" ref="H21">IF(X21="","",INDEX('Inventory - P12'!$J$16:$J$27,(INT((X21-1)/4)+1)))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P12'!$B$16:$B$27,(INT((X22-1)/4)+1))&amp;IF(INDEX('Inventory - P12'!$C$16:$C$27,(INT((X22-1)/4)+1))="",""," ("&amp;INDEX('Inventory - P12'!$C$16:$C$27,(INT((X22-1)/4)+1))&amp;" mg)"))</f>
        <v/>
      </c>
      <c r="D22" s="7" t="str">
        <f t="array" ref="D22">IF(X22="","",INDEX('Inventory - P12'!$K$16:$K$27,(INT((X22-1)/4)+1))-SUMPRODUCT(($B$10:$B$61=B22)*(($I$10:$I$61&lt;&gt;"")+($K$10:$K$61&lt;&gt;"")+($M$10:$M$61&lt;&gt;"")+($O$10:$O$61&lt;&gt;"")+($Q$10:$Q$61&lt;&gt;"")+($S$10:$S$61&lt;&gt;"")+($U$10:$U$61&lt;&gt;""))))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P12'!$D$16:$D$27,(INT((X22-1)/4)+1)))</f>
        <v/>
      </c>
      <c r="F22" s="7" t="str">
        <f t="array" ref="F22">IF(X22="","",INDEX('Inventory - P12'!$E$16:$E$27,(INT((X22-1)/4)+1)))</f>
        <v/>
      </c>
      <c r="G22" s="7" t="str">
        <f t="array" ref="G22">IF(X22="","",INDEX('Inventory - P12'!$I$16:$I$27,(INT((X22-1)/4)+1)))</f>
        <v/>
      </c>
      <c r="H22" s="7" t="str">
        <f t="array" ref="H22">IF(X22="","",INDEX('Inventory - P12'!$J$16:$J$27,(INT((X22-1)/4)+1)))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P12'!$B$16:$B$27,(INT((X24-1)/4)+1))&amp;IF(INDEX('Inventory - P12'!$C$16:$C$27,(INT((X24-1)/4)+1))="",""," ("&amp;INDEX('Inventory - P12'!$C$16:$C$27,(INT((X24-1)/4)+1))&amp;" mg)"))</f>
        <v/>
      </c>
      <c r="D24" s="7" t="str">
        <f t="array" ref="D24">IF(X24="","",INDEX('Inventory - P12'!$K$16:$K$27,(INT((X24-1)/4)+1))-SUMPRODUCT(($B$10:$B$61=B24)*(($I$10:$I$61&lt;&gt;"")+($K$10:$K$61&lt;&gt;"")+($M$10:$M$61&lt;&gt;"")+($O$10:$O$61&lt;&gt;"")+($Q$10:$Q$61&lt;&gt;"")+($S$10:$S$61&lt;&gt;"")+($U$10:$U$61&lt;&gt;""))))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P12'!$D$16:$D$27,(INT((X24-1)/4)+1)))</f>
        <v/>
      </c>
      <c r="F24" s="7" t="str">
        <f t="array" ref="F24">IF(X24="","",INDEX('Inventory - P12'!$E$16:$E$27,(INT((X24-1)/4)+1)))</f>
        <v/>
      </c>
      <c r="G24" s="7" t="str">
        <f t="array" ref="G24">IF(X24="","",INDEX('Inventory - P12'!$I$16:$I$27,(INT((X24-1)/4)+1)))</f>
        <v/>
      </c>
      <c r="H24" s="7" t="str">
        <f t="array" ref="H24">IF(X24="","",INDEX('Inventory - P12'!$J$16:$J$27,(INT((X24-1)/4)+1)))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P12'!$B$16:$B$27,(INT((X25-1)/4)+1))&amp;IF(INDEX('Inventory - P12'!$C$16:$C$27,(INT((X25-1)/4)+1))="",""," ("&amp;INDEX('Inventory - P12'!$C$16:$C$27,(INT((X25-1)/4)+1))&amp;" mg)"))</f>
        <v/>
      </c>
      <c r="D25" s="7" t="str">
        <f t="array" ref="D25">IF(X25="","",INDEX('Inventory - P12'!$K$16:$K$27,(INT((X25-1)/4)+1))-SUMPRODUCT(($B$10:$B$61=B25)*(($I$10:$I$61&lt;&gt;"")+($K$10:$K$61&lt;&gt;"")+($M$10:$M$61&lt;&gt;"")+($O$10:$O$61&lt;&gt;"")+($Q$10:$Q$61&lt;&gt;"")+($S$10:$S$61&lt;&gt;"")+($U$10:$U$61&lt;&gt;""))))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P12'!$D$16:$D$27,(INT((X25-1)/4)+1)))</f>
        <v/>
      </c>
      <c r="F25" s="7" t="str">
        <f t="array" ref="F25">IF(X25="","",INDEX('Inventory - P12'!$E$16:$E$27,(INT((X25-1)/4)+1)))</f>
        <v/>
      </c>
      <c r="G25" s="7" t="str">
        <f t="array" ref="G25">IF(X25="","",INDEX('Inventory - P12'!$I$16:$I$27,(INT((X25-1)/4)+1)))</f>
        <v/>
      </c>
      <c r="H25" s="7" t="str">
        <f t="array" ref="H25">IF(X25="","",INDEX('Inventory - P12'!$J$16:$J$27,(INT((X25-1)/4)+1)))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P12'!$B$16:$B$27,(INT((X26-1)/4)+1))&amp;IF(INDEX('Inventory - P12'!$C$16:$C$27,(INT((X26-1)/4)+1))="",""," ("&amp;INDEX('Inventory - P12'!$C$16:$C$27,(INT((X26-1)/4)+1))&amp;" mg)"))</f>
        <v/>
      </c>
      <c r="D26" s="7" t="str">
        <f t="array" ref="D26">IF(X26="","",INDEX('Inventory - P12'!$K$16:$K$27,(INT((X26-1)/4)+1))-SUMPRODUCT(($B$10:$B$61=B26)*(($I$10:$I$61&lt;&gt;"")+($K$10:$K$61&lt;&gt;"")+($M$10:$M$61&lt;&gt;"")+($O$10:$O$61&lt;&gt;"")+($Q$10:$Q$61&lt;&gt;"")+($S$10:$S$61&lt;&gt;"")+($U$10:$U$61&lt;&gt;""))))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P12'!$D$16:$D$27,(INT((X26-1)/4)+1)))</f>
        <v/>
      </c>
      <c r="F26" s="7" t="str">
        <f t="array" ref="F26">IF(X26="","",INDEX('Inventory - P12'!$E$16:$E$27,(INT((X26-1)/4)+1)))</f>
        <v/>
      </c>
      <c r="G26" s="7" t="str">
        <f t="array" ref="G26">IF(X26="","",INDEX('Inventory - P12'!$I$16:$I$27,(INT((X26-1)/4)+1)))</f>
        <v/>
      </c>
      <c r="H26" s="7" t="str">
        <f t="array" ref="H26">IF(X26="","",INDEX('Inventory - P12'!$J$16:$J$27,(INT((X26-1)/4)+1)))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P12'!$B$16:$B$27,(INT((X27-1)/4)+1))&amp;IF(INDEX('Inventory - P12'!$C$16:$C$27,(INT((X27-1)/4)+1))="",""," ("&amp;INDEX('Inventory - P12'!$C$16:$C$27,(INT((X27-1)/4)+1))&amp;" mg)"))</f>
        <v/>
      </c>
      <c r="D27" s="7" t="str">
        <f t="array" ref="D27">IF(X27="","",INDEX('Inventory - P12'!$K$16:$K$27,(INT((X27-1)/4)+1))-SUMPRODUCT(($B$10:$B$61=B27)*(($I$10:$I$61&lt;&gt;"")+($K$10:$K$61&lt;&gt;"")+($M$10:$M$61&lt;&gt;"")+($O$10:$O$61&lt;&gt;"")+($Q$10:$Q$61&lt;&gt;"")+($S$10:$S$61&lt;&gt;"")+($U$10:$U$61&lt;&gt;""))))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P12'!$D$16:$D$27,(INT((X27-1)/4)+1)))</f>
        <v/>
      </c>
      <c r="F27" s="7" t="str">
        <f t="array" ref="F27">IF(X27="","",INDEX('Inventory - P12'!$E$16:$E$27,(INT((X27-1)/4)+1)))</f>
        <v/>
      </c>
      <c r="G27" s="7" t="str">
        <f t="array" ref="G27">IF(X27="","",INDEX('Inventory - P12'!$I$16:$I$27,(INT((X27-1)/4)+1)))</f>
        <v/>
      </c>
      <c r="H27" s="7" t="str">
        <f t="array" ref="H27">IF(X27="","",INDEX('Inventory - P12'!$J$16:$J$27,(INT((X27-1)/4)+1)))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P12'!$B$16:$B$27,(INT((X28-1)/4)+1))&amp;IF(INDEX('Inventory - P12'!$C$16:$C$27,(INT((X28-1)/4)+1))="",""," ("&amp;INDEX('Inventory - P12'!$C$16:$C$27,(INT((X28-1)/4)+1))&amp;" mg)"))</f>
        <v/>
      </c>
      <c r="D28" s="7" t="str">
        <f t="array" ref="D28">IF(X28="","",INDEX('Inventory - P12'!$K$16:$K$27,(INT((X28-1)/4)+1))-SUMPRODUCT(($B$10:$B$61=B28)*(($I$10:$I$61&lt;&gt;"")+($K$10:$K$61&lt;&gt;"")+($M$10:$M$61&lt;&gt;"")+($O$10:$O$61&lt;&gt;"")+($Q$10:$Q$61&lt;&gt;"")+($S$10:$S$61&lt;&gt;"")+($U$10:$U$61&lt;&gt;""))))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P12'!$D$16:$D$27,(INT((X28-1)/4)+1)))</f>
        <v/>
      </c>
      <c r="F28" s="7" t="str">
        <f t="array" ref="F28">IF(X28="","",INDEX('Inventory - P12'!$E$16:$E$27,(INT((X28-1)/4)+1)))</f>
        <v/>
      </c>
      <c r="G28" s="7" t="str">
        <f t="array" ref="G28">IF(X28="","",INDEX('Inventory - P12'!$I$16:$I$27,(INT((X28-1)/4)+1)))</f>
        <v/>
      </c>
      <c r="H28" s="7" t="str">
        <f t="array" ref="H28">IF(X28="","",INDEX('Inventory - P12'!$J$16:$J$27,(INT((X28-1)/4)+1)))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P12'!$B$16:$B$27,(INT((X29-1)/4)+1))&amp;IF(INDEX('Inventory - P12'!$C$16:$C$27,(INT((X29-1)/4)+1))="",""," ("&amp;INDEX('Inventory - P12'!$C$16:$C$27,(INT((X29-1)/4)+1))&amp;" mg)"))</f>
        <v/>
      </c>
      <c r="D29" s="7" t="str">
        <f t="array" ref="D29">IF(X29="","",INDEX('Inventory - P12'!$K$16:$K$27,(INT((X29-1)/4)+1))-SUMPRODUCT(($B$10:$B$61=B29)*(($I$10:$I$61&lt;&gt;"")+($K$10:$K$61&lt;&gt;"")+($M$10:$M$61&lt;&gt;"")+($O$10:$O$61&lt;&gt;"")+($Q$10:$Q$61&lt;&gt;"")+($S$10:$S$61&lt;&gt;"")+($U$10:$U$61&lt;&gt;""))))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P12'!$D$16:$D$27,(INT((X29-1)/4)+1)))</f>
        <v/>
      </c>
      <c r="F29" s="7" t="str">
        <f t="array" ref="F29">IF(X29="","",INDEX('Inventory - P12'!$E$16:$E$27,(INT((X29-1)/4)+1)))</f>
        <v/>
      </c>
      <c r="G29" s="7" t="str">
        <f t="array" ref="G29">IF(X29="","",INDEX('Inventory - P12'!$I$16:$I$27,(INT((X29-1)/4)+1)))</f>
        <v/>
      </c>
      <c r="H29" s="7" t="str">
        <f t="array" ref="H29">IF(X29="","",INDEX('Inventory - P12'!$J$16:$J$27,(INT((X29-1)/4)+1)))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P12'!$B$16:$B$27,(INT((X30-1)/4)+1))&amp;IF(INDEX('Inventory - P12'!$C$16:$C$27,(INT((X30-1)/4)+1))="",""," ("&amp;INDEX('Inventory - P12'!$C$16:$C$27,(INT((X30-1)/4)+1))&amp;" mg)"))</f>
        <v/>
      </c>
      <c r="D30" s="7" t="str">
        <f t="array" ref="D30">IF(X30="","",INDEX('Inventory - P12'!$K$16:$K$27,(INT((X30-1)/4)+1))-SUMPRODUCT(($B$10:$B$61=B30)*(($I$10:$I$61&lt;&gt;"")+($K$10:$K$61&lt;&gt;"")+($M$10:$M$61&lt;&gt;"")+($O$10:$O$61&lt;&gt;"")+($Q$10:$Q$61&lt;&gt;"")+($S$10:$S$61&lt;&gt;"")+($U$10:$U$61&lt;&gt;""))))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P12'!$D$16:$D$27,(INT((X30-1)/4)+1)))</f>
        <v/>
      </c>
      <c r="F30" s="7" t="str">
        <f t="array" ref="F30">IF(X30="","",INDEX('Inventory - P12'!$E$16:$E$27,(INT((X30-1)/4)+1)))</f>
        <v/>
      </c>
      <c r="G30" s="7" t="str">
        <f t="array" ref="G30">IF(X30="","",INDEX('Inventory - P12'!$I$16:$I$27,(INT((X30-1)/4)+1)))</f>
        <v/>
      </c>
      <c r="H30" s="7" t="str">
        <f t="array" ref="H30">IF(X30="","",INDEX('Inventory - P12'!$J$16:$J$27,(INT((X30-1)/4)+1)))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P12'!$B$16:$B$27,(INT((X31-1)/4)+1))&amp;IF(INDEX('Inventory - P12'!$C$16:$C$27,(INT((X31-1)/4)+1))="",""," ("&amp;INDEX('Inventory - P12'!$C$16:$C$27,(INT((X31-1)/4)+1))&amp;" mg)"))</f>
        <v/>
      </c>
      <c r="D31" s="7" t="str">
        <f t="array" ref="D31">IF(X31="","",INDEX('Inventory - P12'!$K$16:$K$27,(INT((X31-1)/4)+1))-SUMPRODUCT(($B$10:$B$61=B31)*(($I$10:$I$61&lt;&gt;"")+($K$10:$K$61&lt;&gt;"")+($M$10:$M$61&lt;&gt;"")+($O$10:$O$61&lt;&gt;"")+($Q$10:$Q$61&lt;&gt;"")+($S$10:$S$61&lt;&gt;"")+($U$10:$U$61&lt;&gt;""))))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P12'!$D$16:$D$27,(INT((X31-1)/4)+1)))</f>
        <v/>
      </c>
      <c r="F31" s="7" t="str">
        <f t="array" ref="F31">IF(X31="","",INDEX('Inventory - P12'!$E$16:$E$27,(INT((X31-1)/4)+1)))</f>
        <v/>
      </c>
      <c r="G31" s="7" t="str">
        <f t="array" ref="G31">IF(X31="","",INDEX('Inventory - P12'!$I$16:$I$27,(INT((X31-1)/4)+1)))</f>
        <v/>
      </c>
      <c r="H31" s="7" t="str">
        <f t="array" ref="H31">IF(X31="","",INDEX('Inventory - P12'!$J$16:$J$27,(INT((X31-1)/4)+1)))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P12'!$B$16:$B$27,(INT((X32-1)/4)+1))&amp;IF(INDEX('Inventory - P12'!$C$16:$C$27,(INT((X32-1)/4)+1))="",""," ("&amp;INDEX('Inventory - P12'!$C$16:$C$27,(INT((X32-1)/4)+1))&amp;" mg)"))</f>
        <v/>
      </c>
      <c r="D32" s="7" t="str">
        <f t="array" ref="D32">IF(X32="","",INDEX('Inventory - P12'!$K$16:$K$27,(INT((X32-1)/4)+1))-SUMPRODUCT(($B$10:$B$61=B32)*(($I$10:$I$61&lt;&gt;"")+($K$10:$K$61&lt;&gt;"")+($M$10:$M$61&lt;&gt;"")+($O$10:$O$61&lt;&gt;"")+($Q$10:$Q$61&lt;&gt;"")+($S$10:$S$61&lt;&gt;"")+($U$10:$U$61&lt;&gt;""))))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P12'!$D$16:$D$27,(INT((X32-1)/4)+1)))</f>
        <v/>
      </c>
      <c r="F32" s="7" t="str">
        <f t="array" ref="F32">IF(X32="","",INDEX('Inventory - P12'!$E$16:$E$27,(INT((X32-1)/4)+1)))</f>
        <v/>
      </c>
      <c r="G32" s="7" t="str">
        <f t="array" ref="G32">IF(X32="","",INDEX('Inventory - P12'!$I$16:$I$27,(INT((X32-1)/4)+1)))</f>
        <v/>
      </c>
      <c r="H32" s="7" t="str">
        <f t="array" ref="H32">IF(X32="","",INDEX('Inventory - P12'!$J$16:$J$27,(INT((X32-1)/4)+1)))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P12'!$B$16:$B$27,(INT((X33-1)/4)+1))&amp;IF(INDEX('Inventory - P12'!$C$16:$C$27,(INT((X33-1)/4)+1))="",""," ("&amp;INDEX('Inventory - P12'!$C$16:$C$27,(INT((X33-1)/4)+1))&amp;" mg)"))</f>
        <v/>
      </c>
      <c r="D33" s="7" t="str">
        <f t="array" ref="D33">IF(X33="","",INDEX('Inventory - P12'!$K$16:$K$27,(INT((X33-1)/4)+1))-SUMPRODUCT(($B$10:$B$61=B33)*(($I$10:$I$61&lt;&gt;"")+($K$10:$K$61&lt;&gt;"")+($M$10:$M$61&lt;&gt;"")+($O$10:$O$61&lt;&gt;"")+($Q$10:$Q$61&lt;&gt;"")+($S$10:$S$61&lt;&gt;"")+($U$10:$U$61&lt;&gt;""))))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P12'!$D$16:$D$27,(INT((X33-1)/4)+1)))</f>
        <v/>
      </c>
      <c r="F33" s="7" t="str">
        <f t="array" ref="F33">IF(X33="","",INDEX('Inventory - P12'!$E$16:$E$27,(INT((X33-1)/4)+1)))</f>
        <v/>
      </c>
      <c r="G33" s="7" t="str">
        <f t="array" ref="G33">IF(X33="","",INDEX('Inventory - P12'!$I$16:$I$27,(INT((X33-1)/4)+1)))</f>
        <v/>
      </c>
      <c r="H33" s="7" t="str">
        <f t="array" ref="H33">IF(X33="","",INDEX('Inventory - P12'!$J$16:$J$27,(INT((X33-1)/4)+1)))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P12'!$B$16:$B$27,(INT((X34-1)/4)+1))&amp;IF(INDEX('Inventory - P12'!$C$16:$C$27,(INT((X34-1)/4)+1))="",""," ("&amp;INDEX('Inventory - P12'!$C$16:$C$27,(INT((X34-1)/4)+1))&amp;" mg)"))</f>
        <v/>
      </c>
      <c r="D34" s="7" t="str">
        <f t="array" ref="D34">IF(X34="","",INDEX('Inventory - P12'!$K$16:$K$27,(INT((X34-1)/4)+1))-SUMPRODUCT(($B$10:$B$61=B34)*(($I$10:$I$61&lt;&gt;"")+($K$10:$K$61&lt;&gt;"")+($M$10:$M$61&lt;&gt;"")+($O$10:$O$61&lt;&gt;"")+($Q$10:$Q$61&lt;&gt;"")+($S$10:$S$61&lt;&gt;"")+($U$10:$U$61&lt;&gt;""))))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P12'!$D$16:$D$27,(INT((X34-1)/4)+1)))</f>
        <v/>
      </c>
      <c r="F34" s="7" t="str">
        <f t="array" ref="F34">IF(X34="","",INDEX('Inventory - P12'!$E$16:$E$27,(INT((X34-1)/4)+1)))</f>
        <v/>
      </c>
      <c r="G34" s="7" t="str">
        <f t="array" ref="G34">IF(X34="","",INDEX('Inventory - P12'!$I$16:$I$27,(INT((X34-1)/4)+1)))</f>
        <v/>
      </c>
      <c r="H34" s="7" t="str">
        <f t="array" ref="H34">IF(X34="","",INDEX('Inventory - P12'!$J$16:$J$27,(INT((X34-1)/4)+1)))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P12'!$B$16:$B$27,(INT((X35-1)/4)+1))&amp;IF(INDEX('Inventory - P12'!$C$16:$C$27,(INT((X35-1)/4)+1))="",""," ("&amp;INDEX('Inventory - P12'!$C$16:$C$27,(INT((X35-1)/4)+1))&amp;" mg)"))</f>
        <v/>
      </c>
      <c r="D35" s="7" t="str">
        <f t="array" ref="D35">IF(X35="","",INDEX('Inventory - P12'!$K$16:$K$27,(INT((X35-1)/4)+1))-SUMPRODUCT(($B$10:$B$61=B35)*(($I$10:$I$61&lt;&gt;"")+($K$10:$K$61&lt;&gt;"")+($M$10:$M$61&lt;&gt;"")+($O$10:$O$61&lt;&gt;"")+($Q$10:$Q$61&lt;&gt;"")+($S$10:$S$61&lt;&gt;"")+($U$10:$U$61&lt;&gt;""))))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P12'!$D$16:$D$27,(INT((X35-1)/4)+1)))</f>
        <v/>
      </c>
      <c r="F35" s="7" t="str">
        <f t="array" ref="F35">IF(X35="","",INDEX('Inventory - P12'!$E$16:$E$27,(INT((X35-1)/4)+1)))</f>
        <v/>
      </c>
      <c r="G35" s="7" t="str">
        <f t="array" ref="G35">IF(X35="","",INDEX('Inventory - P12'!$I$16:$I$27,(INT((X35-1)/4)+1)))</f>
        <v/>
      </c>
      <c r="H35" s="7" t="str">
        <f t="array" ref="H35">IF(X35="","",INDEX('Inventory - P12'!$J$16:$J$27,(INT((X35-1)/4)+1)))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P12'!$B$16:$B$27,(INT((X37-1)/4)+1))&amp;IF(INDEX('Inventory - P12'!$C$16:$C$27,(INT((X37-1)/4)+1))="",""," ("&amp;INDEX('Inventory - P12'!$C$16:$C$27,(INT((X37-1)/4)+1))&amp;" mg)"))</f>
        <v/>
      </c>
      <c r="D37" s="7" t="str">
        <f t="array" ref="D37">IF(X37="","",INDEX('Inventory - P12'!$K$16:$K$27,(INT((X37-1)/4)+1))-SUMPRODUCT(($B$10:$B$61=B37)*(($I$10:$I$61&lt;&gt;"")+($K$10:$K$61&lt;&gt;"")+($M$10:$M$61&lt;&gt;"")+($O$10:$O$61&lt;&gt;"")+($Q$10:$Q$61&lt;&gt;"")+($S$10:$S$61&lt;&gt;"")+($U$10:$U$61&lt;&gt;""))))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P12'!$D$16:$D$27,(INT((X37-1)/4)+1)))</f>
        <v/>
      </c>
      <c r="F37" s="7" t="str">
        <f t="array" ref="F37">IF(X37="","",INDEX('Inventory - P12'!$E$16:$E$27,(INT((X37-1)/4)+1)))</f>
        <v/>
      </c>
      <c r="G37" s="7" t="str">
        <f t="array" ref="G37">IF(X37="","",INDEX('Inventory - P12'!$I$16:$I$27,(INT((X37-1)/4)+1)))</f>
        <v/>
      </c>
      <c r="H37" s="7" t="str">
        <f t="array" ref="H37">IF(X37="","",INDEX('Inventory - P12'!$J$16:$J$27,(INT((X37-1)/4)+1)))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P12'!$B$16:$B$27,(INT((X38-1)/4)+1))&amp;IF(INDEX('Inventory - P12'!$C$16:$C$27,(INT((X38-1)/4)+1))="",""," ("&amp;INDEX('Inventory - P12'!$C$16:$C$27,(INT((X38-1)/4)+1))&amp;" mg)"))</f>
        <v/>
      </c>
      <c r="D38" s="7" t="str">
        <f t="array" ref="D38">IF(X38="","",INDEX('Inventory - P12'!$K$16:$K$27,(INT((X38-1)/4)+1))-SUMPRODUCT(($B$10:$B$61=B38)*(($I$10:$I$61&lt;&gt;"")+($K$10:$K$61&lt;&gt;"")+($M$10:$M$61&lt;&gt;"")+($O$10:$O$61&lt;&gt;"")+($Q$10:$Q$61&lt;&gt;"")+($S$10:$S$61&lt;&gt;"")+($U$10:$U$61&lt;&gt;""))))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P12'!$D$16:$D$27,(INT((X38-1)/4)+1)))</f>
        <v/>
      </c>
      <c r="F38" s="7" t="str">
        <f t="array" ref="F38">IF(X38="","",INDEX('Inventory - P12'!$E$16:$E$27,(INT((X38-1)/4)+1)))</f>
        <v/>
      </c>
      <c r="G38" s="7" t="str">
        <f t="array" ref="G38">IF(X38="","",INDEX('Inventory - P12'!$I$16:$I$27,(INT((X38-1)/4)+1)))</f>
        <v/>
      </c>
      <c r="H38" s="7" t="str">
        <f t="array" ref="H38">IF(X38="","",INDEX('Inventory - P12'!$J$16:$J$27,(INT((X38-1)/4)+1)))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P12'!$B$16:$B$27,(INT((X39-1)/4)+1))&amp;IF(INDEX('Inventory - P12'!$C$16:$C$27,(INT((X39-1)/4)+1))="",""," ("&amp;INDEX('Inventory - P12'!$C$16:$C$27,(INT((X39-1)/4)+1))&amp;" mg)"))</f>
        <v/>
      </c>
      <c r="D39" s="7" t="str">
        <f t="array" ref="D39">IF(X39="","",INDEX('Inventory - P12'!$K$16:$K$27,(INT((X39-1)/4)+1))-SUMPRODUCT(($B$10:$B$61=B39)*(($I$10:$I$61&lt;&gt;"")+($K$10:$K$61&lt;&gt;"")+($M$10:$M$61&lt;&gt;"")+($O$10:$O$61&lt;&gt;"")+($Q$10:$Q$61&lt;&gt;"")+($S$10:$S$61&lt;&gt;"")+($U$10:$U$61&lt;&gt;""))))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P12'!$D$16:$D$27,(INT((X39-1)/4)+1)))</f>
        <v/>
      </c>
      <c r="F39" s="7" t="str">
        <f t="array" ref="F39">IF(X39="","",INDEX('Inventory - P12'!$E$16:$E$27,(INT((X39-1)/4)+1)))</f>
        <v/>
      </c>
      <c r="G39" s="7" t="str">
        <f t="array" ref="G39">IF(X39="","",INDEX('Inventory - P12'!$I$16:$I$27,(INT((X39-1)/4)+1)))</f>
        <v/>
      </c>
      <c r="H39" s="7" t="str">
        <f t="array" ref="H39">IF(X39="","",INDEX('Inventory - P12'!$J$16:$J$27,(INT((X39-1)/4)+1)))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P12'!$B$16:$B$27,(INT((X40-1)/4)+1))&amp;IF(INDEX('Inventory - P12'!$C$16:$C$27,(INT((X40-1)/4)+1))="",""," ("&amp;INDEX('Inventory - P12'!$C$16:$C$27,(INT((X40-1)/4)+1))&amp;" mg)"))</f>
        <v/>
      </c>
      <c r="D40" s="7" t="str">
        <f t="array" ref="D40">IF(X40="","",INDEX('Inventory - P12'!$K$16:$K$27,(INT((X40-1)/4)+1))-SUMPRODUCT(($B$10:$B$61=B40)*(($I$10:$I$61&lt;&gt;"")+($K$10:$K$61&lt;&gt;"")+($M$10:$M$61&lt;&gt;"")+($O$10:$O$61&lt;&gt;"")+($Q$10:$Q$61&lt;&gt;"")+($S$10:$S$61&lt;&gt;"")+($U$10:$U$61&lt;&gt;""))))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P12'!$D$16:$D$27,(INT((X40-1)/4)+1)))</f>
        <v/>
      </c>
      <c r="F40" s="7" t="str">
        <f t="array" ref="F40">IF(X40="","",INDEX('Inventory - P12'!$E$16:$E$27,(INT((X40-1)/4)+1)))</f>
        <v/>
      </c>
      <c r="G40" s="7" t="str">
        <f t="array" ref="G40">IF(X40="","",INDEX('Inventory - P12'!$I$16:$I$27,(INT((X40-1)/4)+1)))</f>
        <v/>
      </c>
      <c r="H40" s="7" t="str">
        <f t="array" ref="H40">IF(X40="","",INDEX('Inventory - P12'!$J$16:$J$27,(INT((X40-1)/4)+1)))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P12'!$B$16:$B$27,(INT((X41-1)/4)+1))&amp;IF(INDEX('Inventory - P12'!$C$16:$C$27,(INT((X41-1)/4)+1))="",""," ("&amp;INDEX('Inventory - P12'!$C$16:$C$27,(INT((X41-1)/4)+1))&amp;" mg)"))</f>
        <v/>
      </c>
      <c r="D41" s="7" t="str">
        <f t="array" ref="D41">IF(X41="","",INDEX('Inventory - P12'!$K$16:$K$27,(INT((X41-1)/4)+1))-SUMPRODUCT(($B$10:$B$61=B41)*(($I$10:$I$61&lt;&gt;"")+($K$10:$K$61&lt;&gt;"")+($M$10:$M$61&lt;&gt;"")+($O$10:$O$61&lt;&gt;"")+($Q$10:$Q$61&lt;&gt;"")+($S$10:$S$61&lt;&gt;"")+($U$10:$U$61&lt;&gt;""))))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P12'!$D$16:$D$27,(INT((X41-1)/4)+1)))</f>
        <v/>
      </c>
      <c r="F41" s="7" t="str">
        <f t="array" ref="F41">IF(X41="","",INDEX('Inventory - P12'!$E$16:$E$27,(INT((X41-1)/4)+1)))</f>
        <v/>
      </c>
      <c r="G41" s="7" t="str">
        <f t="array" ref="G41">IF(X41="","",INDEX('Inventory - P12'!$I$16:$I$27,(INT((X41-1)/4)+1)))</f>
        <v/>
      </c>
      <c r="H41" s="7" t="str">
        <f t="array" ref="H41">IF(X41="","",INDEX('Inventory - P12'!$J$16:$J$27,(INT((X41-1)/4)+1)))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P12'!$B$16:$B$27,(INT((X42-1)/4)+1))&amp;IF(INDEX('Inventory - P12'!$C$16:$C$27,(INT((X42-1)/4)+1))="",""," ("&amp;INDEX('Inventory - P12'!$C$16:$C$27,(INT((X42-1)/4)+1))&amp;" mg)"))</f>
        <v/>
      </c>
      <c r="D42" s="7" t="str">
        <f t="array" ref="D42">IF(X42="","",INDEX('Inventory - P12'!$K$16:$K$27,(INT((X42-1)/4)+1))-SUMPRODUCT(($B$10:$B$61=B42)*(($I$10:$I$61&lt;&gt;"")+($K$10:$K$61&lt;&gt;"")+($M$10:$M$61&lt;&gt;"")+($O$10:$O$61&lt;&gt;"")+($Q$10:$Q$61&lt;&gt;"")+($S$10:$S$61&lt;&gt;"")+($U$10:$U$61&lt;&gt;""))))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P12'!$D$16:$D$27,(INT((X42-1)/4)+1)))</f>
        <v/>
      </c>
      <c r="F42" s="7" t="str">
        <f t="array" ref="F42">IF(X42="","",INDEX('Inventory - P12'!$E$16:$E$27,(INT((X42-1)/4)+1)))</f>
        <v/>
      </c>
      <c r="G42" s="7" t="str">
        <f t="array" ref="G42">IF(X42="","",INDEX('Inventory - P12'!$I$16:$I$27,(INT((X42-1)/4)+1)))</f>
        <v/>
      </c>
      <c r="H42" s="7" t="str">
        <f t="array" ref="H42">IF(X42="","",INDEX('Inventory - P12'!$J$16:$J$27,(INT((X42-1)/4)+1)))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P12'!$B$16:$B$27,(INT((X43-1)/4)+1))&amp;IF(INDEX('Inventory - P12'!$C$16:$C$27,(INT((X43-1)/4)+1))="",""," ("&amp;INDEX('Inventory - P12'!$C$16:$C$27,(INT((X43-1)/4)+1))&amp;" mg)"))</f>
        <v/>
      </c>
      <c r="D43" s="7" t="str">
        <f t="array" ref="D43">IF(X43="","",INDEX('Inventory - P12'!$K$16:$K$27,(INT((X43-1)/4)+1))-SUMPRODUCT(($B$10:$B$61=B43)*(($I$10:$I$61&lt;&gt;"")+($K$10:$K$61&lt;&gt;"")+($M$10:$M$61&lt;&gt;"")+($O$10:$O$61&lt;&gt;"")+($Q$10:$Q$61&lt;&gt;"")+($S$10:$S$61&lt;&gt;"")+($U$10:$U$61&lt;&gt;""))))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P12'!$D$16:$D$27,(INT((X43-1)/4)+1)))</f>
        <v/>
      </c>
      <c r="F43" s="7" t="str">
        <f t="array" ref="F43">IF(X43="","",INDEX('Inventory - P12'!$E$16:$E$27,(INT((X43-1)/4)+1)))</f>
        <v/>
      </c>
      <c r="G43" s="7" t="str">
        <f t="array" ref="G43">IF(X43="","",INDEX('Inventory - P12'!$I$16:$I$27,(INT((X43-1)/4)+1)))</f>
        <v/>
      </c>
      <c r="H43" s="7" t="str">
        <f t="array" ref="H43">IF(X43="","",INDEX('Inventory - P12'!$J$16:$J$27,(INT((X43-1)/4)+1)))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P12'!$B$16:$B$27,(INT((X44-1)/4)+1))&amp;IF(INDEX('Inventory - P12'!$C$16:$C$27,(INT((X44-1)/4)+1))="",""," ("&amp;INDEX('Inventory - P12'!$C$16:$C$27,(INT((X44-1)/4)+1))&amp;" mg)"))</f>
        <v/>
      </c>
      <c r="D44" s="7" t="str">
        <f t="array" ref="D44">IF(X44="","",INDEX('Inventory - P12'!$K$16:$K$27,(INT((X44-1)/4)+1))-SUMPRODUCT(($B$10:$B$61=B44)*(($I$10:$I$61&lt;&gt;"")+($K$10:$K$61&lt;&gt;"")+($M$10:$M$61&lt;&gt;"")+($O$10:$O$61&lt;&gt;"")+($Q$10:$Q$61&lt;&gt;"")+($S$10:$S$61&lt;&gt;"")+($U$10:$U$61&lt;&gt;""))))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P12'!$D$16:$D$27,(INT((X44-1)/4)+1)))</f>
        <v/>
      </c>
      <c r="F44" s="7" t="str">
        <f t="array" ref="F44">IF(X44="","",INDEX('Inventory - P12'!$E$16:$E$27,(INT((X44-1)/4)+1)))</f>
        <v/>
      </c>
      <c r="G44" s="7" t="str">
        <f t="array" ref="G44">IF(X44="","",INDEX('Inventory - P12'!$I$16:$I$27,(INT((X44-1)/4)+1)))</f>
        <v/>
      </c>
      <c r="H44" s="7" t="str">
        <f t="array" ref="H44">IF(X44="","",INDEX('Inventory - P12'!$J$16:$J$27,(INT((X44-1)/4)+1)))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P12'!$B$16:$B$27,(INT((X45-1)/4)+1))&amp;IF(INDEX('Inventory - P12'!$C$16:$C$27,(INT((X45-1)/4)+1))="",""," ("&amp;INDEX('Inventory - P12'!$C$16:$C$27,(INT((X45-1)/4)+1))&amp;" mg)"))</f>
        <v/>
      </c>
      <c r="D45" s="7" t="str">
        <f t="array" ref="D45">IF(X45="","",INDEX('Inventory - P12'!$K$16:$K$27,(INT((X45-1)/4)+1))-SUMPRODUCT(($B$10:$B$61=B45)*(($I$10:$I$61&lt;&gt;"")+($K$10:$K$61&lt;&gt;"")+($M$10:$M$61&lt;&gt;"")+($O$10:$O$61&lt;&gt;"")+($Q$10:$Q$61&lt;&gt;"")+($S$10:$S$61&lt;&gt;"")+($U$10:$U$61&lt;&gt;""))))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P12'!$D$16:$D$27,(INT((X45-1)/4)+1)))</f>
        <v/>
      </c>
      <c r="F45" s="7" t="str">
        <f t="array" ref="F45">IF(X45="","",INDEX('Inventory - P12'!$E$16:$E$27,(INT((X45-1)/4)+1)))</f>
        <v/>
      </c>
      <c r="G45" s="7" t="str">
        <f t="array" ref="G45">IF(X45="","",INDEX('Inventory - P12'!$I$16:$I$27,(INT((X45-1)/4)+1)))</f>
        <v/>
      </c>
      <c r="H45" s="7" t="str">
        <f t="array" ref="H45">IF(X45="","",INDEX('Inventory - P12'!$J$16:$J$27,(INT((X45-1)/4)+1)))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P12'!$B$16:$B$27,(INT((X46-1)/4)+1))&amp;IF(INDEX('Inventory - P12'!$C$16:$C$27,(INT((X46-1)/4)+1))="",""," ("&amp;INDEX('Inventory - P12'!$C$16:$C$27,(INT((X46-1)/4)+1))&amp;" mg)"))</f>
        <v/>
      </c>
      <c r="D46" s="7" t="str">
        <f t="array" ref="D46">IF(X46="","",INDEX('Inventory - P12'!$K$16:$K$27,(INT((X46-1)/4)+1))-SUMPRODUCT(($B$10:$B$61=B46)*(($I$10:$I$61&lt;&gt;"")+($K$10:$K$61&lt;&gt;"")+($M$10:$M$61&lt;&gt;"")+($O$10:$O$61&lt;&gt;"")+($Q$10:$Q$61&lt;&gt;"")+($S$10:$S$61&lt;&gt;"")+($U$10:$U$61&lt;&gt;""))))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P12'!$D$16:$D$27,(INT((X46-1)/4)+1)))</f>
        <v/>
      </c>
      <c r="F46" s="7" t="str">
        <f t="array" ref="F46">IF(X46="","",INDEX('Inventory - P12'!$E$16:$E$27,(INT((X46-1)/4)+1)))</f>
        <v/>
      </c>
      <c r="G46" s="7" t="str">
        <f t="array" ref="G46">IF(X46="","",INDEX('Inventory - P12'!$I$16:$I$27,(INT((X46-1)/4)+1)))</f>
        <v/>
      </c>
      <c r="H46" s="7" t="str">
        <f t="array" ref="H46">IF(X46="","",INDEX('Inventory - P12'!$J$16:$J$27,(INT((X46-1)/4)+1)))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P12'!$B$16:$B$27,(INT((X47-1)/4)+1))&amp;IF(INDEX('Inventory - P12'!$C$16:$C$27,(INT((X47-1)/4)+1))="",""," ("&amp;INDEX('Inventory - P12'!$C$16:$C$27,(INT((X47-1)/4)+1))&amp;" mg)"))</f>
        <v/>
      </c>
      <c r="D47" s="7" t="str">
        <f t="array" ref="D47">IF(X47="","",INDEX('Inventory - P12'!$K$16:$K$27,(INT((X47-1)/4)+1))-SUMPRODUCT(($B$10:$B$61=B47)*(($I$10:$I$61&lt;&gt;"")+($K$10:$K$61&lt;&gt;"")+($M$10:$M$61&lt;&gt;"")+($O$10:$O$61&lt;&gt;"")+($Q$10:$Q$61&lt;&gt;"")+($S$10:$S$61&lt;&gt;"")+($U$10:$U$61&lt;&gt;""))))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P12'!$D$16:$D$27,(INT((X47-1)/4)+1)))</f>
        <v/>
      </c>
      <c r="F47" s="7" t="str">
        <f t="array" ref="F47">IF(X47="","",INDEX('Inventory - P12'!$E$16:$E$27,(INT((X47-1)/4)+1)))</f>
        <v/>
      </c>
      <c r="G47" s="7" t="str">
        <f t="array" ref="G47">IF(X47="","",INDEX('Inventory - P12'!$I$16:$I$27,(INT((X47-1)/4)+1)))</f>
        <v/>
      </c>
      <c r="H47" s="7" t="str">
        <f t="array" ref="H47">IF(X47="","",INDEX('Inventory - P12'!$J$16:$J$27,(INT((X47-1)/4)+1)))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P12'!$B$16:$B$27,(INT((X48-1)/4)+1))&amp;IF(INDEX('Inventory - P12'!$C$16:$C$27,(INT((X48-1)/4)+1))="",""," ("&amp;INDEX('Inventory - P12'!$C$16:$C$27,(INT((X48-1)/4)+1))&amp;" mg)"))</f>
        <v/>
      </c>
      <c r="D48" s="7" t="str">
        <f t="array" ref="D48">IF(X48="","",INDEX('Inventory - P12'!$K$16:$K$27,(INT((X48-1)/4)+1))-SUMPRODUCT(($B$10:$B$61=B48)*(($I$10:$I$61&lt;&gt;"")+($K$10:$K$61&lt;&gt;"")+($M$10:$M$61&lt;&gt;"")+($O$10:$O$61&lt;&gt;"")+($Q$10:$Q$61&lt;&gt;"")+($S$10:$S$61&lt;&gt;"")+($U$10:$U$61&lt;&gt;""))))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P12'!$D$16:$D$27,(INT((X48-1)/4)+1)))</f>
        <v/>
      </c>
      <c r="F48" s="7" t="str">
        <f t="array" ref="F48">IF(X48="","",INDEX('Inventory - P12'!$E$16:$E$27,(INT((X48-1)/4)+1)))</f>
        <v/>
      </c>
      <c r="G48" s="7" t="str">
        <f t="array" ref="G48">IF(X48="","",INDEX('Inventory - P12'!$I$16:$I$27,(INT((X48-1)/4)+1)))</f>
        <v/>
      </c>
      <c r="H48" s="7" t="str">
        <f t="array" ref="H48">IF(X48="","",INDEX('Inventory - P12'!$J$16:$J$27,(INT((X48-1)/4)+1)))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P12'!$B$16:$B$27,(INT((X50-1)/4)+1))&amp;IF(INDEX('Inventory - P12'!$C$16:$C$27,(INT((X50-1)/4)+1))="",""," ("&amp;INDEX('Inventory - P12'!$C$16:$C$27,(INT((X50-1)/4)+1))&amp;" mg)"))</f>
        <v/>
      </c>
      <c r="D50" s="7" t="str">
        <f t="array" ref="D50">IF(X50="","",INDEX('Inventory - P12'!$K$16:$K$27,(INT((X50-1)/4)+1))-SUMPRODUCT(($B$10:$B$61=B50)*(($I$10:$I$61&lt;&gt;"")+($K$10:$K$61&lt;&gt;"")+($M$10:$M$61&lt;&gt;"")+($O$10:$O$61&lt;&gt;"")+($Q$10:$Q$61&lt;&gt;"")+($S$10:$S$61&lt;&gt;"")+($U$10:$U$61&lt;&gt;""))))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P12'!$D$16:$D$27,(INT((X50-1)/4)+1)))</f>
        <v/>
      </c>
      <c r="F50" s="7" t="str">
        <f t="array" ref="F50">IF(X50="","",INDEX('Inventory - P12'!$E$16:$E$27,(INT((X50-1)/4)+1)))</f>
        <v/>
      </c>
      <c r="G50" s="7" t="str">
        <f t="array" ref="G50">IF(X50="","",INDEX('Inventory - P12'!$I$16:$I$27,(INT((X50-1)/4)+1)))</f>
        <v/>
      </c>
      <c r="H50" s="7" t="str">
        <f t="array" ref="H50">IF(X50="","",INDEX('Inventory - P12'!$J$16:$J$27,(INT((X50-1)/4)+1)))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P12'!$B$16:$B$27,(INT((X51-1)/4)+1))&amp;IF(INDEX('Inventory - P12'!$C$16:$C$27,(INT((X51-1)/4)+1))="",""," ("&amp;INDEX('Inventory - P12'!$C$16:$C$27,(INT((X51-1)/4)+1))&amp;" mg)"))</f>
        <v/>
      </c>
      <c r="D51" s="7" t="str">
        <f t="array" ref="D51">IF(X51="","",INDEX('Inventory - P12'!$K$16:$K$27,(INT((X51-1)/4)+1))-SUMPRODUCT(($B$10:$B$61=B51)*(($I$10:$I$61&lt;&gt;"")+($K$10:$K$61&lt;&gt;"")+($M$10:$M$61&lt;&gt;"")+($O$10:$O$61&lt;&gt;"")+($Q$10:$Q$61&lt;&gt;"")+($S$10:$S$61&lt;&gt;"")+($U$10:$U$61&lt;&gt;""))))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P12'!$D$16:$D$27,(INT((X51-1)/4)+1)))</f>
        <v/>
      </c>
      <c r="F51" s="7" t="str">
        <f t="array" ref="F51">IF(X51="","",INDEX('Inventory - P12'!$E$16:$E$27,(INT((X51-1)/4)+1)))</f>
        <v/>
      </c>
      <c r="G51" s="7" t="str">
        <f t="array" ref="G51">IF(X51="","",INDEX('Inventory - P12'!$I$16:$I$27,(INT((X51-1)/4)+1)))</f>
        <v/>
      </c>
      <c r="H51" s="7" t="str">
        <f t="array" ref="H51">IF(X51="","",INDEX('Inventory - P12'!$J$16:$J$27,(INT((X51-1)/4)+1)))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P12'!$B$16:$B$27,(INT((X52-1)/4)+1))&amp;IF(INDEX('Inventory - P12'!$C$16:$C$27,(INT((X52-1)/4)+1))="",""," ("&amp;INDEX('Inventory - P12'!$C$16:$C$27,(INT((X52-1)/4)+1))&amp;" mg)"))</f>
        <v/>
      </c>
      <c r="D52" s="7" t="str">
        <f t="array" ref="D52">IF(X52="","",INDEX('Inventory - P12'!$K$16:$K$27,(INT((X52-1)/4)+1))-SUMPRODUCT(($B$10:$B$61=B52)*(($I$10:$I$61&lt;&gt;"")+($K$10:$K$61&lt;&gt;"")+($M$10:$M$61&lt;&gt;"")+($O$10:$O$61&lt;&gt;"")+($Q$10:$Q$61&lt;&gt;"")+($S$10:$S$61&lt;&gt;"")+($U$10:$U$61&lt;&gt;""))))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P12'!$D$16:$D$27,(INT((X52-1)/4)+1)))</f>
        <v/>
      </c>
      <c r="F52" s="7" t="str">
        <f t="array" ref="F52">IF(X52="","",INDEX('Inventory - P12'!$E$16:$E$27,(INT((X52-1)/4)+1)))</f>
        <v/>
      </c>
      <c r="G52" s="7" t="str">
        <f t="array" ref="G52">IF(X52="","",INDEX('Inventory - P12'!$I$16:$I$27,(INT((X52-1)/4)+1)))</f>
        <v/>
      </c>
      <c r="H52" s="7" t="str">
        <f t="array" ref="H52">IF(X52="","",INDEX('Inventory - P12'!$J$16:$J$27,(INT((X52-1)/4)+1)))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P12'!$B$16:$B$27,(INT((X53-1)/4)+1))&amp;IF(INDEX('Inventory - P12'!$C$16:$C$27,(INT((X53-1)/4)+1))="",""," ("&amp;INDEX('Inventory - P12'!$C$16:$C$27,(INT((X53-1)/4)+1))&amp;" mg)"))</f>
        <v/>
      </c>
      <c r="D53" s="7" t="str">
        <f t="array" ref="D53">IF(X53="","",INDEX('Inventory - P12'!$K$16:$K$27,(INT((X53-1)/4)+1))-SUMPRODUCT(($B$10:$B$61=B53)*(($I$10:$I$61&lt;&gt;"")+($K$10:$K$61&lt;&gt;"")+($M$10:$M$61&lt;&gt;"")+($O$10:$O$61&lt;&gt;"")+($Q$10:$Q$61&lt;&gt;"")+($S$10:$S$61&lt;&gt;"")+($U$10:$U$61&lt;&gt;""))))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P12'!$D$16:$D$27,(INT((X53-1)/4)+1)))</f>
        <v/>
      </c>
      <c r="F53" s="7" t="str">
        <f t="array" ref="F53">IF(X53="","",INDEX('Inventory - P12'!$E$16:$E$27,(INT((X53-1)/4)+1)))</f>
        <v/>
      </c>
      <c r="G53" s="7" t="str">
        <f t="array" ref="G53">IF(X53="","",INDEX('Inventory - P12'!$I$16:$I$27,(INT((X53-1)/4)+1)))</f>
        <v/>
      </c>
      <c r="H53" s="7" t="str">
        <f t="array" ref="H53">IF(X53="","",INDEX('Inventory - P12'!$J$16:$J$27,(INT((X53-1)/4)+1)))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P12'!$B$16:$B$27,(INT((X54-1)/4)+1))&amp;IF(INDEX('Inventory - P12'!$C$16:$C$27,(INT((X54-1)/4)+1))="",""," ("&amp;INDEX('Inventory - P12'!$C$16:$C$27,(INT((X54-1)/4)+1))&amp;" mg)"))</f>
        <v/>
      </c>
      <c r="D54" s="7" t="str">
        <f t="array" ref="D54">IF(X54="","",INDEX('Inventory - P12'!$K$16:$K$27,(INT((X54-1)/4)+1))-SUMPRODUCT(($B$10:$B$61=B54)*(($I$10:$I$61&lt;&gt;"")+($K$10:$K$61&lt;&gt;"")+($M$10:$M$61&lt;&gt;"")+($O$10:$O$61&lt;&gt;"")+($Q$10:$Q$61&lt;&gt;"")+($S$10:$S$61&lt;&gt;"")+($U$10:$U$61&lt;&gt;""))))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P12'!$D$16:$D$27,(INT((X54-1)/4)+1)))</f>
        <v/>
      </c>
      <c r="F54" s="7" t="str">
        <f t="array" ref="F54">IF(X54="","",INDEX('Inventory - P12'!$E$16:$E$27,(INT((X54-1)/4)+1)))</f>
        <v/>
      </c>
      <c r="G54" s="7" t="str">
        <f t="array" ref="G54">IF(X54="","",INDEX('Inventory - P12'!$I$16:$I$27,(INT((X54-1)/4)+1)))</f>
        <v/>
      </c>
      <c r="H54" s="7" t="str">
        <f t="array" ref="H54">IF(X54="","",INDEX('Inventory - P12'!$J$16:$J$27,(INT((X54-1)/4)+1)))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P12'!$B$16:$B$27,(INT((X55-1)/4)+1))&amp;IF(INDEX('Inventory - P12'!$C$16:$C$27,(INT((X55-1)/4)+1))="",""," ("&amp;INDEX('Inventory - P12'!$C$16:$C$27,(INT((X55-1)/4)+1))&amp;" mg)"))</f>
        <v/>
      </c>
      <c r="D55" s="7" t="str">
        <f t="array" ref="D55">IF(X55="","",INDEX('Inventory - P12'!$K$16:$K$27,(INT((X55-1)/4)+1))-SUMPRODUCT(($B$10:$B$61=B55)*(($I$10:$I$61&lt;&gt;"")+($K$10:$K$61&lt;&gt;"")+($M$10:$M$61&lt;&gt;"")+($O$10:$O$61&lt;&gt;"")+($Q$10:$Q$61&lt;&gt;"")+($S$10:$S$61&lt;&gt;"")+($U$10:$U$61&lt;&gt;""))))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P12'!$D$16:$D$27,(INT((X55-1)/4)+1)))</f>
        <v/>
      </c>
      <c r="F55" s="7" t="str">
        <f t="array" ref="F55">IF(X55="","",INDEX('Inventory - P12'!$E$16:$E$27,(INT((X55-1)/4)+1)))</f>
        <v/>
      </c>
      <c r="G55" s="7" t="str">
        <f t="array" ref="G55">IF(X55="","",INDEX('Inventory - P12'!$I$16:$I$27,(INT((X55-1)/4)+1)))</f>
        <v/>
      </c>
      <c r="H55" s="7" t="str">
        <f t="array" ref="H55">IF(X55="","",INDEX('Inventory - P12'!$J$16:$J$27,(INT((X55-1)/4)+1)))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P12'!$B$16:$B$27,(INT((X56-1)/4)+1))&amp;IF(INDEX('Inventory - P12'!$C$16:$C$27,(INT((X56-1)/4)+1))="",""," ("&amp;INDEX('Inventory - P12'!$C$16:$C$27,(INT((X56-1)/4)+1))&amp;" mg)"))</f>
        <v/>
      </c>
      <c r="D56" s="7" t="str">
        <f t="array" ref="D56">IF(X56="","",INDEX('Inventory - P12'!$K$16:$K$27,(INT((X56-1)/4)+1))-SUMPRODUCT(($B$10:$B$61=B56)*(($I$10:$I$61&lt;&gt;"")+($K$10:$K$61&lt;&gt;"")+($M$10:$M$61&lt;&gt;"")+($O$10:$O$61&lt;&gt;"")+($Q$10:$Q$61&lt;&gt;"")+($S$10:$S$61&lt;&gt;"")+($U$10:$U$61&lt;&gt;""))))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P12'!$D$16:$D$27,(INT((X56-1)/4)+1)))</f>
        <v/>
      </c>
      <c r="F56" s="7" t="str">
        <f t="array" ref="F56">IF(X56="","",INDEX('Inventory - P12'!$E$16:$E$27,(INT((X56-1)/4)+1)))</f>
        <v/>
      </c>
      <c r="G56" s="7" t="str">
        <f t="array" ref="G56">IF(X56="","",INDEX('Inventory - P12'!$I$16:$I$27,(INT((X56-1)/4)+1)))</f>
        <v/>
      </c>
      <c r="H56" s="7" t="str">
        <f t="array" ref="H56">IF(X56="","",INDEX('Inventory - P12'!$J$16:$J$27,(INT((X56-1)/4)+1)))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P12'!$B$16:$B$27,(INT((X57-1)/4)+1))&amp;IF(INDEX('Inventory - P12'!$C$16:$C$27,(INT((X57-1)/4)+1))="",""," ("&amp;INDEX('Inventory - P12'!$C$16:$C$27,(INT((X57-1)/4)+1))&amp;" mg)"))</f>
        <v/>
      </c>
      <c r="D57" s="7" t="str">
        <f t="array" ref="D57">IF(X57="","",INDEX('Inventory - P12'!$K$16:$K$27,(INT((X57-1)/4)+1))-SUMPRODUCT(($B$10:$B$61=B57)*(($I$10:$I$61&lt;&gt;"")+($K$10:$K$61&lt;&gt;"")+($M$10:$M$61&lt;&gt;"")+($O$10:$O$61&lt;&gt;"")+($Q$10:$Q$61&lt;&gt;"")+($S$10:$S$61&lt;&gt;"")+($U$10:$U$61&lt;&gt;""))))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P12'!$D$16:$D$27,(INT((X57-1)/4)+1)))</f>
        <v/>
      </c>
      <c r="F57" s="7" t="str">
        <f t="array" ref="F57">IF(X57="","",INDEX('Inventory - P12'!$E$16:$E$27,(INT((X57-1)/4)+1)))</f>
        <v/>
      </c>
      <c r="G57" s="7" t="str">
        <f t="array" ref="G57">IF(X57="","",INDEX('Inventory - P12'!$I$16:$I$27,(INT((X57-1)/4)+1)))</f>
        <v/>
      </c>
      <c r="H57" s="7" t="str">
        <f t="array" ref="H57">IF(X57="","",INDEX('Inventory - P12'!$J$16:$J$27,(INT((X57-1)/4)+1)))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P12'!$B$16:$B$27,(INT((X58-1)/4)+1))&amp;IF(INDEX('Inventory - P12'!$C$16:$C$27,(INT((X58-1)/4)+1))="",""," ("&amp;INDEX('Inventory - P12'!$C$16:$C$27,(INT((X58-1)/4)+1))&amp;" mg)"))</f>
        <v/>
      </c>
      <c r="D58" s="7" t="str">
        <f t="array" ref="D58">IF(X58="","",INDEX('Inventory - P12'!$K$16:$K$27,(INT((X58-1)/4)+1))-SUMPRODUCT(($B$10:$B$61=B58)*(($I$10:$I$61&lt;&gt;"")+($K$10:$K$61&lt;&gt;"")+($M$10:$M$61&lt;&gt;"")+($O$10:$O$61&lt;&gt;"")+($Q$10:$Q$61&lt;&gt;"")+($S$10:$S$61&lt;&gt;"")+($U$10:$U$61&lt;&gt;""))))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P12'!$D$16:$D$27,(INT((X58-1)/4)+1)))</f>
        <v/>
      </c>
      <c r="F58" s="7" t="str">
        <f t="array" ref="F58">IF(X58="","",INDEX('Inventory - P12'!$E$16:$E$27,(INT((X58-1)/4)+1)))</f>
        <v/>
      </c>
      <c r="G58" s="7" t="str">
        <f t="array" ref="G58">IF(X58="","",INDEX('Inventory - P12'!$I$16:$I$27,(INT((X58-1)/4)+1)))</f>
        <v/>
      </c>
      <c r="H58" s="7" t="str">
        <f t="array" ref="H58">IF(X58="","",INDEX('Inventory - P12'!$J$16:$J$27,(INT((X58-1)/4)+1)))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P12'!$B$16:$B$27,(INT((X59-1)/4)+1))&amp;IF(INDEX('Inventory - P12'!$C$16:$C$27,(INT((X59-1)/4)+1))="",""," ("&amp;INDEX('Inventory - P12'!$C$16:$C$27,(INT((X59-1)/4)+1))&amp;" mg)"))</f>
        <v/>
      </c>
      <c r="D59" s="7" t="str">
        <f t="array" ref="D59">IF(X59="","",INDEX('Inventory - P12'!$K$16:$K$27,(INT((X59-1)/4)+1))-SUMPRODUCT(($B$10:$B$61=B59)*(($I$10:$I$61&lt;&gt;"")+($K$10:$K$61&lt;&gt;"")+($M$10:$M$61&lt;&gt;"")+($O$10:$O$61&lt;&gt;"")+($Q$10:$Q$61&lt;&gt;"")+($S$10:$S$61&lt;&gt;"")+($U$10:$U$61&lt;&gt;""))))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P12'!$D$16:$D$27,(INT((X59-1)/4)+1)))</f>
        <v/>
      </c>
      <c r="F59" s="7" t="str">
        <f t="array" ref="F59">IF(X59="","",INDEX('Inventory - P12'!$E$16:$E$27,(INT((X59-1)/4)+1)))</f>
        <v/>
      </c>
      <c r="G59" s="7" t="str">
        <f t="array" ref="G59">IF(X59="","",INDEX('Inventory - P12'!$I$16:$I$27,(INT((X59-1)/4)+1)))</f>
        <v/>
      </c>
      <c r="H59" s="7" t="str">
        <f t="array" ref="H59">IF(X59="","",INDEX('Inventory - P12'!$J$16:$J$27,(INT((X59-1)/4)+1)))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P12'!$B$16:$B$27,(INT((X60-1)/4)+1))&amp;IF(INDEX('Inventory - P12'!$C$16:$C$27,(INT((X60-1)/4)+1))="",""," ("&amp;INDEX('Inventory - P12'!$C$16:$C$27,(INT((X60-1)/4)+1))&amp;" mg)"))</f>
        <v/>
      </c>
      <c r="D60" s="7" t="str">
        <f t="array" ref="D60">IF(X60="","",INDEX('Inventory - P12'!$K$16:$K$27,(INT((X60-1)/4)+1))-SUMPRODUCT(($B$10:$B$61=B60)*(($I$10:$I$61&lt;&gt;"")+($K$10:$K$61&lt;&gt;"")+($M$10:$M$61&lt;&gt;"")+($O$10:$O$61&lt;&gt;"")+($Q$10:$Q$61&lt;&gt;"")+($S$10:$S$61&lt;&gt;"")+($U$10:$U$61&lt;&gt;""))))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P12'!$D$16:$D$27,(INT((X60-1)/4)+1)))</f>
        <v/>
      </c>
      <c r="F60" s="7" t="str">
        <f t="array" ref="F60">IF(X60="","",INDEX('Inventory - P12'!$E$16:$E$27,(INT((X60-1)/4)+1)))</f>
        <v/>
      </c>
      <c r="G60" s="7" t="str">
        <f t="array" ref="G60">IF(X60="","",INDEX('Inventory - P12'!$I$16:$I$27,(INT((X60-1)/4)+1)))</f>
        <v/>
      </c>
      <c r="H60" s="7" t="str">
        <f t="array" ref="H60">IF(X60="","",INDEX('Inventory - P12'!$J$16:$J$27,(INT((X60-1)/4)+1)))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P12'!$B$16:$B$27,(INT((X61-1)/4)+1))&amp;IF(INDEX('Inventory - P12'!$C$16:$C$27,(INT((X61-1)/4)+1))="",""," ("&amp;INDEX('Inventory - P12'!$C$16:$C$27,(INT((X61-1)/4)+1))&amp;" mg)"))</f>
        <v/>
      </c>
      <c r="D61" s="7" t="str">
        <f t="array" ref="D61">IF(X61="","",INDEX('Inventory - P12'!$K$16:$K$27,(INT((X61-1)/4)+1))-SUMPRODUCT(($B$10:$B$61=B61)*(($I$10:$I$61&lt;&gt;"")+($K$10:$K$61&lt;&gt;"")+($M$10:$M$61&lt;&gt;"")+($O$10:$O$61&lt;&gt;"")+($Q$10:$Q$61&lt;&gt;"")+($S$10:$S$61&lt;&gt;"")+($U$10:$U$61&lt;&gt;""))))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P12'!$D$16:$D$27,(INT((X61-1)/4)+1)))</f>
        <v/>
      </c>
      <c r="F61" s="7" t="str">
        <f t="array" ref="F61">IF(X61="","",INDEX('Inventory - P12'!$E$16:$E$27,(INT((X61-1)/4)+1)))</f>
        <v/>
      </c>
      <c r="G61" s="7" t="str">
        <f t="array" ref="G61">IF(X61="","",INDEX('Inventory - P12'!$I$16:$I$27,(INT((X61-1)/4)+1)))</f>
        <v/>
      </c>
      <c r="H61" s="7" t="str">
        <f t="array" ref="H61">IF(X61="","",INDEX('Inventory - P12'!$J$16:$J$27,(INT((X61-1)/4)+1)))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P12'!E16&lt;1,'Inventory - P12'!F16="",'Inventory - P12'!G16=""),9,MOD('Inventory - P12'!F16+0*'Inventory - P12'!G16/24,1))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P12'!E16&lt;2,'Inventory - P12'!F16="",'Inventory - P12'!G16=""),9,MOD('Inventory - P12'!F16+1*'Inventory - P12'!G16/24,1))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P12'!E16&lt;3,'Inventory - P12'!F16="",'Inventory - P12'!G16=""),9,MOD('Inventory - P12'!F16+2*'Inventory - P12'!G16/24,1))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P12'!E16&lt;4,'Inventory - P12'!F16="",'Inventory - P12'!G16=""),9,MOD('Inventory - P12'!F16+3*'Inventory - P12'!G16/24,1))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P12'!E17&lt;1,'Inventory - P12'!F17="",'Inventory - P12'!G17=""),9,MOD('Inventory - P12'!F17+0*'Inventory - P12'!G17/24,1))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P12'!E17&lt;2,'Inventory - P12'!F17="",'Inventory - P12'!G17=""),9,MOD('Inventory - P12'!F17+1*'Inventory - P12'!G17/24,1))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P12'!E17&lt;3,'Inventory - P12'!F17="",'Inventory - P12'!G17=""),9,MOD('Inventory - P12'!F17+2*'Inventory - P12'!G17/24,1))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P12'!E17&lt;4,'Inventory - P12'!F17="",'Inventory - P12'!G17=""),9,MOD('Inventory - P12'!F17+3*'Inventory - P12'!G17/24,1))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P12'!E18&lt;1,'Inventory - P12'!F18="",'Inventory - P12'!G18=""),9,MOD('Inventory - P12'!F18+0*'Inventory - P12'!G18/24,1))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P12'!E18&lt;2,'Inventory - P12'!F18="",'Inventory - P12'!G18=""),9,MOD('Inventory - P12'!F18+1*'Inventory - P12'!G18/24,1))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P12'!E18&lt;3,'Inventory - P12'!F18="",'Inventory - P12'!G18=""),9,MOD('Inventory - P12'!F18+2*'Inventory - P12'!G18/24,1))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P12'!E18&lt;4,'Inventory - P12'!F18="",'Inventory - P12'!G18=""),9,MOD('Inventory - P12'!F18+3*'Inventory - P12'!G18/24,1))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P12'!E19&lt;1,'Inventory - P12'!F19="",'Inventory - P12'!G19=""),9,MOD('Inventory - P12'!F19+0*'Inventory - P12'!G19/24,1))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P12'!E19&lt;2,'Inventory - P12'!F19="",'Inventory - P12'!G19=""),9,MOD('Inventory - P12'!F19+1*'Inventory - P12'!G19/24,1))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P12'!E19&lt;3,'Inventory - P12'!F19="",'Inventory - P12'!G19=""),9,MOD('Inventory - P12'!F19+2*'Inventory - P12'!G19/24,1))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P12'!E19&lt;4,'Inventory - P12'!F19="",'Inventory - P12'!G19=""),9,MOD('Inventory - P12'!F19+3*'Inventory - P12'!G19/24,1))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P12'!E20&lt;1,'Inventory - P12'!F20="",'Inventory - P12'!G20=""),9,MOD('Inventory - P12'!F20+0*'Inventory - P12'!G20/24,1))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P12'!E20&lt;2,'Inventory - P12'!F20="",'Inventory - P12'!G20=""),9,MOD('Inventory - P12'!F20+1*'Inventory - P12'!G20/24,1))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P12'!E20&lt;3,'Inventory - P12'!F20="",'Inventory - P12'!G20=""),9,MOD('Inventory - P12'!F20+2*'Inventory - P12'!G20/24,1))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P12'!E20&lt;4,'Inventory - P12'!F20="",'Inventory - P12'!G20=""),9,MOD('Inventory - P12'!F20+3*'Inventory - P12'!G20/24,1))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P12'!E21&lt;1,'Inventory - P12'!F21="",'Inventory - P12'!G21=""),9,MOD('Inventory - P12'!F21+0*'Inventory - P12'!G21/24,1))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P12'!E21&lt;2,'Inventory - P12'!F21="",'Inventory - P12'!G21=""),9,MOD('Inventory - P12'!F21+1*'Inventory - P12'!G21/24,1))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P12'!E21&lt;3,'Inventory - P12'!F21="",'Inventory - P12'!G21=""),9,MOD('Inventory - P12'!F21+2*'Inventory - P12'!G21/24,1))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P12'!E21&lt;4,'Inventory - P12'!F21="",'Inventory - P12'!G21=""),9,MOD('Inventory - P12'!F21+3*'Inventory - P12'!G21/24,1))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P12'!E22&lt;1,'Inventory - P12'!F22="",'Inventory - P12'!G22=""),9,MOD('Inventory - P12'!F22+0*'Inventory - P12'!G22/24,1))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P12'!E22&lt;2,'Inventory - P12'!F22="",'Inventory - P12'!G22=""),9,MOD('Inventory - P12'!F22+1*'Inventory - P12'!G22/24,1))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P12'!E22&lt;3,'Inventory - P12'!F22="",'Inventory - P12'!G22=""),9,MOD('Inventory - P12'!F22+2*'Inventory - P12'!G22/24,1))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P12'!E22&lt;4,'Inventory - P12'!F22="",'Inventory - P12'!G22=""),9,MOD('Inventory - P12'!F22+3*'Inventory - P12'!G22/24,1))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P12'!E23&lt;1,'Inventory - P12'!F23="",'Inventory - P12'!G23=""),9,MOD('Inventory - P12'!F23+0*'Inventory - P12'!G23/24,1))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P12'!E23&lt;2,'Inventory - P12'!F23="",'Inventory - P12'!G23=""),9,MOD('Inventory - P12'!F23+1*'Inventory - P12'!G23/24,1))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P12'!E23&lt;3,'Inventory - P12'!F23="",'Inventory - P12'!G23=""),9,MOD('Inventory - P12'!F23+2*'Inventory - P12'!G23/24,1))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P12'!E23&lt;4,'Inventory - P12'!F23="",'Inventory - P12'!G23=""),9,MOD('Inventory - P12'!F23+3*'Inventory - P12'!G23/24,1))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P12'!E24&lt;1,'Inventory - P12'!F24="",'Inventory - P12'!G24=""),9,MOD('Inventory - P12'!F24+0*'Inventory - P12'!G24/24,1))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P12'!E24&lt;2,'Inventory - P12'!F24="",'Inventory - P12'!G24=""),9,MOD('Inventory - P12'!F24+1*'Inventory - P12'!G24/24,1))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P12'!E24&lt;3,'Inventory - P12'!F24="",'Inventory - P12'!G24=""),9,MOD('Inventory - P12'!F24+2*'Inventory - P12'!G24/24,1))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P12'!E24&lt;4,'Inventory - P12'!F24="",'Inventory - P12'!G24=""),9,MOD('Inventory - P12'!F24+3*'Inventory - P12'!G24/24,1))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P12'!E25&lt;1,'Inventory - P12'!F25="",'Inventory - P12'!G25=""),9,MOD('Inventory - P12'!F25+0*'Inventory - P12'!G25/24,1))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P12'!E25&lt;2,'Inventory - P12'!F25="",'Inventory - P12'!G25=""),9,MOD('Inventory - P12'!F25+1*'Inventory - P12'!G25/24,1))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P12'!E25&lt;3,'Inventory - P12'!F25="",'Inventory - P12'!G25=""),9,MOD('Inventory - P12'!F25+2*'Inventory - P12'!G25/24,1))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P12'!E25&lt;4,'Inventory - P12'!F25="",'Inventory - P12'!G25=""),9,MOD('Inventory - P12'!F25+3*'Inventory - P12'!G25/24,1))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P12'!E26&lt;1,'Inventory - P12'!F26="",'Inventory - P12'!G26=""),9,MOD('Inventory - P12'!F26+0*'Inventory - P12'!G26/24,1))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P12'!E26&lt;2,'Inventory - P12'!F26="",'Inventory - P12'!G26=""),9,MOD('Inventory - P12'!F26+1*'Inventory - P12'!G26/24,1))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P12'!E26&lt;3,'Inventory - P12'!F26="",'Inventory - P12'!G26=""),9,MOD('Inventory - P12'!F26+2*'Inventory - P12'!G26/24,1))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P12'!E26&lt;4,'Inventory - P12'!F26="",'Inventory - P12'!G26=""),9,MOD('Inventory - P12'!F26+3*'Inventory - P12'!G26/24,1))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P12'!E27&lt;1,'Inventory - P12'!F27="",'Inventory - P12'!G27=""),9,MOD('Inventory - P12'!F27+0*'Inventory - P12'!G27/24,1))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P12'!E27&lt;2,'Inventory - P12'!F27="",'Inventory - P12'!G27=""),9,MOD('Inventory - P12'!F27+1*'Inventory - P12'!G27/24,1))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P12'!E27&lt;3,'Inventory - P12'!F27="",'Inventory - P12'!G27=""),9,MOD('Inventory - P12'!F27+2*'Inventory - P12'!G27/24,1))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P12'!E27&lt;4,'Inventory - P12'!F27="",'Inventory - P12'!G27=""),9,MOD('Inventory - P12'!F27+3*'Inventory - P12'!G27/24,1))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285" priority="1">
      <formula>$W11&gt;=9</formula>
    </cfRule>
  </conditionalFormatting>
  <conditionalFormatting sqref="A12:V12">
    <cfRule type="expression" dxfId="284" priority="2">
      <formula>$W12&gt;=9</formula>
    </cfRule>
  </conditionalFormatting>
  <conditionalFormatting sqref="A13:V13">
    <cfRule type="expression" dxfId="283" priority="3">
      <formula>$W13&gt;=9</formula>
    </cfRule>
  </conditionalFormatting>
  <conditionalFormatting sqref="A14:V14">
    <cfRule type="expression" dxfId="282" priority="4">
      <formula>$W14&gt;=9</formula>
    </cfRule>
  </conditionalFormatting>
  <conditionalFormatting sqref="A15:V15">
    <cfRule type="expression" dxfId="281" priority="5">
      <formula>$W15&gt;=9</formula>
    </cfRule>
  </conditionalFormatting>
  <conditionalFormatting sqref="A16:V16">
    <cfRule type="expression" dxfId="280" priority="6">
      <formula>$W16&gt;=9</formula>
    </cfRule>
  </conditionalFormatting>
  <conditionalFormatting sqref="A17:V17">
    <cfRule type="expression" dxfId="279" priority="7">
      <formula>$W17&gt;=9</formula>
    </cfRule>
  </conditionalFormatting>
  <conditionalFormatting sqref="A18:V18">
    <cfRule type="expression" dxfId="278" priority="8">
      <formula>$W18&gt;=9</formula>
    </cfRule>
  </conditionalFormatting>
  <conditionalFormatting sqref="A19:V19">
    <cfRule type="expression" dxfId="277" priority="9">
      <formula>$W19&gt;=9</formula>
    </cfRule>
  </conditionalFormatting>
  <conditionalFormatting sqref="A20:V20">
    <cfRule type="expression" dxfId="276" priority="10">
      <formula>$W20&gt;=9</formula>
    </cfRule>
  </conditionalFormatting>
  <conditionalFormatting sqref="A21:V21">
    <cfRule type="expression" dxfId="275" priority="11">
      <formula>$W21&gt;=9</formula>
    </cfRule>
  </conditionalFormatting>
  <conditionalFormatting sqref="A22:V22">
    <cfRule type="expression" dxfId="274" priority="12">
      <formula>$W22&gt;=9</formula>
    </cfRule>
  </conditionalFormatting>
  <conditionalFormatting sqref="A24:V24">
    <cfRule type="expression" dxfId="273" priority="13">
      <formula>$W24&gt;=9</formula>
    </cfRule>
  </conditionalFormatting>
  <conditionalFormatting sqref="A25:V25">
    <cfRule type="expression" dxfId="272" priority="14">
      <formula>$W25&gt;=9</formula>
    </cfRule>
  </conditionalFormatting>
  <conditionalFormatting sqref="A26:V26">
    <cfRule type="expression" dxfId="271" priority="15">
      <formula>$W26&gt;=9</formula>
    </cfRule>
  </conditionalFormatting>
  <conditionalFormatting sqref="A27:V27">
    <cfRule type="expression" dxfId="270" priority="16">
      <formula>$W27&gt;=9</formula>
    </cfRule>
  </conditionalFormatting>
  <conditionalFormatting sqref="A28:V28">
    <cfRule type="expression" dxfId="269" priority="17">
      <formula>$W28&gt;=9</formula>
    </cfRule>
  </conditionalFormatting>
  <conditionalFormatting sqref="A29:V29">
    <cfRule type="expression" dxfId="268" priority="18">
      <formula>$W29&gt;=9</formula>
    </cfRule>
  </conditionalFormatting>
  <conditionalFormatting sqref="A30:V30">
    <cfRule type="expression" dxfId="267" priority="19">
      <formula>$W30&gt;=9</formula>
    </cfRule>
  </conditionalFormatting>
  <conditionalFormatting sqref="A31:V31">
    <cfRule type="expression" dxfId="266" priority="20">
      <formula>$W31&gt;=9</formula>
    </cfRule>
  </conditionalFormatting>
  <conditionalFormatting sqref="A32:V32">
    <cfRule type="expression" dxfId="265" priority="21">
      <formula>$W32&gt;=9</formula>
    </cfRule>
  </conditionalFormatting>
  <conditionalFormatting sqref="A33:V33">
    <cfRule type="expression" dxfId="264" priority="22">
      <formula>$W33&gt;=9</formula>
    </cfRule>
  </conditionalFormatting>
  <conditionalFormatting sqref="A34:V34">
    <cfRule type="expression" dxfId="263" priority="23">
      <formula>$W34&gt;=9</formula>
    </cfRule>
  </conditionalFormatting>
  <conditionalFormatting sqref="A35:V35">
    <cfRule type="expression" dxfId="262" priority="24">
      <formula>$W35&gt;=9</formula>
    </cfRule>
  </conditionalFormatting>
  <conditionalFormatting sqref="A37:V37">
    <cfRule type="expression" dxfId="261" priority="25">
      <formula>$W37&gt;=9</formula>
    </cfRule>
  </conditionalFormatting>
  <conditionalFormatting sqref="A38:V38">
    <cfRule type="expression" dxfId="260" priority="26">
      <formula>$W38&gt;=9</formula>
    </cfRule>
  </conditionalFormatting>
  <conditionalFormatting sqref="A39:V39">
    <cfRule type="expression" dxfId="259" priority="27">
      <formula>$W39&gt;=9</formula>
    </cfRule>
  </conditionalFormatting>
  <conditionalFormatting sqref="A40:V40">
    <cfRule type="expression" dxfId="258" priority="28">
      <formula>$W40&gt;=9</formula>
    </cfRule>
  </conditionalFormatting>
  <conditionalFormatting sqref="A41:V41">
    <cfRule type="expression" dxfId="257" priority="29">
      <formula>$W41&gt;=9</formula>
    </cfRule>
  </conditionalFormatting>
  <conditionalFormatting sqref="A42:V42">
    <cfRule type="expression" dxfId="256" priority="30">
      <formula>$W42&gt;=9</formula>
    </cfRule>
  </conditionalFormatting>
  <conditionalFormatting sqref="A43:V43">
    <cfRule type="expression" dxfId="255" priority="31">
      <formula>$W43&gt;=9</formula>
    </cfRule>
  </conditionalFormatting>
  <conditionalFormatting sqref="A44:V44">
    <cfRule type="expression" dxfId="254" priority="32">
      <formula>$W44&gt;=9</formula>
    </cfRule>
  </conditionalFormatting>
  <conditionalFormatting sqref="A45:V45">
    <cfRule type="expression" dxfId="253" priority="33">
      <formula>$W45&gt;=9</formula>
    </cfRule>
  </conditionalFormatting>
  <conditionalFormatting sqref="A46:V46">
    <cfRule type="expression" dxfId="252" priority="34">
      <formula>$W46&gt;=9</formula>
    </cfRule>
  </conditionalFormatting>
  <conditionalFormatting sqref="A47:V47">
    <cfRule type="expression" dxfId="251" priority="35">
      <formula>$W47&gt;=9</formula>
    </cfRule>
  </conditionalFormatting>
  <conditionalFormatting sqref="A48:V48">
    <cfRule type="expression" dxfId="250" priority="36">
      <formula>$W48&gt;=9</formula>
    </cfRule>
  </conditionalFormatting>
  <conditionalFormatting sqref="A50:V50">
    <cfRule type="expression" dxfId="249" priority="37">
      <formula>$W50&gt;=9</formula>
    </cfRule>
  </conditionalFormatting>
  <conditionalFormatting sqref="A51:V51">
    <cfRule type="expression" dxfId="248" priority="38">
      <formula>$W51&gt;=9</formula>
    </cfRule>
  </conditionalFormatting>
  <conditionalFormatting sqref="A52:V52">
    <cfRule type="expression" dxfId="247" priority="39">
      <formula>$W52&gt;=9</formula>
    </cfRule>
  </conditionalFormatting>
  <conditionalFormatting sqref="A53:V53">
    <cfRule type="expression" dxfId="246" priority="40">
      <formula>$W53&gt;=9</formula>
    </cfRule>
  </conditionalFormatting>
  <conditionalFormatting sqref="A54:V54">
    <cfRule type="expression" dxfId="245" priority="41">
      <formula>$W54&gt;=9</formula>
    </cfRule>
  </conditionalFormatting>
  <conditionalFormatting sqref="A55:V55">
    <cfRule type="expression" dxfId="244" priority="42">
      <formula>$W55&gt;=9</formula>
    </cfRule>
  </conditionalFormatting>
  <conditionalFormatting sqref="A56:V56">
    <cfRule type="expression" dxfId="243" priority="43">
      <formula>$W56&gt;=9</formula>
    </cfRule>
  </conditionalFormatting>
  <conditionalFormatting sqref="A57:V57">
    <cfRule type="expression" dxfId="242" priority="44">
      <formula>$W57&gt;=9</formula>
    </cfRule>
  </conditionalFormatting>
  <conditionalFormatting sqref="A58:V58">
    <cfRule type="expression" dxfId="241" priority="45">
      <formula>$W58&gt;=9</formula>
    </cfRule>
  </conditionalFormatting>
  <conditionalFormatting sqref="A59:V59">
    <cfRule type="expression" dxfId="240" priority="46">
      <formula>$W59&gt;=9</formula>
    </cfRule>
  </conditionalFormatting>
  <conditionalFormatting sqref="A60:V60">
    <cfRule type="expression" dxfId="239" priority="47">
      <formula>$W60&gt;=9</formula>
    </cfRule>
  </conditionalFormatting>
  <conditionalFormatting sqref="A61:V61">
    <cfRule type="expression" dxfId="238" priority="48">
      <formula>$W61&gt;=9</formula>
    </cfRule>
  </conditionalFormatting>
  <conditionalFormatting sqref="H10:H61">
    <cfRule type="cellIs" dxfId="237" priority="49" operator="equal">
      <formula>"Physical"</formula>
    </cfRule>
  </conditionalFormatting>
  <conditionalFormatting sqref="H10:H61">
    <cfRule type="cellIs" dxfId="236" priority="50" operator="equal">
      <formula>"Psychological"</formula>
    </cfRule>
  </conditionalFormatting>
  <conditionalFormatting sqref="G10:G61">
    <cfRule type="cellIs" dxfId="235" priority="51" operator="equal">
      <formula>"Y"</formula>
    </cfRule>
  </conditionalFormatting>
  <conditionalFormatting sqref="G10:G61">
    <cfRule type="cellIs" dxfId="234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Tracker'!B17="","",UPPER(LEFT(TRIM('Client Needs Tracker'!B17),1))&amp;UPPER(MID('Client Needs Tracker'!B17,FIND("@",SUBSTITUTE('Client Needs Tracker'!B17," ","@",LEN('Client Needs Tracker'!B17)-LEN(SUBSTITUTE('Client Needs Tracker'!B17," ",""))))+1,1))&amp;"-"&amp;SUBSTITUTE('Client Needs Tracker'!S17," ",""))</f>
        <v>JS-F-3A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Tracker'!S17="","","INV-"&amp;SUBSTITUTE('Client Needs Tracker'!S17," ",""))</f>
        <v>INV-F-3A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Tracker'!B17="","(Add client on Client Needs Tracker, row 17)",'Client Needs Tracker'!B17)</f>
        <v>Jessica Simpson</v>
      </c>
      <c r="B6" s="134"/>
      <c r="C6" s="134"/>
      <c r="D6" s="134"/>
      <c r="E6" s="134"/>
      <c r="F6" s="93">
        <f>'Client Needs Tracker'!A17</f>
        <v>588588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Tracker'!C17="","",'Client Needs Tracker'!C17)</f>
        <v>46238</v>
      </c>
      <c r="B8" s="134"/>
      <c r="C8" s="134"/>
      <c r="D8" s="134"/>
      <c r="E8" s="134"/>
      <c r="F8" s="95">
        <f>'Client Needs Tracker'!E17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Tracker'!F17="","",'Client Needs Tracker'!F17)</f>
        <v/>
      </c>
      <c r="B10" s="134"/>
      <c r="C10" s="134"/>
      <c r="D10" s="134"/>
      <c r="E10" s="134"/>
      <c r="F10" s="89" t="str">
        <f>IF('Client Status Board'!G17="","",'Client Status Board'!G17)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Board'!L17="","",'Client Status Board'!L17)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P13'!$B$10:$B$61=1)*(('MAR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P13'!$B$10:$B$61=2)*(('MAR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P13'!$B$10:$B$61=3)*(('MAR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P13'!$B$10:$B$61=4)*(('MAR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P13'!$B$10:$B$61=5)*(('MAR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P13'!$B$10:$B$61=6)*(('MAR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P13'!$B$10:$B$61=7)*(('MAR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P13'!$B$10:$B$61=8)*(('MAR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P13'!$B$10:$B$61=9)*(('MAR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P13'!$B$10:$B$61=10)*(('MAR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P13'!$B$10:$B$61=11)*(('MAR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P13'!$B$10:$B$61=12)*(('MAR - P13'!$I$10:$I$61&lt;&gt;"")+('MAR - P13'!$K$10:$K$61&lt;&gt;"")+('MAR - P13'!$M$10:$M$61&lt;&gt;"")+('MAR - P13'!$O$10:$O$61&lt;&gt;"")+('MAR - P13'!$Q$10:$Q$61&lt;&gt;"")+('MAR - P13'!$S$10:$S$61&lt;&gt;"")+('MAR - P13'!$U$10:$U$61&lt;&gt;""))))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233" priority="1" operator="equal">
      <formula>"Physical"</formula>
    </cfRule>
  </conditionalFormatting>
  <conditionalFormatting sqref="J16:J27">
    <cfRule type="cellIs" dxfId="232" priority="2" operator="equal">
      <formula>"Psychological"</formula>
    </cfRule>
  </conditionalFormatting>
  <conditionalFormatting sqref="I16:I27">
    <cfRule type="cellIs" dxfId="231" priority="3" operator="equal">
      <formula>"Y"</formula>
    </cfRule>
  </conditionalFormatting>
  <conditionalFormatting sqref="I16:I27">
    <cfRule type="cellIs" dxfId="230" priority="4" operator="equal">
      <formula>"N"</formula>
    </cfRule>
  </conditionalFormatting>
  <dataValidations count="5">
    <dataValidation type="list" allowBlank="1" sqref="I16:I27" xr:uid="{00000000-0002-0000-1D00-000001000000}">
      <formula1>"Y,N"</formula1>
    </dataValidation>
    <dataValidation type="list" allowBlank="1" sqref="J16:J27" xr:uid="{00000000-0002-0000-1D00-000002000000}">
      <formula1>"Physical,Psychological"</formula1>
    </dataValidation>
    <dataValidation type="list" allowBlank="1" sqref="C16:C27" xr:uid="{00000000-0002-0000-1D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D00-000004000000}">
      <formula1>"PO,IM,IV,SubQ,Topical,Inhaled,Sublingual,Rectal,Other"</formula1>
    </dataValidation>
    <dataValidation type="list" allowBlank="1" sqref="G16:G27" xr:uid="{00000000-0002-0000-1D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D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Tracker'!B17="","",UPPER(LEFT(TRIM('Client Needs Tracker'!B17),1))&amp;UPPER(MID('Client Needs Tracker'!B17,FIND("@",SUBSTITUTE('Client Needs Tracker'!B17," ","@",LEN('Client Needs Tracker'!B17)-LEN(SUBSTITUTE('Client Needs Tracker'!B17," ",""))))+1,1))&amp;"-"&amp;SUBSTITUTE('Client Needs Tracker'!S17," ",""))</f>
        <v>JS-F-3A</v>
      </c>
    </row>
    <row r="3" spans="1:33" ht="15" customHeight="1">
      <c r="A3" s="103" t="str">
        <f>IF('Inventory - P13'!A6="","(Enter name in Inventory - P13)",'Inventory - P13'!A6)</f>
        <v>Jessica Simpson</v>
      </c>
      <c r="B3" s="145"/>
      <c r="C3" s="145"/>
      <c r="D3" s="145"/>
      <c r="E3" s="145"/>
      <c r="F3" s="104" t="str">
        <f>IF('Inventory - P13'!F6="","(Enter ID in Inventory - P13)","Member ID: "&amp;'Inventory - P13'!F6)</f>
        <v>Member ID: 588588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Tracker'!S17="","","INV-"&amp;SUBSTITUTE('Client Needs Tracker'!S17," ",""))</f>
        <v>INV-F-3A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P13'!F8="","-",'Inventory - P13'!F8)</f>
        <v>LOC: 0</v>
      </c>
      <c r="B5" s="106"/>
      <c r="C5" s="2"/>
      <c r="D5" s="102" t="str">
        <f>"Case Manager: "&amp;IF('Inventory - P13'!A10="","-",'Inventory - P13'!A10)</f>
        <v>Case Manager: -</v>
      </c>
      <c r="E5" s="106"/>
      <c r="F5" s="2"/>
      <c r="G5" s="102" t="str">
        <f>"Doctor: "&amp;IF('Inventory - P13'!F10="","-",'Inventory - P13'!F10)</f>
        <v>Doctor: -</v>
      </c>
      <c r="H5" s="106"/>
      <c r="I5" s="2"/>
      <c r="J5" s="102" t="str">
        <f>"Pharmacy: "&amp;IF('Inventory - P13'!A12="","-",'Inventory - P13'!A12)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P13'!A14="","",'Inventory - P13'!A14)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P13'!A14="","",'Inventory - P13'!A14+0)</f>
        <v/>
      </c>
      <c r="J8" s="134"/>
      <c r="K8" s="101" t="str">
        <f>IF('Inventory - P13'!A14="","",'Inventory - P13'!A14+1)</f>
        <v/>
      </c>
      <c r="L8" s="134"/>
      <c r="M8" s="101" t="str">
        <f>IF('Inventory - P13'!A14="","",'Inventory - P13'!A14+2)</f>
        <v/>
      </c>
      <c r="N8" s="134"/>
      <c r="O8" s="101" t="str">
        <f>IF('Inventory - P13'!A14="","",'Inventory - P13'!A14+3)</f>
        <v/>
      </c>
      <c r="P8" s="134"/>
      <c r="Q8" s="101" t="str">
        <f>IF('Inventory - P13'!A14="","",'Inventory - P13'!A14+4)</f>
        <v/>
      </c>
      <c r="R8" s="134"/>
      <c r="S8" s="101" t="str">
        <f>IF('Inventory - P13'!A14="","",'Inventory - P13'!A14+5)</f>
        <v/>
      </c>
      <c r="T8" s="134"/>
      <c r="U8" s="101" t="str">
        <f>IF('Inventory - P13'!A14="","",'Inventory - P13'!A14+6)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P13'!$B$16:$B$27,(INT((X11-1)/4)+1))&amp;IF(INDEX('Inventory - P13'!$C$16:$C$27,(INT((X11-1)/4)+1))="",""," ("&amp;INDEX('Inventory - P13'!$C$16:$C$27,(INT((X11-1)/4)+1))&amp;" mg)"))</f>
        <v/>
      </c>
      <c r="D11" s="7" t="str">
        <f t="array" ref="D11">IF(X11="","",INDEX('Inventory - P13'!$K$16:$K$27,(INT((X11-1)/4)+1))-SUMPRODUCT(($B$10:$B$61=B11)*(($I$10:$I$61&lt;&gt;"")+($K$10:$K$61&lt;&gt;"")+($M$10:$M$61&lt;&gt;"")+($O$10:$O$61&lt;&gt;"")+($Q$10:$Q$61&lt;&gt;"")+($S$10:$S$61&lt;&gt;"")+($U$10:$U$61&lt;&gt;""))))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P13'!$D$16:$D$27,(INT((X11-1)/4)+1)))</f>
        <v/>
      </c>
      <c r="F11" s="7" t="str">
        <f t="array" ref="F11">IF(X11="","",INDEX('Inventory - P13'!$E$16:$E$27,(INT((X11-1)/4)+1)))</f>
        <v/>
      </c>
      <c r="G11" s="7" t="str">
        <f t="array" ref="G11">IF(X11="","",INDEX('Inventory - P13'!$I$16:$I$27,(INT((X11-1)/4)+1)))</f>
        <v/>
      </c>
      <c r="H11" s="7" t="str">
        <f t="array" ref="H11">IF(X11="","",INDEX('Inventory - P13'!$J$16:$J$27,(INT((X11-1)/4)+1)))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P13'!$B$16:$B$27,(INT((X12-1)/4)+1))&amp;IF(INDEX('Inventory - P13'!$C$16:$C$27,(INT((X12-1)/4)+1))="",""," ("&amp;INDEX('Inventory - P13'!$C$16:$C$27,(INT((X12-1)/4)+1))&amp;" mg)"))</f>
        <v/>
      </c>
      <c r="D12" s="7" t="str">
        <f t="array" ref="D12">IF(X12="","",INDEX('Inventory - P13'!$K$16:$K$27,(INT((X12-1)/4)+1))-SUMPRODUCT(($B$10:$B$61=B12)*(($I$10:$I$61&lt;&gt;"")+($K$10:$K$61&lt;&gt;"")+($M$10:$M$61&lt;&gt;"")+($O$10:$O$61&lt;&gt;"")+($Q$10:$Q$61&lt;&gt;"")+($S$10:$S$61&lt;&gt;"")+($U$10:$U$61&lt;&gt;""))))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P13'!$D$16:$D$27,(INT((X12-1)/4)+1)))</f>
        <v/>
      </c>
      <c r="F12" s="7" t="str">
        <f t="array" ref="F12">IF(X12="","",INDEX('Inventory - P13'!$E$16:$E$27,(INT((X12-1)/4)+1)))</f>
        <v/>
      </c>
      <c r="G12" s="7" t="str">
        <f t="array" ref="G12">IF(X12="","",INDEX('Inventory - P13'!$I$16:$I$27,(INT((X12-1)/4)+1)))</f>
        <v/>
      </c>
      <c r="H12" s="7" t="str">
        <f t="array" ref="H12">IF(X12="","",INDEX('Inventory - P13'!$J$16:$J$27,(INT((X12-1)/4)+1)))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P13'!$B$16:$B$27,(INT((X13-1)/4)+1))&amp;IF(INDEX('Inventory - P13'!$C$16:$C$27,(INT((X13-1)/4)+1))="",""," ("&amp;INDEX('Inventory - P13'!$C$16:$C$27,(INT((X13-1)/4)+1))&amp;" mg)"))</f>
        <v/>
      </c>
      <c r="D13" s="7" t="str">
        <f t="array" ref="D13">IF(X13="","",INDEX('Inventory - P13'!$K$16:$K$27,(INT((X13-1)/4)+1))-SUMPRODUCT(($B$10:$B$61=B13)*(($I$10:$I$61&lt;&gt;"")+($K$10:$K$61&lt;&gt;"")+($M$10:$M$61&lt;&gt;"")+($O$10:$O$61&lt;&gt;"")+($Q$10:$Q$61&lt;&gt;"")+($S$10:$S$61&lt;&gt;"")+($U$10:$U$61&lt;&gt;""))))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P13'!$D$16:$D$27,(INT((X13-1)/4)+1)))</f>
        <v/>
      </c>
      <c r="F13" s="7" t="str">
        <f t="array" ref="F13">IF(X13="","",INDEX('Inventory - P13'!$E$16:$E$27,(INT((X13-1)/4)+1)))</f>
        <v/>
      </c>
      <c r="G13" s="7" t="str">
        <f t="array" ref="G13">IF(X13="","",INDEX('Inventory - P13'!$I$16:$I$27,(INT((X13-1)/4)+1)))</f>
        <v/>
      </c>
      <c r="H13" s="7" t="str">
        <f t="array" ref="H13">IF(X13="","",INDEX('Inventory - P13'!$J$16:$J$27,(INT((X13-1)/4)+1)))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P13'!$B$16:$B$27,(INT((X14-1)/4)+1))&amp;IF(INDEX('Inventory - P13'!$C$16:$C$27,(INT((X14-1)/4)+1))="",""," ("&amp;INDEX('Inventory - P13'!$C$16:$C$27,(INT((X14-1)/4)+1))&amp;" mg)"))</f>
        <v/>
      </c>
      <c r="D14" s="7" t="str">
        <f t="array" ref="D14">IF(X14="","",INDEX('Inventory - P13'!$K$16:$K$27,(INT((X14-1)/4)+1))-SUMPRODUCT(($B$10:$B$61=B14)*(($I$10:$I$61&lt;&gt;"")+($K$10:$K$61&lt;&gt;"")+($M$10:$M$61&lt;&gt;"")+($O$10:$O$61&lt;&gt;"")+($Q$10:$Q$61&lt;&gt;"")+($S$10:$S$61&lt;&gt;"")+($U$10:$U$61&lt;&gt;""))))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P13'!$D$16:$D$27,(INT((X14-1)/4)+1)))</f>
        <v/>
      </c>
      <c r="F14" s="7" t="str">
        <f t="array" ref="F14">IF(X14="","",INDEX('Inventory - P13'!$E$16:$E$27,(INT((X14-1)/4)+1)))</f>
        <v/>
      </c>
      <c r="G14" s="7" t="str">
        <f t="array" ref="G14">IF(X14="","",INDEX('Inventory - P13'!$I$16:$I$27,(INT((X14-1)/4)+1)))</f>
        <v/>
      </c>
      <c r="H14" s="7" t="str">
        <f t="array" ref="H14">IF(X14="","",INDEX('Inventory - P13'!$J$16:$J$27,(INT((X14-1)/4)+1)))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P13'!$B$16:$B$27,(INT((X15-1)/4)+1))&amp;IF(INDEX('Inventory - P13'!$C$16:$C$27,(INT((X15-1)/4)+1))="",""," ("&amp;INDEX('Inventory - P13'!$C$16:$C$27,(INT((X15-1)/4)+1))&amp;" mg)"))</f>
        <v/>
      </c>
      <c r="D15" s="7" t="str">
        <f t="array" ref="D15">IF(X15="","",INDEX('Inventory - P13'!$K$16:$K$27,(INT((X15-1)/4)+1))-SUMPRODUCT(($B$10:$B$61=B15)*(($I$10:$I$61&lt;&gt;"")+($K$10:$K$61&lt;&gt;"")+($M$10:$M$61&lt;&gt;"")+($O$10:$O$61&lt;&gt;"")+($Q$10:$Q$61&lt;&gt;"")+($S$10:$S$61&lt;&gt;"")+($U$10:$U$61&lt;&gt;""))))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P13'!$D$16:$D$27,(INT((X15-1)/4)+1)))</f>
        <v/>
      </c>
      <c r="F15" s="7" t="str">
        <f t="array" ref="F15">IF(X15="","",INDEX('Inventory - P13'!$E$16:$E$27,(INT((X15-1)/4)+1)))</f>
        <v/>
      </c>
      <c r="G15" s="7" t="str">
        <f t="array" ref="G15">IF(X15="","",INDEX('Inventory - P13'!$I$16:$I$27,(INT((X15-1)/4)+1)))</f>
        <v/>
      </c>
      <c r="H15" s="7" t="str">
        <f t="array" ref="H15">IF(X15="","",INDEX('Inventory - P13'!$J$16:$J$27,(INT((X15-1)/4)+1)))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P13'!$B$16:$B$27,(INT((X16-1)/4)+1))&amp;IF(INDEX('Inventory - P13'!$C$16:$C$27,(INT((X16-1)/4)+1))="",""," ("&amp;INDEX('Inventory - P13'!$C$16:$C$27,(INT((X16-1)/4)+1))&amp;" mg)"))</f>
        <v/>
      </c>
      <c r="D16" s="7" t="str">
        <f t="array" ref="D16">IF(X16="","",INDEX('Inventory - P13'!$K$16:$K$27,(INT((X16-1)/4)+1))-SUMPRODUCT(($B$10:$B$61=B16)*(($I$10:$I$61&lt;&gt;"")+($K$10:$K$61&lt;&gt;"")+($M$10:$M$61&lt;&gt;"")+($O$10:$O$61&lt;&gt;"")+($Q$10:$Q$61&lt;&gt;"")+($S$10:$S$61&lt;&gt;"")+($U$10:$U$61&lt;&gt;""))))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P13'!$D$16:$D$27,(INT((X16-1)/4)+1)))</f>
        <v/>
      </c>
      <c r="F16" s="7" t="str">
        <f t="array" ref="F16">IF(X16="","",INDEX('Inventory - P13'!$E$16:$E$27,(INT((X16-1)/4)+1)))</f>
        <v/>
      </c>
      <c r="G16" s="7" t="str">
        <f t="array" ref="G16">IF(X16="","",INDEX('Inventory - P13'!$I$16:$I$27,(INT((X16-1)/4)+1)))</f>
        <v/>
      </c>
      <c r="H16" s="7" t="str">
        <f t="array" ref="H16">IF(X16="","",INDEX('Inventory - P13'!$J$16:$J$27,(INT((X16-1)/4)+1)))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P13'!$B$16:$B$27,(INT((X17-1)/4)+1))&amp;IF(INDEX('Inventory - P13'!$C$16:$C$27,(INT((X17-1)/4)+1))="",""," ("&amp;INDEX('Inventory - P13'!$C$16:$C$27,(INT((X17-1)/4)+1))&amp;" mg)"))</f>
        <v/>
      </c>
      <c r="D17" s="7" t="str">
        <f t="array" ref="D17">IF(X17="","",INDEX('Inventory - P13'!$K$16:$K$27,(INT((X17-1)/4)+1))-SUMPRODUCT(($B$10:$B$61=B17)*(($I$10:$I$61&lt;&gt;"")+($K$10:$K$61&lt;&gt;"")+($M$10:$M$61&lt;&gt;"")+($O$10:$O$61&lt;&gt;"")+($Q$10:$Q$61&lt;&gt;"")+($S$10:$S$61&lt;&gt;"")+($U$10:$U$61&lt;&gt;""))))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P13'!$D$16:$D$27,(INT((X17-1)/4)+1)))</f>
        <v/>
      </c>
      <c r="F17" s="7" t="str">
        <f t="array" ref="F17">IF(X17="","",INDEX('Inventory - P13'!$E$16:$E$27,(INT((X17-1)/4)+1)))</f>
        <v/>
      </c>
      <c r="G17" s="7" t="str">
        <f t="array" ref="G17">IF(X17="","",INDEX('Inventory - P13'!$I$16:$I$27,(INT((X17-1)/4)+1)))</f>
        <v/>
      </c>
      <c r="H17" s="7" t="str">
        <f t="array" ref="H17">IF(X17="","",INDEX('Inventory - P13'!$J$16:$J$27,(INT((X17-1)/4)+1)))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P13'!$B$16:$B$27,(INT((X18-1)/4)+1))&amp;IF(INDEX('Inventory - P13'!$C$16:$C$27,(INT((X18-1)/4)+1))="",""," ("&amp;INDEX('Inventory - P13'!$C$16:$C$27,(INT((X18-1)/4)+1))&amp;" mg)"))</f>
        <v/>
      </c>
      <c r="D18" s="7" t="str">
        <f t="array" ref="D18">IF(X18="","",INDEX('Inventory - P13'!$K$16:$K$27,(INT((X18-1)/4)+1))-SUMPRODUCT(($B$10:$B$61=B18)*(($I$10:$I$61&lt;&gt;"")+($K$10:$K$61&lt;&gt;"")+($M$10:$M$61&lt;&gt;"")+($O$10:$O$61&lt;&gt;"")+($Q$10:$Q$61&lt;&gt;"")+($S$10:$S$61&lt;&gt;"")+($U$10:$U$61&lt;&gt;""))))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P13'!$D$16:$D$27,(INT((X18-1)/4)+1)))</f>
        <v/>
      </c>
      <c r="F18" s="7" t="str">
        <f t="array" ref="F18">IF(X18="","",INDEX('Inventory - P13'!$E$16:$E$27,(INT((X18-1)/4)+1)))</f>
        <v/>
      </c>
      <c r="G18" s="7" t="str">
        <f t="array" ref="G18">IF(X18="","",INDEX('Inventory - P13'!$I$16:$I$27,(INT((X18-1)/4)+1)))</f>
        <v/>
      </c>
      <c r="H18" s="7" t="str">
        <f t="array" ref="H18">IF(X18="","",INDEX('Inventory - P13'!$J$16:$J$27,(INT((X18-1)/4)+1)))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P13'!$B$16:$B$27,(INT((X19-1)/4)+1))&amp;IF(INDEX('Inventory - P13'!$C$16:$C$27,(INT((X19-1)/4)+1))="",""," ("&amp;INDEX('Inventory - P13'!$C$16:$C$27,(INT((X19-1)/4)+1))&amp;" mg)"))</f>
        <v/>
      </c>
      <c r="D19" s="7" t="str">
        <f t="array" ref="D19">IF(X19="","",INDEX('Inventory - P13'!$K$16:$K$27,(INT((X19-1)/4)+1))-SUMPRODUCT(($B$10:$B$61=B19)*(($I$10:$I$61&lt;&gt;"")+($K$10:$K$61&lt;&gt;"")+($M$10:$M$61&lt;&gt;"")+($O$10:$O$61&lt;&gt;"")+($Q$10:$Q$61&lt;&gt;"")+($S$10:$S$61&lt;&gt;"")+($U$10:$U$61&lt;&gt;""))))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P13'!$D$16:$D$27,(INT((X19-1)/4)+1)))</f>
        <v/>
      </c>
      <c r="F19" s="7" t="str">
        <f t="array" ref="F19">IF(X19="","",INDEX('Inventory - P13'!$E$16:$E$27,(INT((X19-1)/4)+1)))</f>
        <v/>
      </c>
      <c r="G19" s="7" t="str">
        <f t="array" ref="G19">IF(X19="","",INDEX('Inventory - P13'!$I$16:$I$27,(INT((X19-1)/4)+1)))</f>
        <v/>
      </c>
      <c r="H19" s="7" t="str">
        <f t="array" ref="H19">IF(X19="","",INDEX('Inventory - P13'!$J$16:$J$27,(INT((X19-1)/4)+1)))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P13'!$B$16:$B$27,(INT((X20-1)/4)+1))&amp;IF(INDEX('Inventory - P13'!$C$16:$C$27,(INT((X20-1)/4)+1))="",""," ("&amp;INDEX('Inventory - P13'!$C$16:$C$27,(INT((X20-1)/4)+1))&amp;" mg)"))</f>
        <v/>
      </c>
      <c r="D20" s="7" t="str">
        <f t="array" ref="D20">IF(X20="","",INDEX('Inventory - P13'!$K$16:$K$27,(INT((X20-1)/4)+1))-SUMPRODUCT(($B$10:$B$61=B20)*(($I$10:$I$61&lt;&gt;"")+($K$10:$K$61&lt;&gt;"")+($M$10:$M$61&lt;&gt;"")+($O$10:$O$61&lt;&gt;"")+($Q$10:$Q$61&lt;&gt;"")+($S$10:$S$61&lt;&gt;"")+($U$10:$U$61&lt;&gt;""))))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P13'!$D$16:$D$27,(INT((X20-1)/4)+1)))</f>
        <v/>
      </c>
      <c r="F20" s="7" t="str">
        <f t="array" ref="F20">IF(X20="","",INDEX('Inventory - P13'!$E$16:$E$27,(INT((X20-1)/4)+1)))</f>
        <v/>
      </c>
      <c r="G20" s="7" t="str">
        <f t="array" ref="G20">IF(X20="","",INDEX('Inventory - P13'!$I$16:$I$27,(INT((X20-1)/4)+1)))</f>
        <v/>
      </c>
      <c r="H20" s="7" t="str">
        <f t="array" ref="H20">IF(X20="","",INDEX('Inventory - P13'!$J$16:$J$27,(INT((X20-1)/4)+1)))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P13'!$B$16:$B$27,(INT((X21-1)/4)+1))&amp;IF(INDEX('Inventory - P13'!$C$16:$C$27,(INT((X21-1)/4)+1))="",""," ("&amp;INDEX('Inventory - P13'!$C$16:$C$27,(INT((X21-1)/4)+1))&amp;" mg)"))</f>
        <v/>
      </c>
      <c r="D21" s="7" t="str">
        <f t="array" ref="D21">IF(X21="","",INDEX('Inventory - P13'!$K$16:$K$27,(INT((X21-1)/4)+1))-SUMPRODUCT(($B$10:$B$61=B21)*(($I$10:$I$61&lt;&gt;"")+($K$10:$K$61&lt;&gt;"")+($M$10:$M$61&lt;&gt;"")+($O$10:$O$61&lt;&gt;"")+($Q$10:$Q$61&lt;&gt;"")+($S$10:$S$61&lt;&gt;"")+($U$10:$U$61&lt;&gt;""))))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P13'!$D$16:$D$27,(INT((X21-1)/4)+1)))</f>
        <v/>
      </c>
      <c r="F21" s="7" t="str">
        <f t="array" ref="F21">IF(X21="","",INDEX('Inventory - P13'!$E$16:$E$27,(INT((X21-1)/4)+1)))</f>
        <v/>
      </c>
      <c r="G21" s="7" t="str">
        <f t="array" ref="G21">IF(X21="","",INDEX('Inventory - P13'!$I$16:$I$27,(INT((X21-1)/4)+1)))</f>
        <v/>
      </c>
      <c r="H21" s="7" t="str">
        <f t="array" ref="H21">IF(X21="","",INDEX('Inventory - P13'!$J$16:$J$27,(INT((X21-1)/4)+1)))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P13'!$B$16:$B$27,(INT((X22-1)/4)+1))&amp;IF(INDEX('Inventory - P13'!$C$16:$C$27,(INT((X22-1)/4)+1))="",""," ("&amp;INDEX('Inventory - P13'!$C$16:$C$27,(INT((X22-1)/4)+1))&amp;" mg)"))</f>
        <v/>
      </c>
      <c r="D22" s="7" t="str">
        <f t="array" ref="D22">IF(X22="","",INDEX('Inventory - P13'!$K$16:$K$27,(INT((X22-1)/4)+1))-SUMPRODUCT(($B$10:$B$61=B22)*(($I$10:$I$61&lt;&gt;"")+($K$10:$K$61&lt;&gt;"")+($M$10:$M$61&lt;&gt;"")+($O$10:$O$61&lt;&gt;"")+($Q$10:$Q$61&lt;&gt;"")+($S$10:$S$61&lt;&gt;"")+($U$10:$U$61&lt;&gt;""))))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P13'!$D$16:$D$27,(INT((X22-1)/4)+1)))</f>
        <v/>
      </c>
      <c r="F22" s="7" t="str">
        <f t="array" ref="F22">IF(X22="","",INDEX('Inventory - P13'!$E$16:$E$27,(INT((X22-1)/4)+1)))</f>
        <v/>
      </c>
      <c r="G22" s="7" t="str">
        <f t="array" ref="G22">IF(X22="","",INDEX('Inventory - P13'!$I$16:$I$27,(INT((X22-1)/4)+1)))</f>
        <v/>
      </c>
      <c r="H22" s="7" t="str">
        <f t="array" ref="H22">IF(X22="","",INDEX('Inventory - P13'!$J$16:$J$27,(INT((X22-1)/4)+1)))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P13'!$B$16:$B$27,(INT((X24-1)/4)+1))&amp;IF(INDEX('Inventory - P13'!$C$16:$C$27,(INT((X24-1)/4)+1))="",""," ("&amp;INDEX('Inventory - P13'!$C$16:$C$27,(INT((X24-1)/4)+1))&amp;" mg)"))</f>
        <v/>
      </c>
      <c r="D24" s="7" t="str">
        <f t="array" ref="D24">IF(X24="","",INDEX('Inventory - P13'!$K$16:$K$27,(INT((X24-1)/4)+1))-SUMPRODUCT(($B$10:$B$61=B24)*(($I$10:$I$61&lt;&gt;"")+($K$10:$K$61&lt;&gt;"")+($M$10:$M$61&lt;&gt;"")+($O$10:$O$61&lt;&gt;"")+($Q$10:$Q$61&lt;&gt;"")+($S$10:$S$61&lt;&gt;"")+($U$10:$U$61&lt;&gt;""))))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P13'!$D$16:$D$27,(INT((X24-1)/4)+1)))</f>
        <v/>
      </c>
      <c r="F24" s="7" t="str">
        <f t="array" ref="F24">IF(X24="","",INDEX('Inventory - P13'!$E$16:$E$27,(INT((X24-1)/4)+1)))</f>
        <v/>
      </c>
      <c r="G24" s="7" t="str">
        <f t="array" ref="G24">IF(X24="","",INDEX('Inventory - P13'!$I$16:$I$27,(INT((X24-1)/4)+1)))</f>
        <v/>
      </c>
      <c r="H24" s="7" t="str">
        <f t="array" ref="H24">IF(X24="","",INDEX('Inventory - P13'!$J$16:$J$27,(INT((X24-1)/4)+1)))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P13'!$B$16:$B$27,(INT((X25-1)/4)+1))&amp;IF(INDEX('Inventory - P13'!$C$16:$C$27,(INT((X25-1)/4)+1))="",""," ("&amp;INDEX('Inventory - P13'!$C$16:$C$27,(INT((X25-1)/4)+1))&amp;" mg)"))</f>
        <v/>
      </c>
      <c r="D25" s="7" t="str">
        <f t="array" ref="D25">IF(X25="","",INDEX('Inventory - P13'!$K$16:$K$27,(INT((X25-1)/4)+1))-SUMPRODUCT(($B$10:$B$61=B25)*(($I$10:$I$61&lt;&gt;"")+($K$10:$K$61&lt;&gt;"")+($M$10:$M$61&lt;&gt;"")+($O$10:$O$61&lt;&gt;"")+($Q$10:$Q$61&lt;&gt;"")+($S$10:$S$61&lt;&gt;"")+($U$10:$U$61&lt;&gt;""))))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P13'!$D$16:$D$27,(INT((X25-1)/4)+1)))</f>
        <v/>
      </c>
      <c r="F25" s="7" t="str">
        <f t="array" ref="F25">IF(X25="","",INDEX('Inventory - P13'!$E$16:$E$27,(INT((X25-1)/4)+1)))</f>
        <v/>
      </c>
      <c r="G25" s="7" t="str">
        <f t="array" ref="G25">IF(X25="","",INDEX('Inventory - P13'!$I$16:$I$27,(INT((X25-1)/4)+1)))</f>
        <v/>
      </c>
      <c r="H25" s="7" t="str">
        <f t="array" ref="H25">IF(X25="","",INDEX('Inventory - P13'!$J$16:$J$27,(INT((X25-1)/4)+1)))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P13'!$B$16:$B$27,(INT((X26-1)/4)+1))&amp;IF(INDEX('Inventory - P13'!$C$16:$C$27,(INT((X26-1)/4)+1))="",""," ("&amp;INDEX('Inventory - P13'!$C$16:$C$27,(INT((X26-1)/4)+1))&amp;" mg)"))</f>
        <v/>
      </c>
      <c r="D26" s="7" t="str">
        <f t="array" ref="D26">IF(X26="","",INDEX('Inventory - P13'!$K$16:$K$27,(INT((X26-1)/4)+1))-SUMPRODUCT(($B$10:$B$61=B26)*(($I$10:$I$61&lt;&gt;"")+($K$10:$K$61&lt;&gt;"")+($M$10:$M$61&lt;&gt;"")+($O$10:$O$61&lt;&gt;"")+($Q$10:$Q$61&lt;&gt;"")+($S$10:$S$61&lt;&gt;"")+($U$10:$U$61&lt;&gt;""))))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P13'!$D$16:$D$27,(INT((X26-1)/4)+1)))</f>
        <v/>
      </c>
      <c r="F26" s="7" t="str">
        <f t="array" ref="F26">IF(X26="","",INDEX('Inventory - P13'!$E$16:$E$27,(INT((X26-1)/4)+1)))</f>
        <v/>
      </c>
      <c r="G26" s="7" t="str">
        <f t="array" ref="G26">IF(X26="","",INDEX('Inventory - P13'!$I$16:$I$27,(INT((X26-1)/4)+1)))</f>
        <v/>
      </c>
      <c r="H26" s="7" t="str">
        <f t="array" ref="H26">IF(X26="","",INDEX('Inventory - P13'!$J$16:$J$27,(INT((X26-1)/4)+1)))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P13'!$B$16:$B$27,(INT((X27-1)/4)+1))&amp;IF(INDEX('Inventory - P13'!$C$16:$C$27,(INT((X27-1)/4)+1))="",""," ("&amp;INDEX('Inventory - P13'!$C$16:$C$27,(INT((X27-1)/4)+1))&amp;" mg)"))</f>
        <v/>
      </c>
      <c r="D27" s="7" t="str">
        <f t="array" ref="D27">IF(X27="","",INDEX('Inventory - P13'!$K$16:$K$27,(INT((X27-1)/4)+1))-SUMPRODUCT(($B$10:$B$61=B27)*(($I$10:$I$61&lt;&gt;"")+($K$10:$K$61&lt;&gt;"")+($M$10:$M$61&lt;&gt;"")+($O$10:$O$61&lt;&gt;"")+($Q$10:$Q$61&lt;&gt;"")+($S$10:$S$61&lt;&gt;"")+($U$10:$U$61&lt;&gt;""))))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P13'!$D$16:$D$27,(INT((X27-1)/4)+1)))</f>
        <v/>
      </c>
      <c r="F27" s="7" t="str">
        <f t="array" ref="F27">IF(X27="","",INDEX('Inventory - P13'!$E$16:$E$27,(INT((X27-1)/4)+1)))</f>
        <v/>
      </c>
      <c r="G27" s="7" t="str">
        <f t="array" ref="G27">IF(X27="","",INDEX('Inventory - P13'!$I$16:$I$27,(INT((X27-1)/4)+1)))</f>
        <v/>
      </c>
      <c r="H27" s="7" t="str">
        <f t="array" ref="H27">IF(X27="","",INDEX('Inventory - P13'!$J$16:$J$27,(INT((X27-1)/4)+1)))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P13'!$B$16:$B$27,(INT((X28-1)/4)+1))&amp;IF(INDEX('Inventory - P13'!$C$16:$C$27,(INT((X28-1)/4)+1))="",""," ("&amp;INDEX('Inventory - P13'!$C$16:$C$27,(INT((X28-1)/4)+1))&amp;" mg)"))</f>
        <v/>
      </c>
      <c r="D28" s="7" t="str">
        <f t="array" ref="D28">IF(X28="","",INDEX('Inventory - P13'!$K$16:$K$27,(INT((X28-1)/4)+1))-SUMPRODUCT(($B$10:$B$61=B28)*(($I$10:$I$61&lt;&gt;"")+($K$10:$K$61&lt;&gt;"")+($M$10:$M$61&lt;&gt;"")+($O$10:$O$61&lt;&gt;"")+($Q$10:$Q$61&lt;&gt;"")+($S$10:$S$61&lt;&gt;"")+($U$10:$U$61&lt;&gt;""))))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P13'!$D$16:$D$27,(INT((X28-1)/4)+1)))</f>
        <v/>
      </c>
      <c r="F28" s="7" t="str">
        <f t="array" ref="F28">IF(X28="","",INDEX('Inventory - P13'!$E$16:$E$27,(INT((X28-1)/4)+1)))</f>
        <v/>
      </c>
      <c r="G28" s="7" t="str">
        <f t="array" ref="G28">IF(X28="","",INDEX('Inventory - P13'!$I$16:$I$27,(INT((X28-1)/4)+1)))</f>
        <v/>
      </c>
      <c r="H28" s="7" t="str">
        <f t="array" ref="H28">IF(X28="","",INDEX('Inventory - P13'!$J$16:$J$27,(INT((X28-1)/4)+1)))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P13'!$B$16:$B$27,(INT((X29-1)/4)+1))&amp;IF(INDEX('Inventory - P13'!$C$16:$C$27,(INT((X29-1)/4)+1))="",""," ("&amp;INDEX('Inventory - P13'!$C$16:$C$27,(INT((X29-1)/4)+1))&amp;" mg)"))</f>
        <v/>
      </c>
      <c r="D29" s="7" t="str">
        <f t="array" ref="D29">IF(X29="","",INDEX('Inventory - P13'!$K$16:$K$27,(INT((X29-1)/4)+1))-SUMPRODUCT(($B$10:$B$61=B29)*(($I$10:$I$61&lt;&gt;"")+($K$10:$K$61&lt;&gt;"")+($M$10:$M$61&lt;&gt;"")+($O$10:$O$61&lt;&gt;"")+($Q$10:$Q$61&lt;&gt;"")+($S$10:$S$61&lt;&gt;"")+($U$10:$U$61&lt;&gt;""))))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P13'!$D$16:$D$27,(INT((X29-1)/4)+1)))</f>
        <v/>
      </c>
      <c r="F29" s="7" t="str">
        <f t="array" ref="F29">IF(X29="","",INDEX('Inventory - P13'!$E$16:$E$27,(INT((X29-1)/4)+1)))</f>
        <v/>
      </c>
      <c r="G29" s="7" t="str">
        <f t="array" ref="G29">IF(X29="","",INDEX('Inventory - P13'!$I$16:$I$27,(INT((X29-1)/4)+1)))</f>
        <v/>
      </c>
      <c r="H29" s="7" t="str">
        <f t="array" ref="H29">IF(X29="","",INDEX('Inventory - P13'!$J$16:$J$27,(INT((X29-1)/4)+1)))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P13'!$B$16:$B$27,(INT((X30-1)/4)+1))&amp;IF(INDEX('Inventory - P13'!$C$16:$C$27,(INT((X30-1)/4)+1))="",""," ("&amp;INDEX('Inventory - P13'!$C$16:$C$27,(INT((X30-1)/4)+1))&amp;" mg)"))</f>
        <v/>
      </c>
      <c r="D30" s="7" t="str">
        <f t="array" ref="D30">IF(X30="","",INDEX('Inventory - P13'!$K$16:$K$27,(INT((X30-1)/4)+1))-SUMPRODUCT(($B$10:$B$61=B30)*(($I$10:$I$61&lt;&gt;"")+($K$10:$K$61&lt;&gt;"")+($M$10:$M$61&lt;&gt;"")+($O$10:$O$61&lt;&gt;"")+($Q$10:$Q$61&lt;&gt;"")+($S$10:$S$61&lt;&gt;"")+($U$10:$U$61&lt;&gt;""))))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P13'!$D$16:$D$27,(INT((X30-1)/4)+1)))</f>
        <v/>
      </c>
      <c r="F30" s="7" t="str">
        <f t="array" ref="F30">IF(X30="","",INDEX('Inventory - P13'!$E$16:$E$27,(INT((X30-1)/4)+1)))</f>
        <v/>
      </c>
      <c r="G30" s="7" t="str">
        <f t="array" ref="G30">IF(X30="","",INDEX('Inventory - P13'!$I$16:$I$27,(INT((X30-1)/4)+1)))</f>
        <v/>
      </c>
      <c r="H30" s="7" t="str">
        <f t="array" ref="H30">IF(X30="","",INDEX('Inventory - P13'!$J$16:$J$27,(INT((X30-1)/4)+1)))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P13'!$B$16:$B$27,(INT((X31-1)/4)+1))&amp;IF(INDEX('Inventory - P13'!$C$16:$C$27,(INT((X31-1)/4)+1))="",""," ("&amp;INDEX('Inventory - P13'!$C$16:$C$27,(INT((X31-1)/4)+1))&amp;" mg)"))</f>
        <v/>
      </c>
      <c r="D31" s="7" t="str">
        <f t="array" ref="D31">IF(X31="","",INDEX('Inventory - P13'!$K$16:$K$27,(INT((X31-1)/4)+1))-SUMPRODUCT(($B$10:$B$61=B31)*(($I$10:$I$61&lt;&gt;"")+($K$10:$K$61&lt;&gt;"")+($M$10:$M$61&lt;&gt;"")+($O$10:$O$61&lt;&gt;"")+($Q$10:$Q$61&lt;&gt;"")+($S$10:$S$61&lt;&gt;"")+($U$10:$U$61&lt;&gt;""))))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P13'!$D$16:$D$27,(INT((X31-1)/4)+1)))</f>
        <v/>
      </c>
      <c r="F31" s="7" t="str">
        <f t="array" ref="F31">IF(X31="","",INDEX('Inventory - P13'!$E$16:$E$27,(INT((X31-1)/4)+1)))</f>
        <v/>
      </c>
      <c r="G31" s="7" t="str">
        <f t="array" ref="G31">IF(X31="","",INDEX('Inventory - P13'!$I$16:$I$27,(INT((X31-1)/4)+1)))</f>
        <v/>
      </c>
      <c r="H31" s="7" t="str">
        <f t="array" ref="H31">IF(X31="","",INDEX('Inventory - P13'!$J$16:$J$27,(INT((X31-1)/4)+1)))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P13'!$B$16:$B$27,(INT((X32-1)/4)+1))&amp;IF(INDEX('Inventory - P13'!$C$16:$C$27,(INT((X32-1)/4)+1))="",""," ("&amp;INDEX('Inventory - P13'!$C$16:$C$27,(INT((X32-1)/4)+1))&amp;" mg)"))</f>
        <v/>
      </c>
      <c r="D32" s="7" t="str">
        <f t="array" ref="D32">IF(X32="","",INDEX('Inventory - P13'!$K$16:$K$27,(INT((X32-1)/4)+1))-SUMPRODUCT(($B$10:$B$61=B32)*(($I$10:$I$61&lt;&gt;"")+($K$10:$K$61&lt;&gt;"")+($M$10:$M$61&lt;&gt;"")+($O$10:$O$61&lt;&gt;"")+($Q$10:$Q$61&lt;&gt;"")+($S$10:$S$61&lt;&gt;"")+($U$10:$U$61&lt;&gt;""))))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P13'!$D$16:$D$27,(INT((X32-1)/4)+1)))</f>
        <v/>
      </c>
      <c r="F32" s="7" t="str">
        <f t="array" ref="F32">IF(X32="","",INDEX('Inventory - P13'!$E$16:$E$27,(INT((X32-1)/4)+1)))</f>
        <v/>
      </c>
      <c r="G32" s="7" t="str">
        <f t="array" ref="G32">IF(X32="","",INDEX('Inventory - P13'!$I$16:$I$27,(INT((X32-1)/4)+1)))</f>
        <v/>
      </c>
      <c r="H32" s="7" t="str">
        <f t="array" ref="H32">IF(X32="","",INDEX('Inventory - P13'!$J$16:$J$27,(INT((X32-1)/4)+1)))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P13'!$B$16:$B$27,(INT((X33-1)/4)+1))&amp;IF(INDEX('Inventory - P13'!$C$16:$C$27,(INT((X33-1)/4)+1))="",""," ("&amp;INDEX('Inventory - P13'!$C$16:$C$27,(INT((X33-1)/4)+1))&amp;" mg)"))</f>
        <v/>
      </c>
      <c r="D33" s="7" t="str">
        <f t="array" ref="D33">IF(X33="","",INDEX('Inventory - P13'!$K$16:$K$27,(INT((X33-1)/4)+1))-SUMPRODUCT(($B$10:$B$61=B33)*(($I$10:$I$61&lt;&gt;"")+($K$10:$K$61&lt;&gt;"")+($M$10:$M$61&lt;&gt;"")+($O$10:$O$61&lt;&gt;"")+($Q$10:$Q$61&lt;&gt;"")+($S$10:$S$61&lt;&gt;"")+($U$10:$U$61&lt;&gt;""))))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P13'!$D$16:$D$27,(INT((X33-1)/4)+1)))</f>
        <v/>
      </c>
      <c r="F33" s="7" t="str">
        <f t="array" ref="F33">IF(X33="","",INDEX('Inventory - P13'!$E$16:$E$27,(INT((X33-1)/4)+1)))</f>
        <v/>
      </c>
      <c r="G33" s="7" t="str">
        <f t="array" ref="G33">IF(X33="","",INDEX('Inventory - P13'!$I$16:$I$27,(INT((X33-1)/4)+1)))</f>
        <v/>
      </c>
      <c r="H33" s="7" t="str">
        <f t="array" ref="H33">IF(X33="","",INDEX('Inventory - P13'!$J$16:$J$27,(INT((X33-1)/4)+1)))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P13'!$B$16:$B$27,(INT((X34-1)/4)+1))&amp;IF(INDEX('Inventory - P13'!$C$16:$C$27,(INT((X34-1)/4)+1))="",""," ("&amp;INDEX('Inventory - P13'!$C$16:$C$27,(INT((X34-1)/4)+1))&amp;" mg)"))</f>
        <v/>
      </c>
      <c r="D34" s="7" t="str">
        <f t="array" ref="D34">IF(X34="","",INDEX('Inventory - P13'!$K$16:$K$27,(INT((X34-1)/4)+1))-SUMPRODUCT(($B$10:$B$61=B34)*(($I$10:$I$61&lt;&gt;"")+($K$10:$K$61&lt;&gt;"")+($M$10:$M$61&lt;&gt;"")+($O$10:$O$61&lt;&gt;"")+($Q$10:$Q$61&lt;&gt;"")+($S$10:$S$61&lt;&gt;"")+($U$10:$U$61&lt;&gt;""))))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P13'!$D$16:$D$27,(INT((X34-1)/4)+1)))</f>
        <v/>
      </c>
      <c r="F34" s="7" t="str">
        <f t="array" ref="F34">IF(X34="","",INDEX('Inventory - P13'!$E$16:$E$27,(INT((X34-1)/4)+1)))</f>
        <v/>
      </c>
      <c r="G34" s="7" t="str">
        <f t="array" ref="G34">IF(X34="","",INDEX('Inventory - P13'!$I$16:$I$27,(INT((X34-1)/4)+1)))</f>
        <v/>
      </c>
      <c r="H34" s="7" t="str">
        <f t="array" ref="H34">IF(X34="","",INDEX('Inventory - P13'!$J$16:$J$27,(INT((X34-1)/4)+1)))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P13'!$B$16:$B$27,(INT((X35-1)/4)+1))&amp;IF(INDEX('Inventory - P13'!$C$16:$C$27,(INT((X35-1)/4)+1))="",""," ("&amp;INDEX('Inventory - P13'!$C$16:$C$27,(INT((X35-1)/4)+1))&amp;" mg)"))</f>
        <v/>
      </c>
      <c r="D35" s="7" t="str">
        <f t="array" ref="D35">IF(X35="","",INDEX('Inventory - P13'!$K$16:$K$27,(INT((X35-1)/4)+1))-SUMPRODUCT(($B$10:$B$61=B35)*(($I$10:$I$61&lt;&gt;"")+($K$10:$K$61&lt;&gt;"")+($M$10:$M$61&lt;&gt;"")+($O$10:$O$61&lt;&gt;"")+($Q$10:$Q$61&lt;&gt;"")+($S$10:$S$61&lt;&gt;"")+($U$10:$U$61&lt;&gt;""))))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P13'!$D$16:$D$27,(INT((X35-1)/4)+1)))</f>
        <v/>
      </c>
      <c r="F35" s="7" t="str">
        <f t="array" ref="F35">IF(X35="","",INDEX('Inventory - P13'!$E$16:$E$27,(INT((X35-1)/4)+1)))</f>
        <v/>
      </c>
      <c r="G35" s="7" t="str">
        <f t="array" ref="G35">IF(X35="","",INDEX('Inventory - P13'!$I$16:$I$27,(INT((X35-1)/4)+1)))</f>
        <v/>
      </c>
      <c r="H35" s="7" t="str">
        <f t="array" ref="H35">IF(X35="","",INDEX('Inventory - P13'!$J$16:$J$27,(INT((X35-1)/4)+1)))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P13'!$B$16:$B$27,(INT((X37-1)/4)+1))&amp;IF(INDEX('Inventory - P13'!$C$16:$C$27,(INT((X37-1)/4)+1))="",""," ("&amp;INDEX('Inventory - P13'!$C$16:$C$27,(INT((X37-1)/4)+1))&amp;" mg)"))</f>
        <v/>
      </c>
      <c r="D37" s="7" t="str">
        <f t="array" ref="D37">IF(X37="","",INDEX('Inventory - P13'!$K$16:$K$27,(INT((X37-1)/4)+1))-SUMPRODUCT(($B$10:$B$61=B37)*(($I$10:$I$61&lt;&gt;"")+($K$10:$K$61&lt;&gt;"")+($M$10:$M$61&lt;&gt;"")+($O$10:$O$61&lt;&gt;"")+($Q$10:$Q$61&lt;&gt;"")+($S$10:$S$61&lt;&gt;"")+($U$10:$U$61&lt;&gt;""))))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P13'!$D$16:$D$27,(INT((X37-1)/4)+1)))</f>
        <v/>
      </c>
      <c r="F37" s="7" t="str">
        <f t="array" ref="F37">IF(X37="","",INDEX('Inventory - P13'!$E$16:$E$27,(INT((X37-1)/4)+1)))</f>
        <v/>
      </c>
      <c r="G37" s="7" t="str">
        <f t="array" ref="G37">IF(X37="","",INDEX('Inventory - P13'!$I$16:$I$27,(INT((X37-1)/4)+1)))</f>
        <v/>
      </c>
      <c r="H37" s="7" t="str">
        <f t="array" ref="H37">IF(X37="","",INDEX('Inventory - P13'!$J$16:$J$27,(INT((X37-1)/4)+1)))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P13'!$B$16:$B$27,(INT((X38-1)/4)+1))&amp;IF(INDEX('Inventory - P13'!$C$16:$C$27,(INT((X38-1)/4)+1))="",""," ("&amp;INDEX('Inventory - P13'!$C$16:$C$27,(INT((X38-1)/4)+1))&amp;" mg)"))</f>
        <v/>
      </c>
      <c r="D38" s="7" t="str">
        <f t="array" ref="D38">IF(X38="","",INDEX('Inventory - P13'!$K$16:$K$27,(INT((X38-1)/4)+1))-SUMPRODUCT(($B$10:$B$61=B38)*(($I$10:$I$61&lt;&gt;"")+($K$10:$K$61&lt;&gt;"")+($M$10:$M$61&lt;&gt;"")+($O$10:$O$61&lt;&gt;"")+($Q$10:$Q$61&lt;&gt;"")+($S$10:$S$61&lt;&gt;"")+($U$10:$U$61&lt;&gt;""))))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P13'!$D$16:$D$27,(INT((X38-1)/4)+1)))</f>
        <v/>
      </c>
      <c r="F38" s="7" t="str">
        <f t="array" ref="F38">IF(X38="","",INDEX('Inventory - P13'!$E$16:$E$27,(INT((X38-1)/4)+1)))</f>
        <v/>
      </c>
      <c r="G38" s="7" t="str">
        <f t="array" ref="G38">IF(X38="","",INDEX('Inventory - P13'!$I$16:$I$27,(INT((X38-1)/4)+1)))</f>
        <v/>
      </c>
      <c r="H38" s="7" t="str">
        <f t="array" ref="H38">IF(X38="","",INDEX('Inventory - P13'!$J$16:$J$27,(INT((X38-1)/4)+1)))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P13'!$B$16:$B$27,(INT((X39-1)/4)+1))&amp;IF(INDEX('Inventory - P13'!$C$16:$C$27,(INT((X39-1)/4)+1))="",""," ("&amp;INDEX('Inventory - P13'!$C$16:$C$27,(INT((X39-1)/4)+1))&amp;" mg)"))</f>
        <v/>
      </c>
      <c r="D39" s="7" t="str">
        <f t="array" ref="D39">IF(X39="","",INDEX('Inventory - P13'!$K$16:$K$27,(INT((X39-1)/4)+1))-SUMPRODUCT(($B$10:$B$61=B39)*(($I$10:$I$61&lt;&gt;"")+($K$10:$K$61&lt;&gt;"")+($M$10:$M$61&lt;&gt;"")+($O$10:$O$61&lt;&gt;"")+($Q$10:$Q$61&lt;&gt;"")+($S$10:$S$61&lt;&gt;"")+($U$10:$U$61&lt;&gt;""))))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P13'!$D$16:$D$27,(INT((X39-1)/4)+1)))</f>
        <v/>
      </c>
      <c r="F39" s="7" t="str">
        <f t="array" ref="F39">IF(X39="","",INDEX('Inventory - P13'!$E$16:$E$27,(INT((X39-1)/4)+1)))</f>
        <v/>
      </c>
      <c r="G39" s="7" t="str">
        <f t="array" ref="G39">IF(X39="","",INDEX('Inventory - P13'!$I$16:$I$27,(INT((X39-1)/4)+1)))</f>
        <v/>
      </c>
      <c r="H39" s="7" t="str">
        <f t="array" ref="H39">IF(X39="","",INDEX('Inventory - P13'!$J$16:$J$27,(INT((X39-1)/4)+1)))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P13'!$B$16:$B$27,(INT((X40-1)/4)+1))&amp;IF(INDEX('Inventory - P13'!$C$16:$C$27,(INT((X40-1)/4)+1))="",""," ("&amp;INDEX('Inventory - P13'!$C$16:$C$27,(INT((X40-1)/4)+1))&amp;" mg)"))</f>
        <v/>
      </c>
      <c r="D40" s="7" t="str">
        <f t="array" ref="D40">IF(X40="","",INDEX('Inventory - P13'!$K$16:$K$27,(INT((X40-1)/4)+1))-SUMPRODUCT(($B$10:$B$61=B40)*(($I$10:$I$61&lt;&gt;"")+($K$10:$K$61&lt;&gt;"")+($M$10:$M$61&lt;&gt;"")+($O$10:$O$61&lt;&gt;"")+($Q$10:$Q$61&lt;&gt;"")+($S$10:$S$61&lt;&gt;"")+($U$10:$U$61&lt;&gt;""))))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P13'!$D$16:$D$27,(INT((X40-1)/4)+1)))</f>
        <v/>
      </c>
      <c r="F40" s="7" t="str">
        <f t="array" ref="F40">IF(X40="","",INDEX('Inventory - P13'!$E$16:$E$27,(INT((X40-1)/4)+1)))</f>
        <v/>
      </c>
      <c r="G40" s="7" t="str">
        <f t="array" ref="G40">IF(X40="","",INDEX('Inventory - P13'!$I$16:$I$27,(INT((X40-1)/4)+1)))</f>
        <v/>
      </c>
      <c r="H40" s="7" t="str">
        <f t="array" ref="H40">IF(X40="","",INDEX('Inventory - P13'!$J$16:$J$27,(INT((X40-1)/4)+1)))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P13'!$B$16:$B$27,(INT((X41-1)/4)+1))&amp;IF(INDEX('Inventory - P13'!$C$16:$C$27,(INT((X41-1)/4)+1))="",""," ("&amp;INDEX('Inventory - P13'!$C$16:$C$27,(INT((X41-1)/4)+1))&amp;" mg)"))</f>
        <v/>
      </c>
      <c r="D41" s="7" t="str">
        <f t="array" ref="D41">IF(X41="","",INDEX('Inventory - P13'!$K$16:$K$27,(INT((X41-1)/4)+1))-SUMPRODUCT(($B$10:$B$61=B41)*(($I$10:$I$61&lt;&gt;"")+($K$10:$K$61&lt;&gt;"")+($M$10:$M$61&lt;&gt;"")+($O$10:$O$61&lt;&gt;"")+($Q$10:$Q$61&lt;&gt;"")+($S$10:$S$61&lt;&gt;"")+($U$10:$U$61&lt;&gt;""))))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P13'!$D$16:$D$27,(INT((X41-1)/4)+1)))</f>
        <v/>
      </c>
      <c r="F41" s="7" t="str">
        <f t="array" ref="F41">IF(X41="","",INDEX('Inventory - P13'!$E$16:$E$27,(INT((X41-1)/4)+1)))</f>
        <v/>
      </c>
      <c r="G41" s="7" t="str">
        <f t="array" ref="G41">IF(X41="","",INDEX('Inventory - P13'!$I$16:$I$27,(INT((X41-1)/4)+1)))</f>
        <v/>
      </c>
      <c r="H41" s="7" t="str">
        <f t="array" ref="H41">IF(X41="","",INDEX('Inventory - P13'!$J$16:$J$27,(INT((X41-1)/4)+1)))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P13'!$B$16:$B$27,(INT((X42-1)/4)+1))&amp;IF(INDEX('Inventory - P13'!$C$16:$C$27,(INT((X42-1)/4)+1))="",""," ("&amp;INDEX('Inventory - P13'!$C$16:$C$27,(INT((X42-1)/4)+1))&amp;" mg)"))</f>
        <v/>
      </c>
      <c r="D42" s="7" t="str">
        <f t="array" ref="D42">IF(X42="","",INDEX('Inventory - P13'!$K$16:$K$27,(INT((X42-1)/4)+1))-SUMPRODUCT(($B$10:$B$61=B42)*(($I$10:$I$61&lt;&gt;"")+($K$10:$K$61&lt;&gt;"")+($M$10:$M$61&lt;&gt;"")+($O$10:$O$61&lt;&gt;"")+($Q$10:$Q$61&lt;&gt;"")+($S$10:$S$61&lt;&gt;"")+($U$10:$U$61&lt;&gt;""))))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P13'!$D$16:$D$27,(INT((X42-1)/4)+1)))</f>
        <v/>
      </c>
      <c r="F42" s="7" t="str">
        <f t="array" ref="F42">IF(X42="","",INDEX('Inventory - P13'!$E$16:$E$27,(INT((X42-1)/4)+1)))</f>
        <v/>
      </c>
      <c r="G42" s="7" t="str">
        <f t="array" ref="G42">IF(X42="","",INDEX('Inventory - P13'!$I$16:$I$27,(INT((X42-1)/4)+1)))</f>
        <v/>
      </c>
      <c r="H42" s="7" t="str">
        <f t="array" ref="H42">IF(X42="","",INDEX('Inventory - P13'!$J$16:$J$27,(INT((X42-1)/4)+1)))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P13'!$B$16:$B$27,(INT((X43-1)/4)+1))&amp;IF(INDEX('Inventory - P13'!$C$16:$C$27,(INT((X43-1)/4)+1))="",""," ("&amp;INDEX('Inventory - P13'!$C$16:$C$27,(INT((X43-1)/4)+1))&amp;" mg)"))</f>
        <v/>
      </c>
      <c r="D43" s="7" t="str">
        <f t="array" ref="D43">IF(X43="","",INDEX('Inventory - P13'!$K$16:$K$27,(INT((X43-1)/4)+1))-SUMPRODUCT(($B$10:$B$61=B43)*(($I$10:$I$61&lt;&gt;"")+($K$10:$K$61&lt;&gt;"")+($M$10:$M$61&lt;&gt;"")+($O$10:$O$61&lt;&gt;"")+($Q$10:$Q$61&lt;&gt;"")+($S$10:$S$61&lt;&gt;"")+($U$10:$U$61&lt;&gt;""))))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P13'!$D$16:$D$27,(INT((X43-1)/4)+1)))</f>
        <v/>
      </c>
      <c r="F43" s="7" t="str">
        <f t="array" ref="F43">IF(X43="","",INDEX('Inventory - P13'!$E$16:$E$27,(INT((X43-1)/4)+1)))</f>
        <v/>
      </c>
      <c r="G43" s="7" t="str">
        <f t="array" ref="G43">IF(X43="","",INDEX('Inventory - P13'!$I$16:$I$27,(INT((X43-1)/4)+1)))</f>
        <v/>
      </c>
      <c r="H43" s="7" t="str">
        <f t="array" ref="H43">IF(X43="","",INDEX('Inventory - P13'!$J$16:$J$27,(INT((X43-1)/4)+1)))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P13'!$B$16:$B$27,(INT((X44-1)/4)+1))&amp;IF(INDEX('Inventory - P13'!$C$16:$C$27,(INT((X44-1)/4)+1))="",""," ("&amp;INDEX('Inventory - P13'!$C$16:$C$27,(INT((X44-1)/4)+1))&amp;" mg)"))</f>
        <v/>
      </c>
      <c r="D44" s="7" t="str">
        <f t="array" ref="D44">IF(X44="","",INDEX('Inventory - P13'!$K$16:$K$27,(INT((X44-1)/4)+1))-SUMPRODUCT(($B$10:$B$61=B44)*(($I$10:$I$61&lt;&gt;"")+($K$10:$K$61&lt;&gt;"")+($M$10:$M$61&lt;&gt;"")+($O$10:$O$61&lt;&gt;"")+($Q$10:$Q$61&lt;&gt;"")+($S$10:$S$61&lt;&gt;"")+($U$10:$U$61&lt;&gt;""))))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P13'!$D$16:$D$27,(INT((X44-1)/4)+1)))</f>
        <v/>
      </c>
      <c r="F44" s="7" t="str">
        <f t="array" ref="F44">IF(X44="","",INDEX('Inventory - P13'!$E$16:$E$27,(INT((X44-1)/4)+1)))</f>
        <v/>
      </c>
      <c r="G44" s="7" t="str">
        <f t="array" ref="G44">IF(X44="","",INDEX('Inventory - P13'!$I$16:$I$27,(INT((X44-1)/4)+1)))</f>
        <v/>
      </c>
      <c r="H44" s="7" t="str">
        <f t="array" ref="H44">IF(X44="","",INDEX('Inventory - P13'!$J$16:$J$27,(INT((X44-1)/4)+1)))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P13'!$B$16:$B$27,(INT((X45-1)/4)+1))&amp;IF(INDEX('Inventory - P13'!$C$16:$C$27,(INT((X45-1)/4)+1))="",""," ("&amp;INDEX('Inventory - P13'!$C$16:$C$27,(INT((X45-1)/4)+1))&amp;" mg)"))</f>
        <v/>
      </c>
      <c r="D45" s="7" t="str">
        <f t="array" ref="D45">IF(X45="","",INDEX('Inventory - P13'!$K$16:$K$27,(INT((X45-1)/4)+1))-SUMPRODUCT(($B$10:$B$61=B45)*(($I$10:$I$61&lt;&gt;"")+($K$10:$K$61&lt;&gt;"")+($M$10:$M$61&lt;&gt;"")+($O$10:$O$61&lt;&gt;"")+($Q$10:$Q$61&lt;&gt;"")+($S$10:$S$61&lt;&gt;"")+($U$10:$U$61&lt;&gt;""))))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P13'!$D$16:$D$27,(INT((X45-1)/4)+1)))</f>
        <v/>
      </c>
      <c r="F45" s="7" t="str">
        <f t="array" ref="F45">IF(X45="","",INDEX('Inventory - P13'!$E$16:$E$27,(INT((X45-1)/4)+1)))</f>
        <v/>
      </c>
      <c r="G45" s="7" t="str">
        <f t="array" ref="G45">IF(X45="","",INDEX('Inventory - P13'!$I$16:$I$27,(INT((X45-1)/4)+1)))</f>
        <v/>
      </c>
      <c r="H45" s="7" t="str">
        <f t="array" ref="H45">IF(X45="","",INDEX('Inventory - P13'!$J$16:$J$27,(INT((X45-1)/4)+1)))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P13'!$B$16:$B$27,(INT((X46-1)/4)+1))&amp;IF(INDEX('Inventory - P13'!$C$16:$C$27,(INT((X46-1)/4)+1))="",""," ("&amp;INDEX('Inventory - P13'!$C$16:$C$27,(INT((X46-1)/4)+1))&amp;" mg)"))</f>
        <v/>
      </c>
      <c r="D46" s="7" t="str">
        <f t="array" ref="D46">IF(X46="","",INDEX('Inventory - P13'!$K$16:$K$27,(INT((X46-1)/4)+1))-SUMPRODUCT(($B$10:$B$61=B46)*(($I$10:$I$61&lt;&gt;"")+($K$10:$K$61&lt;&gt;"")+($M$10:$M$61&lt;&gt;"")+($O$10:$O$61&lt;&gt;"")+($Q$10:$Q$61&lt;&gt;"")+($S$10:$S$61&lt;&gt;"")+($U$10:$U$61&lt;&gt;""))))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P13'!$D$16:$D$27,(INT((X46-1)/4)+1)))</f>
        <v/>
      </c>
      <c r="F46" s="7" t="str">
        <f t="array" ref="F46">IF(X46="","",INDEX('Inventory - P13'!$E$16:$E$27,(INT((X46-1)/4)+1)))</f>
        <v/>
      </c>
      <c r="G46" s="7" t="str">
        <f t="array" ref="G46">IF(X46="","",INDEX('Inventory - P13'!$I$16:$I$27,(INT((X46-1)/4)+1)))</f>
        <v/>
      </c>
      <c r="H46" s="7" t="str">
        <f t="array" ref="H46">IF(X46="","",INDEX('Inventory - P13'!$J$16:$J$27,(INT((X46-1)/4)+1)))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P13'!$B$16:$B$27,(INT((X47-1)/4)+1))&amp;IF(INDEX('Inventory - P13'!$C$16:$C$27,(INT((X47-1)/4)+1))="",""," ("&amp;INDEX('Inventory - P13'!$C$16:$C$27,(INT((X47-1)/4)+1))&amp;" mg)"))</f>
        <v/>
      </c>
      <c r="D47" s="7" t="str">
        <f t="array" ref="D47">IF(X47="","",INDEX('Inventory - P13'!$K$16:$K$27,(INT((X47-1)/4)+1))-SUMPRODUCT(($B$10:$B$61=B47)*(($I$10:$I$61&lt;&gt;"")+($K$10:$K$61&lt;&gt;"")+($M$10:$M$61&lt;&gt;"")+($O$10:$O$61&lt;&gt;"")+($Q$10:$Q$61&lt;&gt;"")+($S$10:$S$61&lt;&gt;"")+($U$10:$U$61&lt;&gt;""))))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P13'!$D$16:$D$27,(INT((X47-1)/4)+1)))</f>
        <v/>
      </c>
      <c r="F47" s="7" t="str">
        <f t="array" ref="F47">IF(X47="","",INDEX('Inventory - P13'!$E$16:$E$27,(INT((X47-1)/4)+1)))</f>
        <v/>
      </c>
      <c r="G47" s="7" t="str">
        <f t="array" ref="G47">IF(X47="","",INDEX('Inventory - P13'!$I$16:$I$27,(INT((X47-1)/4)+1)))</f>
        <v/>
      </c>
      <c r="H47" s="7" t="str">
        <f t="array" ref="H47">IF(X47="","",INDEX('Inventory - P13'!$J$16:$J$27,(INT((X47-1)/4)+1)))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P13'!$B$16:$B$27,(INT((X48-1)/4)+1))&amp;IF(INDEX('Inventory - P13'!$C$16:$C$27,(INT((X48-1)/4)+1))="",""," ("&amp;INDEX('Inventory - P13'!$C$16:$C$27,(INT((X48-1)/4)+1))&amp;" mg)"))</f>
        <v/>
      </c>
      <c r="D48" s="7" t="str">
        <f t="array" ref="D48">IF(X48="","",INDEX('Inventory - P13'!$K$16:$K$27,(INT((X48-1)/4)+1))-SUMPRODUCT(($B$10:$B$61=B48)*(($I$10:$I$61&lt;&gt;"")+($K$10:$K$61&lt;&gt;"")+($M$10:$M$61&lt;&gt;"")+($O$10:$O$61&lt;&gt;"")+($Q$10:$Q$61&lt;&gt;"")+($S$10:$S$61&lt;&gt;"")+($U$10:$U$61&lt;&gt;""))))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P13'!$D$16:$D$27,(INT((X48-1)/4)+1)))</f>
        <v/>
      </c>
      <c r="F48" s="7" t="str">
        <f t="array" ref="F48">IF(X48="","",INDEX('Inventory - P13'!$E$16:$E$27,(INT((X48-1)/4)+1)))</f>
        <v/>
      </c>
      <c r="G48" s="7" t="str">
        <f t="array" ref="G48">IF(X48="","",INDEX('Inventory - P13'!$I$16:$I$27,(INT((X48-1)/4)+1)))</f>
        <v/>
      </c>
      <c r="H48" s="7" t="str">
        <f t="array" ref="H48">IF(X48="","",INDEX('Inventory - P13'!$J$16:$J$27,(INT((X48-1)/4)+1)))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P13'!$B$16:$B$27,(INT((X50-1)/4)+1))&amp;IF(INDEX('Inventory - P13'!$C$16:$C$27,(INT((X50-1)/4)+1))="",""," ("&amp;INDEX('Inventory - P13'!$C$16:$C$27,(INT((X50-1)/4)+1))&amp;" mg)"))</f>
        <v/>
      </c>
      <c r="D50" s="7" t="str">
        <f t="array" ref="D50">IF(X50="","",INDEX('Inventory - P13'!$K$16:$K$27,(INT((X50-1)/4)+1))-SUMPRODUCT(($B$10:$B$61=B50)*(($I$10:$I$61&lt;&gt;"")+($K$10:$K$61&lt;&gt;"")+($M$10:$M$61&lt;&gt;"")+($O$10:$O$61&lt;&gt;"")+($Q$10:$Q$61&lt;&gt;"")+($S$10:$S$61&lt;&gt;"")+($U$10:$U$61&lt;&gt;""))))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P13'!$D$16:$D$27,(INT((X50-1)/4)+1)))</f>
        <v/>
      </c>
      <c r="F50" s="7" t="str">
        <f t="array" ref="F50">IF(X50="","",INDEX('Inventory - P13'!$E$16:$E$27,(INT((X50-1)/4)+1)))</f>
        <v/>
      </c>
      <c r="G50" s="7" t="str">
        <f t="array" ref="G50">IF(X50="","",INDEX('Inventory - P13'!$I$16:$I$27,(INT((X50-1)/4)+1)))</f>
        <v/>
      </c>
      <c r="H50" s="7" t="str">
        <f t="array" ref="H50">IF(X50="","",INDEX('Inventory - P13'!$J$16:$J$27,(INT((X50-1)/4)+1)))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P13'!$B$16:$B$27,(INT((X51-1)/4)+1))&amp;IF(INDEX('Inventory - P13'!$C$16:$C$27,(INT((X51-1)/4)+1))="",""," ("&amp;INDEX('Inventory - P13'!$C$16:$C$27,(INT((X51-1)/4)+1))&amp;" mg)"))</f>
        <v/>
      </c>
      <c r="D51" s="7" t="str">
        <f t="array" ref="D51">IF(X51="","",INDEX('Inventory - P13'!$K$16:$K$27,(INT((X51-1)/4)+1))-SUMPRODUCT(($B$10:$B$61=B51)*(($I$10:$I$61&lt;&gt;"")+($K$10:$K$61&lt;&gt;"")+($M$10:$M$61&lt;&gt;"")+($O$10:$O$61&lt;&gt;"")+($Q$10:$Q$61&lt;&gt;"")+($S$10:$S$61&lt;&gt;"")+($U$10:$U$61&lt;&gt;""))))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P13'!$D$16:$D$27,(INT((X51-1)/4)+1)))</f>
        <v/>
      </c>
      <c r="F51" s="7" t="str">
        <f t="array" ref="F51">IF(X51="","",INDEX('Inventory - P13'!$E$16:$E$27,(INT((X51-1)/4)+1)))</f>
        <v/>
      </c>
      <c r="G51" s="7" t="str">
        <f t="array" ref="G51">IF(X51="","",INDEX('Inventory - P13'!$I$16:$I$27,(INT((X51-1)/4)+1)))</f>
        <v/>
      </c>
      <c r="H51" s="7" t="str">
        <f t="array" ref="H51">IF(X51="","",INDEX('Inventory - P13'!$J$16:$J$27,(INT((X51-1)/4)+1)))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P13'!$B$16:$B$27,(INT((X52-1)/4)+1))&amp;IF(INDEX('Inventory - P13'!$C$16:$C$27,(INT((X52-1)/4)+1))="",""," ("&amp;INDEX('Inventory - P13'!$C$16:$C$27,(INT((X52-1)/4)+1))&amp;" mg)"))</f>
        <v/>
      </c>
      <c r="D52" s="7" t="str">
        <f t="array" ref="D52">IF(X52="","",INDEX('Inventory - P13'!$K$16:$K$27,(INT((X52-1)/4)+1))-SUMPRODUCT(($B$10:$B$61=B52)*(($I$10:$I$61&lt;&gt;"")+($K$10:$K$61&lt;&gt;"")+($M$10:$M$61&lt;&gt;"")+($O$10:$O$61&lt;&gt;"")+($Q$10:$Q$61&lt;&gt;"")+($S$10:$S$61&lt;&gt;"")+($U$10:$U$61&lt;&gt;""))))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P13'!$D$16:$D$27,(INT((X52-1)/4)+1)))</f>
        <v/>
      </c>
      <c r="F52" s="7" t="str">
        <f t="array" ref="F52">IF(X52="","",INDEX('Inventory - P13'!$E$16:$E$27,(INT((X52-1)/4)+1)))</f>
        <v/>
      </c>
      <c r="G52" s="7" t="str">
        <f t="array" ref="G52">IF(X52="","",INDEX('Inventory - P13'!$I$16:$I$27,(INT((X52-1)/4)+1)))</f>
        <v/>
      </c>
      <c r="H52" s="7" t="str">
        <f t="array" ref="H52">IF(X52="","",INDEX('Inventory - P13'!$J$16:$J$27,(INT((X52-1)/4)+1)))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P13'!$B$16:$B$27,(INT((X53-1)/4)+1))&amp;IF(INDEX('Inventory - P13'!$C$16:$C$27,(INT((X53-1)/4)+1))="",""," ("&amp;INDEX('Inventory - P13'!$C$16:$C$27,(INT((X53-1)/4)+1))&amp;" mg)"))</f>
        <v/>
      </c>
      <c r="D53" s="7" t="str">
        <f t="array" ref="D53">IF(X53="","",INDEX('Inventory - P13'!$K$16:$K$27,(INT((X53-1)/4)+1))-SUMPRODUCT(($B$10:$B$61=B53)*(($I$10:$I$61&lt;&gt;"")+($K$10:$K$61&lt;&gt;"")+($M$10:$M$61&lt;&gt;"")+($O$10:$O$61&lt;&gt;"")+($Q$10:$Q$61&lt;&gt;"")+($S$10:$S$61&lt;&gt;"")+($U$10:$U$61&lt;&gt;""))))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P13'!$D$16:$D$27,(INT((X53-1)/4)+1)))</f>
        <v/>
      </c>
      <c r="F53" s="7" t="str">
        <f t="array" ref="F53">IF(X53="","",INDEX('Inventory - P13'!$E$16:$E$27,(INT((X53-1)/4)+1)))</f>
        <v/>
      </c>
      <c r="G53" s="7" t="str">
        <f t="array" ref="G53">IF(X53="","",INDEX('Inventory - P13'!$I$16:$I$27,(INT((X53-1)/4)+1)))</f>
        <v/>
      </c>
      <c r="H53" s="7" t="str">
        <f t="array" ref="H53">IF(X53="","",INDEX('Inventory - P13'!$J$16:$J$27,(INT((X53-1)/4)+1)))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P13'!$B$16:$B$27,(INT((X54-1)/4)+1))&amp;IF(INDEX('Inventory - P13'!$C$16:$C$27,(INT((X54-1)/4)+1))="",""," ("&amp;INDEX('Inventory - P13'!$C$16:$C$27,(INT((X54-1)/4)+1))&amp;" mg)"))</f>
        <v/>
      </c>
      <c r="D54" s="7" t="str">
        <f t="array" ref="D54">IF(X54="","",INDEX('Inventory - P13'!$K$16:$K$27,(INT((X54-1)/4)+1))-SUMPRODUCT(($B$10:$B$61=B54)*(($I$10:$I$61&lt;&gt;"")+($K$10:$K$61&lt;&gt;"")+($M$10:$M$61&lt;&gt;"")+($O$10:$O$61&lt;&gt;"")+($Q$10:$Q$61&lt;&gt;"")+($S$10:$S$61&lt;&gt;"")+($U$10:$U$61&lt;&gt;""))))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P13'!$D$16:$D$27,(INT((X54-1)/4)+1)))</f>
        <v/>
      </c>
      <c r="F54" s="7" t="str">
        <f t="array" ref="F54">IF(X54="","",INDEX('Inventory - P13'!$E$16:$E$27,(INT((X54-1)/4)+1)))</f>
        <v/>
      </c>
      <c r="G54" s="7" t="str">
        <f t="array" ref="G54">IF(X54="","",INDEX('Inventory - P13'!$I$16:$I$27,(INT((X54-1)/4)+1)))</f>
        <v/>
      </c>
      <c r="H54" s="7" t="str">
        <f t="array" ref="H54">IF(X54="","",INDEX('Inventory - P13'!$J$16:$J$27,(INT((X54-1)/4)+1)))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P13'!$B$16:$B$27,(INT((X55-1)/4)+1))&amp;IF(INDEX('Inventory - P13'!$C$16:$C$27,(INT((X55-1)/4)+1))="",""," ("&amp;INDEX('Inventory - P13'!$C$16:$C$27,(INT((X55-1)/4)+1))&amp;" mg)"))</f>
        <v/>
      </c>
      <c r="D55" s="7" t="str">
        <f t="array" ref="D55">IF(X55="","",INDEX('Inventory - P13'!$K$16:$K$27,(INT((X55-1)/4)+1))-SUMPRODUCT(($B$10:$B$61=B55)*(($I$10:$I$61&lt;&gt;"")+($K$10:$K$61&lt;&gt;"")+($M$10:$M$61&lt;&gt;"")+($O$10:$O$61&lt;&gt;"")+($Q$10:$Q$61&lt;&gt;"")+($S$10:$S$61&lt;&gt;"")+($U$10:$U$61&lt;&gt;""))))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P13'!$D$16:$D$27,(INT((X55-1)/4)+1)))</f>
        <v/>
      </c>
      <c r="F55" s="7" t="str">
        <f t="array" ref="F55">IF(X55="","",INDEX('Inventory - P13'!$E$16:$E$27,(INT((X55-1)/4)+1)))</f>
        <v/>
      </c>
      <c r="G55" s="7" t="str">
        <f t="array" ref="G55">IF(X55="","",INDEX('Inventory - P13'!$I$16:$I$27,(INT((X55-1)/4)+1)))</f>
        <v/>
      </c>
      <c r="H55" s="7" t="str">
        <f t="array" ref="H55">IF(X55="","",INDEX('Inventory - P13'!$J$16:$J$27,(INT((X55-1)/4)+1)))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P13'!$B$16:$B$27,(INT((X56-1)/4)+1))&amp;IF(INDEX('Inventory - P13'!$C$16:$C$27,(INT((X56-1)/4)+1))="",""," ("&amp;INDEX('Inventory - P13'!$C$16:$C$27,(INT((X56-1)/4)+1))&amp;" mg)"))</f>
        <v/>
      </c>
      <c r="D56" s="7" t="str">
        <f t="array" ref="D56">IF(X56="","",INDEX('Inventory - P13'!$K$16:$K$27,(INT((X56-1)/4)+1))-SUMPRODUCT(($B$10:$B$61=B56)*(($I$10:$I$61&lt;&gt;"")+($K$10:$K$61&lt;&gt;"")+($M$10:$M$61&lt;&gt;"")+($O$10:$O$61&lt;&gt;"")+($Q$10:$Q$61&lt;&gt;"")+($S$10:$S$61&lt;&gt;"")+($U$10:$U$61&lt;&gt;""))))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P13'!$D$16:$D$27,(INT((X56-1)/4)+1)))</f>
        <v/>
      </c>
      <c r="F56" s="7" t="str">
        <f t="array" ref="F56">IF(X56="","",INDEX('Inventory - P13'!$E$16:$E$27,(INT((X56-1)/4)+1)))</f>
        <v/>
      </c>
      <c r="G56" s="7" t="str">
        <f t="array" ref="G56">IF(X56="","",INDEX('Inventory - P13'!$I$16:$I$27,(INT((X56-1)/4)+1)))</f>
        <v/>
      </c>
      <c r="H56" s="7" t="str">
        <f t="array" ref="H56">IF(X56="","",INDEX('Inventory - P13'!$J$16:$J$27,(INT((X56-1)/4)+1)))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P13'!$B$16:$B$27,(INT((X57-1)/4)+1))&amp;IF(INDEX('Inventory - P13'!$C$16:$C$27,(INT((X57-1)/4)+1))="",""," ("&amp;INDEX('Inventory - P13'!$C$16:$C$27,(INT((X57-1)/4)+1))&amp;" mg)"))</f>
        <v/>
      </c>
      <c r="D57" s="7" t="str">
        <f t="array" ref="D57">IF(X57="","",INDEX('Inventory - P13'!$K$16:$K$27,(INT((X57-1)/4)+1))-SUMPRODUCT(($B$10:$B$61=B57)*(($I$10:$I$61&lt;&gt;"")+($K$10:$K$61&lt;&gt;"")+($M$10:$M$61&lt;&gt;"")+($O$10:$O$61&lt;&gt;"")+($Q$10:$Q$61&lt;&gt;"")+($S$10:$S$61&lt;&gt;"")+($U$10:$U$61&lt;&gt;""))))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P13'!$D$16:$D$27,(INT((X57-1)/4)+1)))</f>
        <v/>
      </c>
      <c r="F57" s="7" t="str">
        <f t="array" ref="F57">IF(X57="","",INDEX('Inventory - P13'!$E$16:$E$27,(INT((X57-1)/4)+1)))</f>
        <v/>
      </c>
      <c r="G57" s="7" t="str">
        <f t="array" ref="G57">IF(X57="","",INDEX('Inventory - P13'!$I$16:$I$27,(INT((X57-1)/4)+1)))</f>
        <v/>
      </c>
      <c r="H57" s="7" t="str">
        <f t="array" ref="H57">IF(X57="","",INDEX('Inventory - P13'!$J$16:$J$27,(INT((X57-1)/4)+1)))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P13'!$B$16:$B$27,(INT((X58-1)/4)+1))&amp;IF(INDEX('Inventory - P13'!$C$16:$C$27,(INT((X58-1)/4)+1))="",""," ("&amp;INDEX('Inventory - P13'!$C$16:$C$27,(INT((X58-1)/4)+1))&amp;" mg)"))</f>
        <v/>
      </c>
      <c r="D58" s="7" t="str">
        <f t="array" ref="D58">IF(X58="","",INDEX('Inventory - P13'!$K$16:$K$27,(INT((X58-1)/4)+1))-SUMPRODUCT(($B$10:$B$61=B58)*(($I$10:$I$61&lt;&gt;"")+($K$10:$K$61&lt;&gt;"")+($M$10:$M$61&lt;&gt;"")+($O$10:$O$61&lt;&gt;"")+($Q$10:$Q$61&lt;&gt;"")+($S$10:$S$61&lt;&gt;"")+($U$10:$U$61&lt;&gt;""))))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P13'!$D$16:$D$27,(INT((X58-1)/4)+1)))</f>
        <v/>
      </c>
      <c r="F58" s="7" t="str">
        <f t="array" ref="F58">IF(X58="","",INDEX('Inventory - P13'!$E$16:$E$27,(INT((X58-1)/4)+1)))</f>
        <v/>
      </c>
      <c r="G58" s="7" t="str">
        <f t="array" ref="G58">IF(X58="","",INDEX('Inventory - P13'!$I$16:$I$27,(INT((X58-1)/4)+1)))</f>
        <v/>
      </c>
      <c r="H58" s="7" t="str">
        <f t="array" ref="H58">IF(X58="","",INDEX('Inventory - P13'!$J$16:$J$27,(INT((X58-1)/4)+1)))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P13'!$B$16:$B$27,(INT((X59-1)/4)+1))&amp;IF(INDEX('Inventory - P13'!$C$16:$C$27,(INT((X59-1)/4)+1))="",""," ("&amp;INDEX('Inventory - P13'!$C$16:$C$27,(INT((X59-1)/4)+1))&amp;" mg)"))</f>
        <v/>
      </c>
      <c r="D59" s="7" t="str">
        <f t="array" ref="D59">IF(X59="","",INDEX('Inventory - P13'!$K$16:$K$27,(INT((X59-1)/4)+1))-SUMPRODUCT(($B$10:$B$61=B59)*(($I$10:$I$61&lt;&gt;"")+($K$10:$K$61&lt;&gt;"")+($M$10:$M$61&lt;&gt;"")+($O$10:$O$61&lt;&gt;"")+($Q$10:$Q$61&lt;&gt;"")+($S$10:$S$61&lt;&gt;"")+($U$10:$U$61&lt;&gt;""))))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P13'!$D$16:$D$27,(INT((X59-1)/4)+1)))</f>
        <v/>
      </c>
      <c r="F59" s="7" t="str">
        <f t="array" ref="F59">IF(X59="","",INDEX('Inventory - P13'!$E$16:$E$27,(INT((X59-1)/4)+1)))</f>
        <v/>
      </c>
      <c r="G59" s="7" t="str">
        <f t="array" ref="G59">IF(X59="","",INDEX('Inventory - P13'!$I$16:$I$27,(INT((X59-1)/4)+1)))</f>
        <v/>
      </c>
      <c r="H59" s="7" t="str">
        <f t="array" ref="H59">IF(X59="","",INDEX('Inventory - P13'!$J$16:$J$27,(INT((X59-1)/4)+1)))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P13'!$B$16:$B$27,(INT((X60-1)/4)+1))&amp;IF(INDEX('Inventory - P13'!$C$16:$C$27,(INT((X60-1)/4)+1))="",""," ("&amp;INDEX('Inventory - P13'!$C$16:$C$27,(INT((X60-1)/4)+1))&amp;" mg)"))</f>
        <v/>
      </c>
      <c r="D60" s="7" t="str">
        <f t="array" ref="D60">IF(X60="","",INDEX('Inventory - P13'!$K$16:$K$27,(INT((X60-1)/4)+1))-SUMPRODUCT(($B$10:$B$61=B60)*(($I$10:$I$61&lt;&gt;"")+($K$10:$K$61&lt;&gt;"")+($M$10:$M$61&lt;&gt;"")+($O$10:$O$61&lt;&gt;"")+($Q$10:$Q$61&lt;&gt;"")+($S$10:$S$61&lt;&gt;"")+($U$10:$U$61&lt;&gt;""))))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P13'!$D$16:$D$27,(INT((X60-1)/4)+1)))</f>
        <v/>
      </c>
      <c r="F60" s="7" t="str">
        <f t="array" ref="F60">IF(X60="","",INDEX('Inventory - P13'!$E$16:$E$27,(INT((X60-1)/4)+1)))</f>
        <v/>
      </c>
      <c r="G60" s="7" t="str">
        <f t="array" ref="G60">IF(X60="","",INDEX('Inventory - P13'!$I$16:$I$27,(INT((X60-1)/4)+1)))</f>
        <v/>
      </c>
      <c r="H60" s="7" t="str">
        <f t="array" ref="H60">IF(X60="","",INDEX('Inventory - P13'!$J$16:$J$27,(INT((X60-1)/4)+1)))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P13'!$B$16:$B$27,(INT((X61-1)/4)+1))&amp;IF(INDEX('Inventory - P13'!$C$16:$C$27,(INT((X61-1)/4)+1))="",""," ("&amp;INDEX('Inventory - P13'!$C$16:$C$27,(INT((X61-1)/4)+1))&amp;" mg)"))</f>
        <v/>
      </c>
      <c r="D61" s="7" t="str">
        <f t="array" ref="D61">IF(X61="","",INDEX('Inventory - P13'!$K$16:$K$27,(INT((X61-1)/4)+1))-SUMPRODUCT(($B$10:$B$61=B61)*(($I$10:$I$61&lt;&gt;"")+($K$10:$K$61&lt;&gt;"")+($M$10:$M$61&lt;&gt;"")+($O$10:$O$61&lt;&gt;"")+($Q$10:$Q$61&lt;&gt;"")+($S$10:$S$61&lt;&gt;"")+($U$10:$U$61&lt;&gt;""))))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P13'!$D$16:$D$27,(INT((X61-1)/4)+1)))</f>
        <v/>
      </c>
      <c r="F61" s="7" t="str">
        <f t="array" ref="F61">IF(X61="","",INDEX('Inventory - P13'!$E$16:$E$27,(INT((X61-1)/4)+1)))</f>
        <v/>
      </c>
      <c r="G61" s="7" t="str">
        <f t="array" ref="G61">IF(X61="","",INDEX('Inventory - P13'!$I$16:$I$27,(INT((X61-1)/4)+1)))</f>
        <v/>
      </c>
      <c r="H61" s="7" t="str">
        <f t="array" ref="H61">IF(X61="","",INDEX('Inventory - P13'!$J$16:$J$27,(INT((X61-1)/4)+1)))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P13'!E16&lt;1,'Inventory - P13'!F16="",'Inventory - P13'!G16=""),9,MOD('Inventory - P13'!F16+0*'Inventory - P13'!G16/24,1))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P13'!E16&lt;2,'Inventory - P13'!F16="",'Inventory - P13'!G16=""),9,MOD('Inventory - P13'!F16+1*'Inventory - P13'!G16/24,1))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P13'!E16&lt;3,'Inventory - P13'!F16="",'Inventory - P13'!G16=""),9,MOD('Inventory - P13'!F16+2*'Inventory - P13'!G16/24,1))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P13'!E16&lt;4,'Inventory - P13'!F16="",'Inventory - P13'!G16=""),9,MOD('Inventory - P13'!F16+3*'Inventory - P13'!G16/24,1))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P13'!E17&lt;1,'Inventory - P13'!F17="",'Inventory - P13'!G17=""),9,MOD('Inventory - P13'!F17+0*'Inventory - P13'!G17/24,1))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P13'!E17&lt;2,'Inventory - P13'!F17="",'Inventory - P13'!G17=""),9,MOD('Inventory - P13'!F17+1*'Inventory - P13'!G17/24,1))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P13'!E17&lt;3,'Inventory - P13'!F17="",'Inventory - P13'!G17=""),9,MOD('Inventory - P13'!F17+2*'Inventory - P13'!G17/24,1))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P13'!E17&lt;4,'Inventory - P13'!F17="",'Inventory - P13'!G17=""),9,MOD('Inventory - P13'!F17+3*'Inventory - P13'!G17/24,1))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P13'!E18&lt;1,'Inventory - P13'!F18="",'Inventory - P13'!G18=""),9,MOD('Inventory - P13'!F18+0*'Inventory - P13'!G18/24,1))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P13'!E18&lt;2,'Inventory - P13'!F18="",'Inventory - P13'!G18=""),9,MOD('Inventory - P13'!F18+1*'Inventory - P13'!G18/24,1))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P13'!E18&lt;3,'Inventory - P13'!F18="",'Inventory - P13'!G18=""),9,MOD('Inventory - P13'!F18+2*'Inventory - P13'!G18/24,1))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P13'!E18&lt;4,'Inventory - P13'!F18="",'Inventory - P13'!G18=""),9,MOD('Inventory - P13'!F18+3*'Inventory - P13'!G18/24,1))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P13'!E19&lt;1,'Inventory - P13'!F19="",'Inventory - P13'!G19=""),9,MOD('Inventory - P13'!F19+0*'Inventory - P13'!G19/24,1))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P13'!E19&lt;2,'Inventory - P13'!F19="",'Inventory - P13'!G19=""),9,MOD('Inventory - P13'!F19+1*'Inventory - P13'!G19/24,1))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P13'!E19&lt;3,'Inventory - P13'!F19="",'Inventory - P13'!G19=""),9,MOD('Inventory - P13'!F19+2*'Inventory - P13'!G19/24,1))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P13'!E19&lt;4,'Inventory - P13'!F19="",'Inventory - P13'!G19=""),9,MOD('Inventory - P13'!F19+3*'Inventory - P13'!G19/24,1))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P13'!E20&lt;1,'Inventory - P13'!F20="",'Inventory - P13'!G20=""),9,MOD('Inventory - P13'!F20+0*'Inventory - P13'!G20/24,1))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P13'!E20&lt;2,'Inventory - P13'!F20="",'Inventory - P13'!G20=""),9,MOD('Inventory - P13'!F20+1*'Inventory - P13'!G20/24,1))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P13'!E20&lt;3,'Inventory - P13'!F20="",'Inventory - P13'!G20=""),9,MOD('Inventory - P13'!F20+2*'Inventory - P13'!G20/24,1))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P13'!E20&lt;4,'Inventory - P13'!F20="",'Inventory - P13'!G20=""),9,MOD('Inventory - P13'!F20+3*'Inventory - P13'!G20/24,1))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P13'!E21&lt;1,'Inventory - P13'!F21="",'Inventory - P13'!G21=""),9,MOD('Inventory - P13'!F21+0*'Inventory - P13'!G21/24,1))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P13'!E21&lt;2,'Inventory - P13'!F21="",'Inventory - P13'!G21=""),9,MOD('Inventory - P13'!F21+1*'Inventory - P13'!G21/24,1))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P13'!E21&lt;3,'Inventory - P13'!F21="",'Inventory - P13'!G21=""),9,MOD('Inventory - P13'!F21+2*'Inventory - P13'!G21/24,1))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P13'!E21&lt;4,'Inventory - P13'!F21="",'Inventory - P13'!G21=""),9,MOD('Inventory - P13'!F21+3*'Inventory - P13'!G21/24,1))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P13'!E22&lt;1,'Inventory - P13'!F22="",'Inventory - P13'!G22=""),9,MOD('Inventory - P13'!F22+0*'Inventory - P13'!G22/24,1))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P13'!E22&lt;2,'Inventory - P13'!F22="",'Inventory - P13'!G22=""),9,MOD('Inventory - P13'!F22+1*'Inventory - P13'!G22/24,1))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P13'!E22&lt;3,'Inventory - P13'!F22="",'Inventory - P13'!G22=""),9,MOD('Inventory - P13'!F22+2*'Inventory - P13'!G22/24,1))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P13'!E22&lt;4,'Inventory - P13'!F22="",'Inventory - P13'!G22=""),9,MOD('Inventory - P13'!F22+3*'Inventory - P13'!G22/24,1))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P13'!E23&lt;1,'Inventory - P13'!F23="",'Inventory - P13'!G23=""),9,MOD('Inventory - P13'!F23+0*'Inventory - P13'!G23/24,1))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P13'!E23&lt;2,'Inventory - P13'!F23="",'Inventory - P13'!G23=""),9,MOD('Inventory - P13'!F23+1*'Inventory - P13'!G23/24,1))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P13'!E23&lt;3,'Inventory - P13'!F23="",'Inventory - P13'!G23=""),9,MOD('Inventory - P13'!F23+2*'Inventory - P13'!G23/24,1))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P13'!E23&lt;4,'Inventory - P13'!F23="",'Inventory - P13'!G23=""),9,MOD('Inventory - P13'!F23+3*'Inventory - P13'!G23/24,1))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P13'!E24&lt;1,'Inventory - P13'!F24="",'Inventory - P13'!G24=""),9,MOD('Inventory - P13'!F24+0*'Inventory - P13'!G24/24,1))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P13'!E24&lt;2,'Inventory - P13'!F24="",'Inventory - P13'!G24=""),9,MOD('Inventory - P13'!F24+1*'Inventory - P13'!G24/24,1))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P13'!E24&lt;3,'Inventory - P13'!F24="",'Inventory - P13'!G24=""),9,MOD('Inventory - P13'!F24+2*'Inventory - P13'!G24/24,1))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P13'!E24&lt;4,'Inventory - P13'!F24="",'Inventory - P13'!G24=""),9,MOD('Inventory - P13'!F24+3*'Inventory - P13'!G24/24,1))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P13'!E25&lt;1,'Inventory - P13'!F25="",'Inventory - P13'!G25=""),9,MOD('Inventory - P13'!F25+0*'Inventory - P13'!G25/24,1))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P13'!E25&lt;2,'Inventory - P13'!F25="",'Inventory - P13'!G25=""),9,MOD('Inventory - P13'!F25+1*'Inventory - P13'!G25/24,1))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P13'!E25&lt;3,'Inventory - P13'!F25="",'Inventory - P13'!G25=""),9,MOD('Inventory - P13'!F25+2*'Inventory - P13'!G25/24,1))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P13'!E25&lt;4,'Inventory - P13'!F25="",'Inventory - P13'!G25=""),9,MOD('Inventory - P13'!F25+3*'Inventory - P13'!G25/24,1))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P13'!E26&lt;1,'Inventory - P13'!F26="",'Inventory - P13'!G26=""),9,MOD('Inventory - P13'!F26+0*'Inventory - P13'!G26/24,1))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P13'!E26&lt;2,'Inventory - P13'!F26="",'Inventory - P13'!G26=""),9,MOD('Inventory - P13'!F26+1*'Inventory - P13'!G26/24,1))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P13'!E26&lt;3,'Inventory - P13'!F26="",'Inventory - P13'!G26=""),9,MOD('Inventory - P13'!F26+2*'Inventory - P13'!G26/24,1))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P13'!E26&lt;4,'Inventory - P13'!F26="",'Inventory - P13'!G26=""),9,MOD('Inventory - P13'!F26+3*'Inventory - P13'!G26/24,1))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P13'!E27&lt;1,'Inventory - P13'!F27="",'Inventory - P13'!G27=""),9,MOD('Inventory - P13'!F27+0*'Inventory - P13'!G27/24,1))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P13'!E27&lt;2,'Inventory - P13'!F27="",'Inventory - P13'!G27=""),9,MOD('Inventory - P13'!F27+1*'Inventory - P13'!G27/24,1))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P13'!E27&lt;3,'Inventory - P13'!F27="",'Inventory - P13'!G27=""),9,MOD('Inventory - P13'!F27+2*'Inventory - P13'!G27/24,1))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P13'!E27&lt;4,'Inventory - P13'!F27="",'Inventory - P13'!G27=""),9,MOD('Inventory - P13'!F27+3*'Inventory - P13'!G27/24,1))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229" priority="1">
      <formula>$W11&gt;=9</formula>
    </cfRule>
  </conditionalFormatting>
  <conditionalFormatting sqref="A12:V12">
    <cfRule type="expression" dxfId="228" priority="2">
      <formula>$W12&gt;=9</formula>
    </cfRule>
  </conditionalFormatting>
  <conditionalFormatting sqref="A13:V13">
    <cfRule type="expression" dxfId="227" priority="3">
      <formula>$W13&gt;=9</formula>
    </cfRule>
  </conditionalFormatting>
  <conditionalFormatting sqref="A14:V14">
    <cfRule type="expression" dxfId="226" priority="4">
      <formula>$W14&gt;=9</formula>
    </cfRule>
  </conditionalFormatting>
  <conditionalFormatting sqref="A15:V15">
    <cfRule type="expression" dxfId="225" priority="5">
      <formula>$W15&gt;=9</formula>
    </cfRule>
  </conditionalFormatting>
  <conditionalFormatting sqref="A16:V16">
    <cfRule type="expression" dxfId="224" priority="6">
      <formula>$W16&gt;=9</formula>
    </cfRule>
  </conditionalFormatting>
  <conditionalFormatting sqref="A17:V17">
    <cfRule type="expression" dxfId="223" priority="7">
      <formula>$W17&gt;=9</formula>
    </cfRule>
  </conditionalFormatting>
  <conditionalFormatting sqref="A18:V18">
    <cfRule type="expression" dxfId="222" priority="8">
      <formula>$W18&gt;=9</formula>
    </cfRule>
  </conditionalFormatting>
  <conditionalFormatting sqref="A19:V19">
    <cfRule type="expression" dxfId="221" priority="9">
      <formula>$W19&gt;=9</formula>
    </cfRule>
  </conditionalFormatting>
  <conditionalFormatting sqref="A20:V20">
    <cfRule type="expression" dxfId="220" priority="10">
      <formula>$W20&gt;=9</formula>
    </cfRule>
  </conditionalFormatting>
  <conditionalFormatting sqref="A21:V21">
    <cfRule type="expression" dxfId="219" priority="11">
      <formula>$W21&gt;=9</formula>
    </cfRule>
  </conditionalFormatting>
  <conditionalFormatting sqref="A22:V22">
    <cfRule type="expression" dxfId="218" priority="12">
      <formula>$W22&gt;=9</formula>
    </cfRule>
  </conditionalFormatting>
  <conditionalFormatting sqref="A24:V24">
    <cfRule type="expression" dxfId="217" priority="13">
      <formula>$W24&gt;=9</formula>
    </cfRule>
  </conditionalFormatting>
  <conditionalFormatting sqref="A25:V25">
    <cfRule type="expression" dxfId="216" priority="14">
      <formula>$W25&gt;=9</formula>
    </cfRule>
  </conditionalFormatting>
  <conditionalFormatting sqref="A26:V26">
    <cfRule type="expression" dxfId="215" priority="15">
      <formula>$W26&gt;=9</formula>
    </cfRule>
  </conditionalFormatting>
  <conditionalFormatting sqref="A27:V27">
    <cfRule type="expression" dxfId="214" priority="16">
      <formula>$W27&gt;=9</formula>
    </cfRule>
  </conditionalFormatting>
  <conditionalFormatting sqref="A28:V28">
    <cfRule type="expression" dxfId="213" priority="17">
      <formula>$W28&gt;=9</formula>
    </cfRule>
  </conditionalFormatting>
  <conditionalFormatting sqref="A29:V29">
    <cfRule type="expression" dxfId="212" priority="18">
      <formula>$W29&gt;=9</formula>
    </cfRule>
  </conditionalFormatting>
  <conditionalFormatting sqref="A30:V30">
    <cfRule type="expression" dxfId="211" priority="19">
      <formula>$W30&gt;=9</formula>
    </cfRule>
  </conditionalFormatting>
  <conditionalFormatting sqref="A31:V31">
    <cfRule type="expression" dxfId="210" priority="20">
      <formula>$W31&gt;=9</formula>
    </cfRule>
  </conditionalFormatting>
  <conditionalFormatting sqref="A32:V32">
    <cfRule type="expression" dxfId="209" priority="21">
      <formula>$W32&gt;=9</formula>
    </cfRule>
  </conditionalFormatting>
  <conditionalFormatting sqref="A33:V33">
    <cfRule type="expression" dxfId="208" priority="22">
      <formula>$W33&gt;=9</formula>
    </cfRule>
  </conditionalFormatting>
  <conditionalFormatting sqref="A34:V34">
    <cfRule type="expression" dxfId="207" priority="23">
      <formula>$W34&gt;=9</formula>
    </cfRule>
  </conditionalFormatting>
  <conditionalFormatting sqref="A35:V35">
    <cfRule type="expression" dxfId="206" priority="24">
      <formula>$W35&gt;=9</formula>
    </cfRule>
  </conditionalFormatting>
  <conditionalFormatting sqref="A37:V37">
    <cfRule type="expression" dxfId="205" priority="25">
      <formula>$W37&gt;=9</formula>
    </cfRule>
  </conditionalFormatting>
  <conditionalFormatting sqref="A38:V38">
    <cfRule type="expression" dxfId="204" priority="26">
      <formula>$W38&gt;=9</formula>
    </cfRule>
  </conditionalFormatting>
  <conditionalFormatting sqref="A39:V39">
    <cfRule type="expression" dxfId="203" priority="27">
      <formula>$W39&gt;=9</formula>
    </cfRule>
  </conditionalFormatting>
  <conditionalFormatting sqref="A40:V40">
    <cfRule type="expression" dxfId="202" priority="28">
      <formula>$W40&gt;=9</formula>
    </cfRule>
  </conditionalFormatting>
  <conditionalFormatting sqref="A41:V41">
    <cfRule type="expression" dxfId="201" priority="29">
      <formula>$W41&gt;=9</formula>
    </cfRule>
  </conditionalFormatting>
  <conditionalFormatting sqref="A42:V42">
    <cfRule type="expression" dxfId="200" priority="30">
      <formula>$W42&gt;=9</formula>
    </cfRule>
  </conditionalFormatting>
  <conditionalFormatting sqref="A43:V43">
    <cfRule type="expression" dxfId="199" priority="31">
      <formula>$W43&gt;=9</formula>
    </cfRule>
  </conditionalFormatting>
  <conditionalFormatting sqref="A44:V44">
    <cfRule type="expression" dxfId="198" priority="32">
      <formula>$W44&gt;=9</formula>
    </cfRule>
  </conditionalFormatting>
  <conditionalFormatting sqref="A45:V45">
    <cfRule type="expression" dxfId="197" priority="33">
      <formula>$W45&gt;=9</formula>
    </cfRule>
  </conditionalFormatting>
  <conditionalFormatting sqref="A46:V46">
    <cfRule type="expression" dxfId="196" priority="34">
      <formula>$W46&gt;=9</formula>
    </cfRule>
  </conditionalFormatting>
  <conditionalFormatting sqref="A47:V47">
    <cfRule type="expression" dxfId="195" priority="35">
      <formula>$W47&gt;=9</formula>
    </cfRule>
  </conditionalFormatting>
  <conditionalFormatting sqref="A48:V48">
    <cfRule type="expression" dxfId="194" priority="36">
      <formula>$W48&gt;=9</formula>
    </cfRule>
  </conditionalFormatting>
  <conditionalFormatting sqref="A50:V50">
    <cfRule type="expression" dxfId="193" priority="37">
      <formula>$W50&gt;=9</formula>
    </cfRule>
  </conditionalFormatting>
  <conditionalFormatting sqref="A51:V51">
    <cfRule type="expression" dxfId="192" priority="38">
      <formula>$W51&gt;=9</formula>
    </cfRule>
  </conditionalFormatting>
  <conditionalFormatting sqref="A52:V52">
    <cfRule type="expression" dxfId="191" priority="39">
      <formula>$W52&gt;=9</formula>
    </cfRule>
  </conditionalFormatting>
  <conditionalFormatting sqref="A53:V53">
    <cfRule type="expression" dxfId="190" priority="40">
      <formula>$W53&gt;=9</formula>
    </cfRule>
  </conditionalFormatting>
  <conditionalFormatting sqref="A54:V54">
    <cfRule type="expression" dxfId="189" priority="41">
      <formula>$W54&gt;=9</formula>
    </cfRule>
  </conditionalFormatting>
  <conditionalFormatting sqref="A55:V55">
    <cfRule type="expression" dxfId="188" priority="42">
      <formula>$W55&gt;=9</formula>
    </cfRule>
  </conditionalFormatting>
  <conditionalFormatting sqref="A56:V56">
    <cfRule type="expression" dxfId="187" priority="43">
      <formula>$W56&gt;=9</formula>
    </cfRule>
  </conditionalFormatting>
  <conditionalFormatting sqref="A57:V57">
    <cfRule type="expression" dxfId="186" priority="44">
      <formula>$W57&gt;=9</formula>
    </cfRule>
  </conditionalFormatting>
  <conditionalFormatting sqref="A58:V58">
    <cfRule type="expression" dxfId="185" priority="45">
      <formula>$W58&gt;=9</formula>
    </cfRule>
  </conditionalFormatting>
  <conditionalFormatting sqref="A59:V59">
    <cfRule type="expression" dxfId="184" priority="46">
      <formula>$W59&gt;=9</formula>
    </cfRule>
  </conditionalFormatting>
  <conditionalFormatting sqref="A60:V60">
    <cfRule type="expression" dxfId="183" priority="47">
      <formula>$W60&gt;=9</formula>
    </cfRule>
  </conditionalFormatting>
  <conditionalFormatting sqref="A61:V61">
    <cfRule type="expression" dxfId="182" priority="48">
      <formula>$W61&gt;=9</formula>
    </cfRule>
  </conditionalFormatting>
  <conditionalFormatting sqref="H10:H61">
    <cfRule type="cellIs" dxfId="181" priority="49" operator="equal">
      <formula>"Physical"</formula>
    </cfRule>
  </conditionalFormatting>
  <conditionalFormatting sqref="H10:H61">
    <cfRule type="cellIs" dxfId="180" priority="50" operator="equal">
      <formula>"Psychological"</formula>
    </cfRule>
  </conditionalFormatting>
  <conditionalFormatting sqref="G10:G61">
    <cfRule type="cellIs" dxfId="179" priority="51" operator="equal">
      <formula>"Y"</formula>
    </cfRule>
  </conditionalFormatting>
  <conditionalFormatting sqref="G10:G61">
    <cfRule type="cellIs" dxfId="178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K19" sqref="K19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Tracker'!B18="","",UPPER(LEFT(TRIM('Client Needs Tracker'!B18),1))&amp;UPPER(MID('Client Needs Tracker'!B18,FIND("@",SUBSTITUTE('Client Needs Tracker'!B18," ","@",LEN('Client Needs Tracker'!B18)-LEN(SUBSTITUTE('Client Needs Tracker'!B18," ",""))))+1,1))&amp;"-"&amp;SUBSTITUTE('Client Needs Tracker'!S18," ",""))</f>
        <v>ML-F-3B</v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Tracker'!S18="","","INV-"&amp;SUBSTITUTE('Client Needs Tracker'!S18," ",""))</f>
        <v>INV-F-3B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Tracker'!B18="","(Add client on Client Needs Tracker, row 18)",'Client Needs Tracker'!B18)</f>
        <v>Manuel Lewis</v>
      </c>
      <c r="B6" s="134"/>
      <c r="C6" s="134"/>
      <c r="D6" s="134"/>
      <c r="E6" s="134"/>
      <c r="F6" s="93">
        <f>'Client Needs Tracker'!A18</f>
        <v>3855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>
        <f>IF('Client Needs Tracker'!C18="","",'Client Needs Tracker'!C18)</f>
        <v>46205</v>
      </c>
      <c r="B8" s="134"/>
      <c r="C8" s="134"/>
      <c r="D8" s="134"/>
      <c r="E8" s="134"/>
      <c r="F8" s="95" t="str">
        <f>'Client Needs Tracker'!E18</f>
        <v>LOC5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Tracker'!F18="","",'Client Needs Tracker'!F18)</f>
        <v>J. Wilkers</v>
      </c>
      <c r="B10" s="134"/>
      <c r="C10" s="134"/>
      <c r="D10" s="134"/>
      <c r="E10" s="134"/>
      <c r="F10" s="89">
        <f>IF('Client Status Board'!G18="","",'Client Status Board'!G18)</f>
        <v>46238</v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Board'!L18="","",'Client Status Board'!L18)</f>
        <v>CVS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 t="s">
        <v>167</v>
      </c>
      <c r="C16" s="7">
        <v>20</v>
      </c>
      <c r="D16" s="7" t="s">
        <v>226</v>
      </c>
      <c r="E16" s="7">
        <v>2</v>
      </c>
      <c r="F16" s="48">
        <v>0.33333333333333331</v>
      </c>
      <c r="G16" s="7">
        <v>12</v>
      </c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>8:00 AM / 8:00 PM</v>
      </c>
      <c r="I16" s="7" t="s">
        <v>227</v>
      </c>
      <c r="J16" s="7" t="s">
        <v>209</v>
      </c>
      <c r="K16" s="7">
        <v>30</v>
      </c>
      <c r="L16" s="50">
        <f>IF($K16="","",$K16-SUMPRODUCT(('MAR - P14'!$B$10:$B$61=1)*(('MAR - P14'!$I$10:$I$61&lt;&gt;"")+('MAR - P14'!$K$10:$K$61&lt;&gt;"")+('MAR - P14'!$M$10:$M$61&lt;&gt;"")+('MAR - P14'!$O$10:$O$61&lt;&gt;"")+('MAR - P14'!$Q$10:$Q$61&lt;&gt;"")+('MAR - P14'!$S$10:$S$61&lt;&gt;"")+('MAR - P14'!$U$10:$U$61&lt;&gt;""))))</f>
        <v>30</v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P14'!$B$10:$B$61=2)*(('MAR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P14'!$B$10:$B$61=3)*(('MAR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P14'!$B$10:$B$61=4)*(('MAR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P14'!$B$10:$B$61=5)*(('MAR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P14'!$B$10:$B$61=6)*(('MAR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P14'!$B$10:$B$61=7)*(('MAR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P14'!$B$10:$B$61=8)*(('MAR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P14'!$B$10:$B$61=9)*(('MAR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P14'!$B$10:$B$61=10)*(('MAR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P14'!$B$10:$B$61=11)*(('MAR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P14'!$B$10:$B$61=12)*(('MAR - P14'!$I$10:$I$61&lt;&gt;"")+('MAR - P14'!$K$10:$K$61&lt;&gt;"")+('MAR - P14'!$M$10:$M$61&lt;&gt;"")+('MAR - P14'!$O$10:$O$61&lt;&gt;"")+('MAR - P14'!$Q$10:$Q$61&lt;&gt;"")+('MAR - P14'!$S$10:$S$61&lt;&gt;"")+('MAR - P14'!$U$10:$U$61&lt;&gt;""))))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177" priority="1" operator="equal">
      <formula>"Physical"</formula>
    </cfRule>
  </conditionalFormatting>
  <conditionalFormatting sqref="J16:J27">
    <cfRule type="cellIs" dxfId="176" priority="2" operator="equal">
      <formula>"Psychological"</formula>
    </cfRule>
  </conditionalFormatting>
  <conditionalFormatting sqref="I16:I27">
    <cfRule type="cellIs" dxfId="175" priority="3" operator="equal">
      <formula>"Y"</formula>
    </cfRule>
  </conditionalFormatting>
  <conditionalFormatting sqref="I16:I27">
    <cfRule type="cellIs" dxfId="174" priority="4" operator="equal">
      <formula>"N"</formula>
    </cfRule>
  </conditionalFormatting>
  <dataValidations count="5">
    <dataValidation type="list" allowBlank="1" sqref="I16:I27" xr:uid="{00000000-0002-0000-1F00-000001000000}">
      <formula1>"Y,N"</formula1>
    </dataValidation>
    <dataValidation type="list" allowBlank="1" sqref="J16:J27" xr:uid="{00000000-0002-0000-1F00-000002000000}">
      <formula1>"Physical,Psychological"</formula1>
    </dataValidation>
    <dataValidation type="list" allowBlank="1" sqref="C16:C27" xr:uid="{00000000-0002-0000-1F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1F00-000004000000}">
      <formula1>"PO,IM,IV,SubQ,Topical,Inhaled,Sublingual,Rectal,Other"</formula1>
    </dataValidation>
    <dataValidation type="list" allowBlank="1" sqref="G16:G27" xr:uid="{00000000-0002-0000-1F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F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Tracker'!B18="","",UPPER(LEFT(TRIM('Client Needs Tracker'!B18),1))&amp;UPPER(MID('Client Needs Tracker'!B18,FIND("@",SUBSTITUTE('Client Needs Tracker'!B18," ","@",LEN('Client Needs Tracker'!B18)-LEN(SUBSTITUTE('Client Needs Tracker'!B18," ",""))))+1,1))&amp;"-"&amp;SUBSTITUTE('Client Needs Tracker'!S18," ",""))</f>
        <v>ML-F-3B</v>
      </c>
    </row>
    <row r="3" spans="1:33" ht="15" customHeight="1">
      <c r="A3" s="103" t="str">
        <f>IF('Inventory - P14'!A6="","(Enter name in Inventory - P14)",'Inventory - P14'!A6)</f>
        <v>Manuel Lewis</v>
      </c>
      <c r="B3" s="145"/>
      <c r="C3" s="145"/>
      <c r="D3" s="145"/>
      <c r="E3" s="145"/>
      <c r="F3" s="104" t="str">
        <f>IF('Inventory - P14'!F6="","(Enter ID in Inventory - P14)","Member ID: "&amp;'Inventory - P14'!F6)</f>
        <v>Member ID: 3855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Tracker'!S18="","","INV-"&amp;SUBSTITUTE('Client Needs Tracker'!S18," ",""))</f>
        <v>INV-F-3B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P14'!F8="","-",'Inventory - P14'!F8)</f>
        <v>LOC: LOC5</v>
      </c>
      <c r="B5" s="106"/>
      <c r="C5" s="2"/>
      <c r="D5" s="102" t="str">
        <f>"Case Manager: "&amp;IF('Inventory - P14'!A10="","-",'Inventory - P14'!A10)</f>
        <v>Case Manager: J. Wilkers</v>
      </c>
      <c r="E5" s="106"/>
      <c r="F5" s="2"/>
      <c r="G5" s="102" t="str">
        <f>"Doctor: "&amp;IF('Inventory - P14'!F10="","-",'Inventory - P14'!F10)</f>
        <v>Doctor: 46238</v>
      </c>
      <c r="H5" s="106"/>
      <c r="I5" s="2"/>
      <c r="J5" s="102" t="str">
        <f>"Pharmacy: "&amp;IF('Inventory - P14'!A12="","-",'Inventory - P14'!A12)</f>
        <v>Pharmacy: CVS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P14'!A14="","",'Inventory - P14'!A14)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P14'!A14="","",'Inventory - P14'!A14+0)</f>
        <v/>
      </c>
      <c r="J8" s="134"/>
      <c r="K8" s="101" t="str">
        <f>IF('Inventory - P14'!A14="","",'Inventory - P14'!A14+1)</f>
        <v/>
      </c>
      <c r="L8" s="134"/>
      <c r="M8" s="101" t="str">
        <f>IF('Inventory - P14'!A14="","",'Inventory - P14'!A14+2)</f>
        <v/>
      </c>
      <c r="N8" s="134"/>
      <c r="O8" s="101" t="str">
        <f>IF('Inventory - P14'!A14="","",'Inventory - P14'!A14+3)</f>
        <v/>
      </c>
      <c r="P8" s="134"/>
      <c r="Q8" s="101" t="str">
        <f>IF('Inventory - P14'!A14="","",'Inventory - P14'!A14+4)</f>
        <v/>
      </c>
      <c r="R8" s="134"/>
      <c r="S8" s="101" t="str">
        <f>IF('Inventory - P14'!A14="","",'Inventory - P14'!A14+5)</f>
        <v/>
      </c>
      <c r="T8" s="134"/>
      <c r="U8" s="101" t="str">
        <f>IF('Inventory - P14'!A14="","",'Inventory - P14'!A14+6)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>8:00 AM</v>
      </c>
      <c r="B11" s="7">
        <f t="shared" ref="B11:B22" si="1">IF(X11="","",(INT((X11-1)/4)+1))</f>
        <v>1</v>
      </c>
      <c r="C11" s="14" t="str">
        <f t="array" ref="C11">IF(X11="","",INDEX('Inventory - P14'!$B$16:$B$27,(INT((X11-1)/4)+1))&amp;IF(INDEX('Inventory - P14'!$C$16:$C$27,(INT((X11-1)/4)+1))="",""," ("&amp;INDEX('Inventory - P14'!$C$16:$C$27,(INT((X11-1)/4)+1))&amp;" mg)"))</f>
        <v>Fluoxetine (Prozac) (20 mg)</v>
      </c>
      <c r="D11" s="7">
        <f t="array" ref="D11">IF(X11="","",INDEX('Inventory - P14'!$K$16:$K$27,(INT((X11-1)/4)+1))-SUMPRODUCT(($B$10:$B$61=B11)*(($I$10:$I$61&lt;&gt;"")+($K$10:$K$61&lt;&gt;"")+($M$10:$M$61&lt;&gt;"")+($O$10:$O$61&lt;&gt;"")+($Q$10:$Q$61&lt;&gt;"")+($S$10:$S$61&lt;&gt;"")+($U$10:$U$61&lt;&gt;""))))</f>
        <v>30</v>
      </c>
      <c r="E11" s="7" t="str">
        <f t="array" ref="E11">IF(X11="","",INDEX('Inventory - P14'!$D$16:$D$27,(INT((X11-1)/4)+1)))</f>
        <v>SubQ</v>
      </c>
      <c r="F11" s="7">
        <f t="array" ref="F11">IF(X11="","",INDEX('Inventory - P14'!$E$16:$E$27,(INT((X11-1)/4)+1)))</f>
        <v>2</v>
      </c>
      <c r="G11" s="7" t="str">
        <f t="array" ref="G11">IF(X11="","",INDEX('Inventory - P14'!$I$16:$I$27,(INT((X11-1)/4)+1)))</f>
        <v>N</v>
      </c>
      <c r="H11" s="7" t="str">
        <f t="array" ref="H11">IF(X11="","",INDEX('Inventory - P14'!$J$16:$J$27,(INT((X11-1)/4)+1)))</f>
        <v>Physical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0.33333333333333331</v>
      </c>
      <c r="X11" s="2">
        <f t="shared" ref="X11:X22" si="2">IF(W11&lt;9,MATCH(W11,$Z$67:$Z$114,0),"")</f>
        <v>1</v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P14'!$B$16:$B$27,(INT((X12-1)/4)+1))&amp;IF(INDEX('Inventory - P14'!$C$16:$C$27,(INT((X12-1)/4)+1))="",""," ("&amp;INDEX('Inventory - P14'!$C$16:$C$27,(INT((X12-1)/4)+1))&amp;" mg)"))</f>
        <v/>
      </c>
      <c r="D12" s="7" t="str">
        <f t="array" ref="D12">IF(X12="","",INDEX('Inventory - P14'!$K$16:$K$27,(INT((X12-1)/4)+1))-SUMPRODUCT(($B$10:$B$61=B12)*(($I$10:$I$61&lt;&gt;"")+($K$10:$K$61&lt;&gt;"")+($M$10:$M$61&lt;&gt;"")+($O$10:$O$61&lt;&gt;"")+($Q$10:$Q$61&lt;&gt;"")+($S$10:$S$61&lt;&gt;"")+($U$10:$U$61&lt;&gt;""))))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P14'!$D$16:$D$27,(INT((X12-1)/4)+1)))</f>
        <v/>
      </c>
      <c r="F12" s="7" t="str">
        <f t="array" ref="F12">IF(X12="","",INDEX('Inventory - P14'!$E$16:$E$27,(INT((X12-1)/4)+1)))</f>
        <v/>
      </c>
      <c r="G12" s="7" t="str">
        <f t="array" ref="G12">IF(X12="","",INDEX('Inventory - P14'!$I$16:$I$27,(INT((X12-1)/4)+1)))</f>
        <v/>
      </c>
      <c r="H12" s="7" t="str">
        <f t="array" ref="H12">IF(X12="","",INDEX('Inventory - P14'!$J$16:$J$27,(INT((X12-1)/4)+1)))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P14'!$B$16:$B$27,(INT((X13-1)/4)+1))&amp;IF(INDEX('Inventory - P14'!$C$16:$C$27,(INT((X13-1)/4)+1))="",""," ("&amp;INDEX('Inventory - P14'!$C$16:$C$27,(INT((X13-1)/4)+1))&amp;" mg)"))</f>
        <v/>
      </c>
      <c r="D13" s="7" t="str">
        <f t="array" ref="D13">IF(X13="","",INDEX('Inventory - P14'!$K$16:$K$27,(INT((X13-1)/4)+1))-SUMPRODUCT(($B$10:$B$61=B13)*(($I$10:$I$61&lt;&gt;"")+($K$10:$K$61&lt;&gt;"")+($M$10:$M$61&lt;&gt;"")+($O$10:$O$61&lt;&gt;"")+($Q$10:$Q$61&lt;&gt;"")+($S$10:$S$61&lt;&gt;"")+($U$10:$U$61&lt;&gt;""))))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P14'!$D$16:$D$27,(INT((X13-1)/4)+1)))</f>
        <v/>
      </c>
      <c r="F13" s="7" t="str">
        <f t="array" ref="F13">IF(X13="","",INDEX('Inventory - P14'!$E$16:$E$27,(INT((X13-1)/4)+1)))</f>
        <v/>
      </c>
      <c r="G13" s="7" t="str">
        <f t="array" ref="G13">IF(X13="","",INDEX('Inventory - P14'!$I$16:$I$27,(INT((X13-1)/4)+1)))</f>
        <v/>
      </c>
      <c r="H13" s="7" t="str">
        <f t="array" ref="H13">IF(X13="","",INDEX('Inventory - P14'!$J$16:$J$27,(INT((X13-1)/4)+1)))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P14'!$B$16:$B$27,(INT((X14-1)/4)+1))&amp;IF(INDEX('Inventory - P14'!$C$16:$C$27,(INT((X14-1)/4)+1))="",""," ("&amp;INDEX('Inventory - P14'!$C$16:$C$27,(INT((X14-1)/4)+1))&amp;" mg)"))</f>
        <v/>
      </c>
      <c r="D14" s="7" t="str">
        <f t="array" ref="D14">IF(X14="","",INDEX('Inventory - P14'!$K$16:$K$27,(INT((X14-1)/4)+1))-SUMPRODUCT(($B$10:$B$61=B14)*(($I$10:$I$61&lt;&gt;"")+($K$10:$K$61&lt;&gt;"")+($M$10:$M$61&lt;&gt;"")+($O$10:$O$61&lt;&gt;"")+($Q$10:$Q$61&lt;&gt;"")+($S$10:$S$61&lt;&gt;"")+($U$10:$U$61&lt;&gt;""))))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P14'!$D$16:$D$27,(INT((X14-1)/4)+1)))</f>
        <v/>
      </c>
      <c r="F14" s="7" t="str">
        <f t="array" ref="F14">IF(X14="","",INDEX('Inventory - P14'!$E$16:$E$27,(INT((X14-1)/4)+1)))</f>
        <v/>
      </c>
      <c r="G14" s="7" t="str">
        <f t="array" ref="G14">IF(X14="","",INDEX('Inventory - P14'!$I$16:$I$27,(INT((X14-1)/4)+1)))</f>
        <v/>
      </c>
      <c r="H14" s="7" t="str">
        <f t="array" ref="H14">IF(X14="","",INDEX('Inventory - P14'!$J$16:$J$27,(INT((X14-1)/4)+1)))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P14'!$B$16:$B$27,(INT((X15-1)/4)+1))&amp;IF(INDEX('Inventory - P14'!$C$16:$C$27,(INT((X15-1)/4)+1))="",""," ("&amp;INDEX('Inventory - P14'!$C$16:$C$27,(INT((X15-1)/4)+1))&amp;" mg)"))</f>
        <v/>
      </c>
      <c r="D15" s="7" t="str">
        <f t="array" ref="D15">IF(X15="","",INDEX('Inventory - P14'!$K$16:$K$27,(INT((X15-1)/4)+1))-SUMPRODUCT(($B$10:$B$61=B15)*(($I$10:$I$61&lt;&gt;"")+($K$10:$K$61&lt;&gt;"")+($M$10:$M$61&lt;&gt;"")+($O$10:$O$61&lt;&gt;"")+($Q$10:$Q$61&lt;&gt;"")+($S$10:$S$61&lt;&gt;"")+($U$10:$U$61&lt;&gt;""))))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P14'!$D$16:$D$27,(INT((X15-1)/4)+1)))</f>
        <v/>
      </c>
      <c r="F15" s="7" t="str">
        <f t="array" ref="F15">IF(X15="","",INDEX('Inventory - P14'!$E$16:$E$27,(INT((X15-1)/4)+1)))</f>
        <v/>
      </c>
      <c r="G15" s="7" t="str">
        <f t="array" ref="G15">IF(X15="","",INDEX('Inventory - P14'!$I$16:$I$27,(INT((X15-1)/4)+1)))</f>
        <v/>
      </c>
      <c r="H15" s="7" t="str">
        <f t="array" ref="H15">IF(X15="","",INDEX('Inventory - P14'!$J$16:$J$27,(INT((X15-1)/4)+1)))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P14'!$B$16:$B$27,(INT((X16-1)/4)+1))&amp;IF(INDEX('Inventory - P14'!$C$16:$C$27,(INT((X16-1)/4)+1))="",""," ("&amp;INDEX('Inventory - P14'!$C$16:$C$27,(INT((X16-1)/4)+1))&amp;" mg)"))</f>
        <v/>
      </c>
      <c r="D16" s="7" t="str">
        <f t="array" ref="D16">IF(X16="","",INDEX('Inventory - P14'!$K$16:$K$27,(INT((X16-1)/4)+1))-SUMPRODUCT(($B$10:$B$61=B16)*(($I$10:$I$61&lt;&gt;"")+($K$10:$K$61&lt;&gt;"")+($M$10:$M$61&lt;&gt;"")+($O$10:$O$61&lt;&gt;"")+($Q$10:$Q$61&lt;&gt;"")+($S$10:$S$61&lt;&gt;"")+($U$10:$U$61&lt;&gt;""))))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P14'!$D$16:$D$27,(INT((X16-1)/4)+1)))</f>
        <v/>
      </c>
      <c r="F16" s="7" t="str">
        <f t="array" ref="F16">IF(X16="","",INDEX('Inventory - P14'!$E$16:$E$27,(INT((X16-1)/4)+1)))</f>
        <v/>
      </c>
      <c r="G16" s="7" t="str">
        <f t="array" ref="G16">IF(X16="","",INDEX('Inventory - P14'!$I$16:$I$27,(INT((X16-1)/4)+1)))</f>
        <v/>
      </c>
      <c r="H16" s="7" t="str">
        <f t="array" ref="H16">IF(X16="","",INDEX('Inventory - P14'!$J$16:$J$27,(INT((X16-1)/4)+1)))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P14'!$B$16:$B$27,(INT((X17-1)/4)+1))&amp;IF(INDEX('Inventory - P14'!$C$16:$C$27,(INT((X17-1)/4)+1))="",""," ("&amp;INDEX('Inventory - P14'!$C$16:$C$27,(INT((X17-1)/4)+1))&amp;" mg)"))</f>
        <v/>
      </c>
      <c r="D17" s="7" t="str">
        <f t="array" ref="D17">IF(X17="","",INDEX('Inventory - P14'!$K$16:$K$27,(INT((X17-1)/4)+1))-SUMPRODUCT(($B$10:$B$61=B17)*(($I$10:$I$61&lt;&gt;"")+($K$10:$K$61&lt;&gt;"")+($M$10:$M$61&lt;&gt;"")+($O$10:$O$61&lt;&gt;"")+($Q$10:$Q$61&lt;&gt;"")+($S$10:$S$61&lt;&gt;"")+($U$10:$U$61&lt;&gt;""))))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P14'!$D$16:$D$27,(INT((X17-1)/4)+1)))</f>
        <v/>
      </c>
      <c r="F17" s="7" t="str">
        <f t="array" ref="F17">IF(X17="","",INDEX('Inventory - P14'!$E$16:$E$27,(INT((X17-1)/4)+1)))</f>
        <v/>
      </c>
      <c r="G17" s="7" t="str">
        <f t="array" ref="G17">IF(X17="","",INDEX('Inventory - P14'!$I$16:$I$27,(INT((X17-1)/4)+1)))</f>
        <v/>
      </c>
      <c r="H17" s="7" t="str">
        <f t="array" ref="H17">IF(X17="","",INDEX('Inventory - P14'!$J$16:$J$27,(INT((X17-1)/4)+1)))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P14'!$B$16:$B$27,(INT((X18-1)/4)+1))&amp;IF(INDEX('Inventory - P14'!$C$16:$C$27,(INT((X18-1)/4)+1))="",""," ("&amp;INDEX('Inventory - P14'!$C$16:$C$27,(INT((X18-1)/4)+1))&amp;" mg)"))</f>
        <v/>
      </c>
      <c r="D18" s="7" t="str">
        <f t="array" ref="D18">IF(X18="","",INDEX('Inventory - P14'!$K$16:$K$27,(INT((X18-1)/4)+1))-SUMPRODUCT(($B$10:$B$61=B18)*(($I$10:$I$61&lt;&gt;"")+($K$10:$K$61&lt;&gt;"")+($M$10:$M$61&lt;&gt;"")+($O$10:$O$61&lt;&gt;"")+($Q$10:$Q$61&lt;&gt;"")+($S$10:$S$61&lt;&gt;"")+($U$10:$U$61&lt;&gt;""))))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P14'!$D$16:$D$27,(INT((X18-1)/4)+1)))</f>
        <v/>
      </c>
      <c r="F18" s="7" t="str">
        <f t="array" ref="F18">IF(X18="","",INDEX('Inventory - P14'!$E$16:$E$27,(INT((X18-1)/4)+1)))</f>
        <v/>
      </c>
      <c r="G18" s="7" t="str">
        <f t="array" ref="G18">IF(X18="","",INDEX('Inventory - P14'!$I$16:$I$27,(INT((X18-1)/4)+1)))</f>
        <v/>
      </c>
      <c r="H18" s="7" t="str">
        <f t="array" ref="H18">IF(X18="","",INDEX('Inventory - P14'!$J$16:$J$27,(INT((X18-1)/4)+1)))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P14'!$B$16:$B$27,(INT((X19-1)/4)+1))&amp;IF(INDEX('Inventory - P14'!$C$16:$C$27,(INT((X19-1)/4)+1))="",""," ("&amp;INDEX('Inventory - P14'!$C$16:$C$27,(INT((X19-1)/4)+1))&amp;" mg)"))</f>
        <v/>
      </c>
      <c r="D19" s="7" t="str">
        <f t="array" ref="D19">IF(X19="","",INDEX('Inventory - P14'!$K$16:$K$27,(INT((X19-1)/4)+1))-SUMPRODUCT(($B$10:$B$61=B19)*(($I$10:$I$61&lt;&gt;"")+($K$10:$K$61&lt;&gt;"")+($M$10:$M$61&lt;&gt;"")+($O$10:$O$61&lt;&gt;"")+($Q$10:$Q$61&lt;&gt;"")+($S$10:$S$61&lt;&gt;"")+($U$10:$U$61&lt;&gt;""))))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P14'!$D$16:$D$27,(INT((X19-1)/4)+1)))</f>
        <v/>
      </c>
      <c r="F19" s="7" t="str">
        <f t="array" ref="F19">IF(X19="","",INDEX('Inventory - P14'!$E$16:$E$27,(INT((X19-1)/4)+1)))</f>
        <v/>
      </c>
      <c r="G19" s="7" t="str">
        <f t="array" ref="G19">IF(X19="","",INDEX('Inventory - P14'!$I$16:$I$27,(INT((X19-1)/4)+1)))</f>
        <v/>
      </c>
      <c r="H19" s="7" t="str">
        <f t="array" ref="H19">IF(X19="","",INDEX('Inventory - P14'!$J$16:$J$27,(INT((X19-1)/4)+1)))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P14'!$B$16:$B$27,(INT((X20-1)/4)+1))&amp;IF(INDEX('Inventory - P14'!$C$16:$C$27,(INT((X20-1)/4)+1))="",""," ("&amp;INDEX('Inventory - P14'!$C$16:$C$27,(INT((X20-1)/4)+1))&amp;" mg)"))</f>
        <v/>
      </c>
      <c r="D20" s="7" t="str">
        <f t="array" ref="D20">IF(X20="","",INDEX('Inventory - P14'!$K$16:$K$27,(INT((X20-1)/4)+1))-SUMPRODUCT(($B$10:$B$61=B20)*(($I$10:$I$61&lt;&gt;"")+($K$10:$K$61&lt;&gt;"")+($M$10:$M$61&lt;&gt;"")+($O$10:$O$61&lt;&gt;"")+($Q$10:$Q$61&lt;&gt;"")+($S$10:$S$61&lt;&gt;"")+($U$10:$U$61&lt;&gt;""))))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P14'!$D$16:$D$27,(INT((X20-1)/4)+1)))</f>
        <v/>
      </c>
      <c r="F20" s="7" t="str">
        <f t="array" ref="F20">IF(X20="","",INDEX('Inventory - P14'!$E$16:$E$27,(INT((X20-1)/4)+1)))</f>
        <v/>
      </c>
      <c r="G20" s="7" t="str">
        <f t="array" ref="G20">IF(X20="","",INDEX('Inventory - P14'!$I$16:$I$27,(INT((X20-1)/4)+1)))</f>
        <v/>
      </c>
      <c r="H20" s="7" t="str">
        <f t="array" ref="H20">IF(X20="","",INDEX('Inventory - P14'!$J$16:$J$27,(INT((X20-1)/4)+1)))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P14'!$B$16:$B$27,(INT((X21-1)/4)+1))&amp;IF(INDEX('Inventory - P14'!$C$16:$C$27,(INT((X21-1)/4)+1))="",""," ("&amp;INDEX('Inventory - P14'!$C$16:$C$27,(INT((X21-1)/4)+1))&amp;" mg)"))</f>
        <v/>
      </c>
      <c r="D21" s="7" t="str">
        <f t="array" ref="D21">IF(X21="","",INDEX('Inventory - P14'!$K$16:$K$27,(INT((X21-1)/4)+1))-SUMPRODUCT(($B$10:$B$61=B21)*(($I$10:$I$61&lt;&gt;"")+($K$10:$K$61&lt;&gt;"")+($M$10:$M$61&lt;&gt;"")+($O$10:$O$61&lt;&gt;"")+($Q$10:$Q$61&lt;&gt;"")+($S$10:$S$61&lt;&gt;"")+($U$10:$U$61&lt;&gt;""))))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P14'!$D$16:$D$27,(INT((X21-1)/4)+1)))</f>
        <v/>
      </c>
      <c r="F21" s="7" t="str">
        <f t="array" ref="F21">IF(X21="","",INDEX('Inventory - P14'!$E$16:$E$27,(INT((X21-1)/4)+1)))</f>
        <v/>
      </c>
      <c r="G21" s="7" t="str">
        <f t="array" ref="G21">IF(X21="","",INDEX('Inventory - P14'!$I$16:$I$27,(INT((X21-1)/4)+1)))</f>
        <v/>
      </c>
      <c r="H21" s="7" t="str">
        <f t="array" ref="H21">IF(X21="","",INDEX('Inventory - P14'!$J$16:$J$27,(INT((X21-1)/4)+1)))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P14'!$B$16:$B$27,(INT((X22-1)/4)+1))&amp;IF(INDEX('Inventory - P14'!$C$16:$C$27,(INT((X22-1)/4)+1))="",""," ("&amp;INDEX('Inventory - P14'!$C$16:$C$27,(INT((X22-1)/4)+1))&amp;" mg)"))</f>
        <v/>
      </c>
      <c r="D22" s="7" t="str">
        <f t="array" ref="D22">IF(X22="","",INDEX('Inventory - P14'!$K$16:$K$27,(INT((X22-1)/4)+1))-SUMPRODUCT(($B$10:$B$61=B22)*(($I$10:$I$61&lt;&gt;"")+($K$10:$K$61&lt;&gt;"")+($M$10:$M$61&lt;&gt;"")+($O$10:$O$61&lt;&gt;"")+($Q$10:$Q$61&lt;&gt;"")+($S$10:$S$61&lt;&gt;"")+($U$10:$U$61&lt;&gt;""))))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P14'!$D$16:$D$27,(INT((X22-1)/4)+1)))</f>
        <v/>
      </c>
      <c r="F22" s="7" t="str">
        <f t="array" ref="F22">IF(X22="","",INDEX('Inventory - P14'!$E$16:$E$27,(INT((X22-1)/4)+1)))</f>
        <v/>
      </c>
      <c r="G22" s="7" t="str">
        <f t="array" ref="G22">IF(X22="","",INDEX('Inventory - P14'!$I$16:$I$27,(INT((X22-1)/4)+1)))</f>
        <v/>
      </c>
      <c r="H22" s="7" t="str">
        <f t="array" ref="H22">IF(X22="","",INDEX('Inventory - P14'!$J$16:$J$27,(INT((X22-1)/4)+1)))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P14'!$B$16:$B$27,(INT((X24-1)/4)+1))&amp;IF(INDEX('Inventory - P14'!$C$16:$C$27,(INT((X24-1)/4)+1))="",""," ("&amp;INDEX('Inventory - P14'!$C$16:$C$27,(INT((X24-1)/4)+1))&amp;" mg)"))</f>
        <v/>
      </c>
      <c r="D24" s="7" t="str">
        <f t="array" ref="D24">IF(X24="","",INDEX('Inventory - P14'!$K$16:$K$27,(INT((X24-1)/4)+1))-SUMPRODUCT(($B$10:$B$61=B24)*(($I$10:$I$61&lt;&gt;"")+($K$10:$K$61&lt;&gt;"")+($M$10:$M$61&lt;&gt;"")+($O$10:$O$61&lt;&gt;"")+($Q$10:$Q$61&lt;&gt;"")+($S$10:$S$61&lt;&gt;"")+($U$10:$U$61&lt;&gt;""))))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P14'!$D$16:$D$27,(INT((X24-1)/4)+1)))</f>
        <v/>
      </c>
      <c r="F24" s="7" t="str">
        <f t="array" ref="F24">IF(X24="","",INDEX('Inventory - P14'!$E$16:$E$27,(INT((X24-1)/4)+1)))</f>
        <v/>
      </c>
      <c r="G24" s="7" t="str">
        <f t="array" ref="G24">IF(X24="","",INDEX('Inventory - P14'!$I$16:$I$27,(INT((X24-1)/4)+1)))</f>
        <v/>
      </c>
      <c r="H24" s="7" t="str">
        <f t="array" ref="H24">IF(X24="","",INDEX('Inventory - P14'!$J$16:$J$27,(INT((X24-1)/4)+1)))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P14'!$B$16:$B$27,(INT((X25-1)/4)+1))&amp;IF(INDEX('Inventory - P14'!$C$16:$C$27,(INT((X25-1)/4)+1))="",""," ("&amp;INDEX('Inventory - P14'!$C$16:$C$27,(INT((X25-1)/4)+1))&amp;" mg)"))</f>
        <v/>
      </c>
      <c r="D25" s="7" t="str">
        <f t="array" ref="D25">IF(X25="","",INDEX('Inventory - P14'!$K$16:$K$27,(INT((X25-1)/4)+1))-SUMPRODUCT(($B$10:$B$61=B25)*(($I$10:$I$61&lt;&gt;"")+($K$10:$K$61&lt;&gt;"")+($M$10:$M$61&lt;&gt;"")+($O$10:$O$61&lt;&gt;"")+($Q$10:$Q$61&lt;&gt;"")+($S$10:$S$61&lt;&gt;"")+($U$10:$U$61&lt;&gt;""))))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P14'!$D$16:$D$27,(INT((X25-1)/4)+1)))</f>
        <v/>
      </c>
      <c r="F25" s="7" t="str">
        <f t="array" ref="F25">IF(X25="","",INDEX('Inventory - P14'!$E$16:$E$27,(INT((X25-1)/4)+1)))</f>
        <v/>
      </c>
      <c r="G25" s="7" t="str">
        <f t="array" ref="G25">IF(X25="","",INDEX('Inventory - P14'!$I$16:$I$27,(INT((X25-1)/4)+1)))</f>
        <v/>
      </c>
      <c r="H25" s="7" t="str">
        <f t="array" ref="H25">IF(X25="","",INDEX('Inventory - P14'!$J$16:$J$27,(INT((X25-1)/4)+1)))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P14'!$B$16:$B$27,(INT((X26-1)/4)+1))&amp;IF(INDEX('Inventory - P14'!$C$16:$C$27,(INT((X26-1)/4)+1))="",""," ("&amp;INDEX('Inventory - P14'!$C$16:$C$27,(INT((X26-1)/4)+1))&amp;" mg)"))</f>
        <v/>
      </c>
      <c r="D26" s="7" t="str">
        <f t="array" ref="D26">IF(X26="","",INDEX('Inventory - P14'!$K$16:$K$27,(INT((X26-1)/4)+1))-SUMPRODUCT(($B$10:$B$61=B26)*(($I$10:$I$61&lt;&gt;"")+($K$10:$K$61&lt;&gt;"")+($M$10:$M$61&lt;&gt;"")+($O$10:$O$61&lt;&gt;"")+($Q$10:$Q$61&lt;&gt;"")+($S$10:$S$61&lt;&gt;"")+($U$10:$U$61&lt;&gt;""))))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P14'!$D$16:$D$27,(INT((X26-1)/4)+1)))</f>
        <v/>
      </c>
      <c r="F26" s="7" t="str">
        <f t="array" ref="F26">IF(X26="","",INDEX('Inventory - P14'!$E$16:$E$27,(INT((X26-1)/4)+1)))</f>
        <v/>
      </c>
      <c r="G26" s="7" t="str">
        <f t="array" ref="G26">IF(X26="","",INDEX('Inventory - P14'!$I$16:$I$27,(INT((X26-1)/4)+1)))</f>
        <v/>
      </c>
      <c r="H26" s="7" t="str">
        <f t="array" ref="H26">IF(X26="","",INDEX('Inventory - P14'!$J$16:$J$27,(INT((X26-1)/4)+1)))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P14'!$B$16:$B$27,(INT((X27-1)/4)+1))&amp;IF(INDEX('Inventory - P14'!$C$16:$C$27,(INT((X27-1)/4)+1))="",""," ("&amp;INDEX('Inventory - P14'!$C$16:$C$27,(INT((X27-1)/4)+1))&amp;" mg)"))</f>
        <v/>
      </c>
      <c r="D27" s="7" t="str">
        <f t="array" ref="D27">IF(X27="","",INDEX('Inventory - P14'!$K$16:$K$27,(INT((X27-1)/4)+1))-SUMPRODUCT(($B$10:$B$61=B27)*(($I$10:$I$61&lt;&gt;"")+($K$10:$K$61&lt;&gt;"")+($M$10:$M$61&lt;&gt;"")+($O$10:$O$61&lt;&gt;"")+($Q$10:$Q$61&lt;&gt;"")+($S$10:$S$61&lt;&gt;"")+($U$10:$U$61&lt;&gt;""))))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P14'!$D$16:$D$27,(INT((X27-1)/4)+1)))</f>
        <v/>
      </c>
      <c r="F27" s="7" t="str">
        <f t="array" ref="F27">IF(X27="","",INDEX('Inventory - P14'!$E$16:$E$27,(INT((X27-1)/4)+1)))</f>
        <v/>
      </c>
      <c r="G27" s="7" t="str">
        <f t="array" ref="G27">IF(X27="","",INDEX('Inventory - P14'!$I$16:$I$27,(INT((X27-1)/4)+1)))</f>
        <v/>
      </c>
      <c r="H27" s="7" t="str">
        <f t="array" ref="H27">IF(X27="","",INDEX('Inventory - P14'!$J$16:$J$27,(INT((X27-1)/4)+1)))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P14'!$B$16:$B$27,(INT((X28-1)/4)+1))&amp;IF(INDEX('Inventory - P14'!$C$16:$C$27,(INT((X28-1)/4)+1))="",""," ("&amp;INDEX('Inventory - P14'!$C$16:$C$27,(INT((X28-1)/4)+1))&amp;" mg)"))</f>
        <v/>
      </c>
      <c r="D28" s="7" t="str">
        <f t="array" ref="D28">IF(X28="","",INDEX('Inventory - P14'!$K$16:$K$27,(INT((X28-1)/4)+1))-SUMPRODUCT(($B$10:$B$61=B28)*(($I$10:$I$61&lt;&gt;"")+($K$10:$K$61&lt;&gt;"")+($M$10:$M$61&lt;&gt;"")+($O$10:$O$61&lt;&gt;"")+($Q$10:$Q$61&lt;&gt;"")+($S$10:$S$61&lt;&gt;"")+($U$10:$U$61&lt;&gt;""))))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P14'!$D$16:$D$27,(INT((X28-1)/4)+1)))</f>
        <v/>
      </c>
      <c r="F28" s="7" t="str">
        <f t="array" ref="F28">IF(X28="","",INDEX('Inventory - P14'!$E$16:$E$27,(INT((X28-1)/4)+1)))</f>
        <v/>
      </c>
      <c r="G28" s="7" t="str">
        <f t="array" ref="G28">IF(X28="","",INDEX('Inventory - P14'!$I$16:$I$27,(INT((X28-1)/4)+1)))</f>
        <v/>
      </c>
      <c r="H28" s="7" t="str">
        <f t="array" ref="H28">IF(X28="","",INDEX('Inventory - P14'!$J$16:$J$27,(INT((X28-1)/4)+1)))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P14'!$B$16:$B$27,(INT((X29-1)/4)+1))&amp;IF(INDEX('Inventory - P14'!$C$16:$C$27,(INT((X29-1)/4)+1))="",""," ("&amp;INDEX('Inventory - P14'!$C$16:$C$27,(INT((X29-1)/4)+1))&amp;" mg)"))</f>
        <v/>
      </c>
      <c r="D29" s="7" t="str">
        <f t="array" ref="D29">IF(X29="","",INDEX('Inventory - P14'!$K$16:$K$27,(INT((X29-1)/4)+1))-SUMPRODUCT(($B$10:$B$61=B29)*(($I$10:$I$61&lt;&gt;"")+($K$10:$K$61&lt;&gt;"")+($M$10:$M$61&lt;&gt;"")+($O$10:$O$61&lt;&gt;"")+($Q$10:$Q$61&lt;&gt;"")+($S$10:$S$61&lt;&gt;"")+($U$10:$U$61&lt;&gt;""))))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P14'!$D$16:$D$27,(INT((X29-1)/4)+1)))</f>
        <v/>
      </c>
      <c r="F29" s="7" t="str">
        <f t="array" ref="F29">IF(X29="","",INDEX('Inventory - P14'!$E$16:$E$27,(INT((X29-1)/4)+1)))</f>
        <v/>
      </c>
      <c r="G29" s="7" t="str">
        <f t="array" ref="G29">IF(X29="","",INDEX('Inventory - P14'!$I$16:$I$27,(INT((X29-1)/4)+1)))</f>
        <v/>
      </c>
      <c r="H29" s="7" t="str">
        <f t="array" ref="H29">IF(X29="","",INDEX('Inventory - P14'!$J$16:$J$27,(INT((X29-1)/4)+1)))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P14'!$B$16:$B$27,(INT((X30-1)/4)+1))&amp;IF(INDEX('Inventory - P14'!$C$16:$C$27,(INT((X30-1)/4)+1))="",""," ("&amp;INDEX('Inventory - P14'!$C$16:$C$27,(INT((X30-1)/4)+1))&amp;" mg)"))</f>
        <v/>
      </c>
      <c r="D30" s="7" t="str">
        <f t="array" ref="D30">IF(X30="","",INDEX('Inventory - P14'!$K$16:$K$27,(INT((X30-1)/4)+1))-SUMPRODUCT(($B$10:$B$61=B30)*(($I$10:$I$61&lt;&gt;"")+($K$10:$K$61&lt;&gt;"")+($M$10:$M$61&lt;&gt;"")+($O$10:$O$61&lt;&gt;"")+($Q$10:$Q$61&lt;&gt;"")+($S$10:$S$61&lt;&gt;"")+($U$10:$U$61&lt;&gt;""))))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P14'!$D$16:$D$27,(INT((X30-1)/4)+1)))</f>
        <v/>
      </c>
      <c r="F30" s="7" t="str">
        <f t="array" ref="F30">IF(X30="","",INDEX('Inventory - P14'!$E$16:$E$27,(INT((X30-1)/4)+1)))</f>
        <v/>
      </c>
      <c r="G30" s="7" t="str">
        <f t="array" ref="G30">IF(X30="","",INDEX('Inventory - P14'!$I$16:$I$27,(INT((X30-1)/4)+1)))</f>
        <v/>
      </c>
      <c r="H30" s="7" t="str">
        <f t="array" ref="H30">IF(X30="","",INDEX('Inventory - P14'!$J$16:$J$27,(INT((X30-1)/4)+1)))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P14'!$B$16:$B$27,(INT((X31-1)/4)+1))&amp;IF(INDEX('Inventory - P14'!$C$16:$C$27,(INT((X31-1)/4)+1))="",""," ("&amp;INDEX('Inventory - P14'!$C$16:$C$27,(INT((X31-1)/4)+1))&amp;" mg)"))</f>
        <v/>
      </c>
      <c r="D31" s="7" t="str">
        <f t="array" ref="D31">IF(X31="","",INDEX('Inventory - P14'!$K$16:$K$27,(INT((X31-1)/4)+1))-SUMPRODUCT(($B$10:$B$61=B31)*(($I$10:$I$61&lt;&gt;"")+($K$10:$K$61&lt;&gt;"")+($M$10:$M$61&lt;&gt;"")+($O$10:$O$61&lt;&gt;"")+($Q$10:$Q$61&lt;&gt;"")+($S$10:$S$61&lt;&gt;"")+($U$10:$U$61&lt;&gt;""))))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P14'!$D$16:$D$27,(INT((X31-1)/4)+1)))</f>
        <v/>
      </c>
      <c r="F31" s="7" t="str">
        <f t="array" ref="F31">IF(X31="","",INDEX('Inventory - P14'!$E$16:$E$27,(INT((X31-1)/4)+1)))</f>
        <v/>
      </c>
      <c r="G31" s="7" t="str">
        <f t="array" ref="G31">IF(X31="","",INDEX('Inventory - P14'!$I$16:$I$27,(INT((X31-1)/4)+1)))</f>
        <v/>
      </c>
      <c r="H31" s="7" t="str">
        <f t="array" ref="H31">IF(X31="","",INDEX('Inventory - P14'!$J$16:$J$27,(INT((X31-1)/4)+1)))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P14'!$B$16:$B$27,(INT((X32-1)/4)+1))&amp;IF(INDEX('Inventory - P14'!$C$16:$C$27,(INT((X32-1)/4)+1))="",""," ("&amp;INDEX('Inventory - P14'!$C$16:$C$27,(INT((X32-1)/4)+1))&amp;" mg)"))</f>
        <v/>
      </c>
      <c r="D32" s="7" t="str">
        <f t="array" ref="D32">IF(X32="","",INDEX('Inventory - P14'!$K$16:$K$27,(INT((X32-1)/4)+1))-SUMPRODUCT(($B$10:$B$61=B32)*(($I$10:$I$61&lt;&gt;"")+($K$10:$K$61&lt;&gt;"")+($M$10:$M$61&lt;&gt;"")+($O$10:$O$61&lt;&gt;"")+($Q$10:$Q$61&lt;&gt;"")+($S$10:$S$61&lt;&gt;"")+($U$10:$U$61&lt;&gt;""))))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P14'!$D$16:$D$27,(INT((X32-1)/4)+1)))</f>
        <v/>
      </c>
      <c r="F32" s="7" t="str">
        <f t="array" ref="F32">IF(X32="","",INDEX('Inventory - P14'!$E$16:$E$27,(INT((X32-1)/4)+1)))</f>
        <v/>
      </c>
      <c r="G32" s="7" t="str">
        <f t="array" ref="G32">IF(X32="","",INDEX('Inventory - P14'!$I$16:$I$27,(INT((X32-1)/4)+1)))</f>
        <v/>
      </c>
      <c r="H32" s="7" t="str">
        <f t="array" ref="H32">IF(X32="","",INDEX('Inventory - P14'!$J$16:$J$27,(INT((X32-1)/4)+1)))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P14'!$B$16:$B$27,(INT((X33-1)/4)+1))&amp;IF(INDEX('Inventory - P14'!$C$16:$C$27,(INT((X33-1)/4)+1))="",""," ("&amp;INDEX('Inventory - P14'!$C$16:$C$27,(INT((X33-1)/4)+1))&amp;" mg)"))</f>
        <v/>
      </c>
      <c r="D33" s="7" t="str">
        <f t="array" ref="D33">IF(X33="","",INDEX('Inventory - P14'!$K$16:$K$27,(INT((X33-1)/4)+1))-SUMPRODUCT(($B$10:$B$61=B33)*(($I$10:$I$61&lt;&gt;"")+($K$10:$K$61&lt;&gt;"")+($M$10:$M$61&lt;&gt;"")+($O$10:$O$61&lt;&gt;"")+($Q$10:$Q$61&lt;&gt;"")+($S$10:$S$61&lt;&gt;"")+($U$10:$U$61&lt;&gt;""))))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P14'!$D$16:$D$27,(INT((X33-1)/4)+1)))</f>
        <v/>
      </c>
      <c r="F33" s="7" t="str">
        <f t="array" ref="F33">IF(X33="","",INDEX('Inventory - P14'!$E$16:$E$27,(INT((X33-1)/4)+1)))</f>
        <v/>
      </c>
      <c r="G33" s="7" t="str">
        <f t="array" ref="G33">IF(X33="","",INDEX('Inventory - P14'!$I$16:$I$27,(INT((X33-1)/4)+1)))</f>
        <v/>
      </c>
      <c r="H33" s="7" t="str">
        <f t="array" ref="H33">IF(X33="","",INDEX('Inventory - P14'!$J$16:$J$27,(INT((X33-1)/4)+1)))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P14'!$B$16:$B$27,(INT((X34-1)/4)+1))&amp;IF(INDEX('Inventory - P14'!$C$16:$C$27,(INT((X34-1)/4)+1))="",""," ("&amp;INDEX('Inventory - P14'!$C$16:$C$27,(INT((X34-1)/4)+1))&amp;" mg)"))</f>
        <v/>
      </c>
      <c r="D34" s="7" t="str">
        <f t="array" ref="D34">IF(X34="","",INDEX('Inventory - P14'!$K$16:$K$27,(INT((X34-1)/4)+1))-SUMPRODUCT(($B$10:$B$61=B34)*(($I$10:$I$61&lt;&gt;"")+($K$10:$K$61&lt;&gt;"")+($M$10:$M$61&lt;&gt;"")+($O$10:$O$61&lt;&gt;"")+($Q$10:$Q$61&lt;&gt;"")+($S$10:$S$61&lt;&gt;"")+($U$10:$U$61&lt;&gt;""))))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P14'!$D$16:$D$27,(INT((X34-1)/4)+1)))</f>
        <v/>
      </c>
      <c r="F34" s="7" t="str">
        <f t="array" ref="F34">IF(X34="","",INDEX('Inventory - P14'!$E$16:$E$27,(INT((X34-1)/4)+1)))</f>
        <v/>
      </c>
      <c r="G34" s="7" t="str">
        <f t="array" ref="G34">IF(X34="","",INDEX('Inventory - P14'!$I$16:$I$27,(INT((X34-1)/4)+1)))</f>
        <v/>
      </c>
      <c r="H34" s="7" t="str">
        <f t="array" ref="H34">IF(X34="","",INDEX('Inventory - P14'!$J$16:$J$27,(INT((X34-1)/4)+1)))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P14'!$B$16:$B$27,(INT((X35-1)/4)+1))&amp;IF(INDEX('Inventory - P14'!$C$16:$C$27,(INT((X35-1)/4)+1))="",""," ("&amp;INDEX('Inventory - P14'!$C$16:$C$27,(INT((X35-1)/4)+1))&amp;" mg)"))</f>
        <v/>
      </c>
      <c r="D35" s="7" t="str">
        <f t="array" ref="D35">IF(X35="","",INDEX('Inventory - P14'!$K$16:$K$27,(INT((X35-1)/4)+1))-SUMPRODUCT(($B$10:$B$61=B35)*(($I$10:$I$61&lt;&gt;"")+($K$10:$K$61&lt;&gt;"")+($M$10:$M$61&lt;&gt;"")+($O$10:$O$61&lt;&gt;"")+($Q$10:$Q$61&lt;&gt;"")+($S$10:$S$61&lt;&gt;"")+($U$10:$U$61&lt;&gt;""))))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P14'!$D$16:$D$27,(INT((X35-1)/4)+1)))</f>
        <v/>
      </c>
      <c r="F35" s="7" t="str">
        <f t="array" ref="F35">IF(X35="","",INDEX('Inventory - P14'!$E$16:$E$27,(INT((X35-1)/4)+1)))</f>
        <v/>
      </c>
      <c r="G35" s="7" t="str">
        <f t="array" ref="G35">IF(X35="","",INDEX('Inventory - P14'!$I$16:$I$27,(INT((X35-1)/4)+1)))</f>
        <v/>
      </c>
      <c r="H35" s="7" t="str">
        <f t="array" ref="H35">IF(X35="","",INDEX('Inventory - P14'!$J$16:$J$27,(INT((X35-1)/4)+1)))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P14'!$B$16:$B$27,(INT((X37-1)/4)+1))&amp;IF(INDEX('Inventory - P14'!$C$16:$C$27,(INT((X37-1)/4)+1))="",""," ("&amp;INDEX('Inventory - P14'!$C$16:$C$27,(INT((X37-1)/4)+1))&amp;" mg)"))</f>
        <v/>
      </c>
      <c r="D37" s="7" t="str">
        <f t="array" ref="D37">IF(X37="","",INDEX('Inventory - P14'!$K$16:$K$27,(INT((X37-1)/4)+1))-SUMPRODUCT(($B$10:$B$61=B37)*(($I$10:$I$61&lt;&gt;"")+($K$10:$K$61&lt;&gt;"")+($M$10:$M$61&lt;&gt;"")+($O$10:$O$61&lt;&gt;"")+($Q$10:$Q$61&lt;&gt;"")+($S$10:$S$61&lt;&gt;"")+($U$10:$U$61&lt;&gt;""))))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P14'!$D$16:$D$27,(INT((X37-1)/4)+1)))</f>
        <v/>
      </c>
      <c r="F37" s="7" t="str">
        <f t="array" ref="F37">IF(X37="","",INDEX('Inventory - P14'!$E$16:$E$27,(INT((X37-1)/4)+1)))</f>
        <v/>
      </c>
      <c r="G37" s="7" t="str">
        <f t="array" ref="G37">IF(X37="","",INDEX('Inventory - P14'!$I$16:$I$27,(INT((X37-1)/4)+1)))</f>
        <v/>
      </c>
      <c r="H37" s="7" t="str">
        <f t="array" ref="H37">IF(X37="","",INDEX('Inventory - P14'!$J$16:$J$27,(INT((X37-1)/4)+1)))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P14'!$B$16:$B$27,(INT((X38-1)/4)+1))&amp;IF(INDEX('Inventory - P14'!$C$16:$C$27,(INT((X38-1)/4)+1))="",""," ("&amp;INDEX('Inventory - P14'!$C$16:$C$27,(INT((X38-1)/4)+1))&amp;" mg)"))</f>
        <v/>
      </c>
      <c r="D38" s="7" t="str">
        <f t="array" ref="D38">IF(X38="","",INDEX('Inventory - P14'!$K$16:$K$27,(INT((X38-1)/4)+1))-SUMPRODUCT(($B$10:$B$61=B38)*(($I$10:$I$61&lt;&gt;"")+($K$10:$K$61&lt;&gt;"")+($M$10:$M$61&lt;&gt;"")+($O$10:$O$61&lt;&gt;"")+($Q$10:$Q$61&lt;&gt;"")+($S$10:$S$61&lt;&gt;"")+($U$10:$U$61&lt;&gt;""))))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P14'!$D$16:$D$27,(INT((X38-1)/4)+1)))</f>
        <v/>
      </c>
      <c r="F38" s="7" t="str">
        <f t="array" ref="F38">IF(X38="","",INDEX('Inventory - P14'!$E$16:$E$27,(INT((X38-1)/4)+1)))</f>
        <v/>
      </c>
      <c r="G38" s="7" t="str">
        <f t="array" ref="G38">IF(X38="","",INDEX('Inventory - P14'!$I$16:$I$27,(INT((X38-1)/4)+1)))</f>
        <v/>
      </c>
      <c r="H38" s="7" t="str">
        <f t="array" ref="H38">IF(X38="","",INDEX('Inventory - P14'!$J$16:$J$27,(INT((X38-1)/4)+1)))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P14'!$B$16:$B$27,(INT((X39-1)/4)+1))&amp;IF(INDEX('Inventory - P14'!$C$16:$C$27,(INT((X39-1)/4)+1))="",""," ("&amp;INDEX('Inventory - P14'!$C$16:$C$27,(INT((X39-1)/4)+1))&amp;" mg)"))</f>
        <v/>
      </c>
      <c r="D39" s="7" t="str">
        <f t="array" ref="D39">IF(X39="","",INDEX('Inventory - P14'!$K$16:$K$27,(INT((X39-1)/4)+1))-SUMPRODUCT(($B$10:$B$61=B39)*(($I$10:$I$61&lt;&gt;"")+($K$10:$K$61&lt;&gt;"")+($M$10:$M$61&lt;&gt;"")+($O$10:$O$61&lt;&gt;"")+($Q$10:$Q$61&lt;&gt;"")+($S$10:$S$61&lt;&gt;"")+($U$10:$U$61&lt;&gt;""))))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P14'!$D$16:$D$27,(INT((X39-1)/4)+1)))</f>
        <v/>
      </c>
      <c r="F39" s="7" t="str">
        <f t="array" ref="F39">IF(X39="","",INDEX('Inventory - P14'!$E$16:$E$27,(INT((X39-1)/4)+1)))</f>
        <v/>
      </c>
      <c r="G39" s="7" t="str">
        <f t="array" ref="G39">IF(X39="","",INDEX('Inventory - P14'!$I$16:$I$27,(INT((X39-1)/4)+1)))</f>
        <v/>
      </c>
      <c r="H39" s="7" t="str">
        <f t="array" ref="H39">IF(X39="","",INDEX('Inventory - P14'!$J$16:$J$27,(INT((X39-1)/4)+1)))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P14'!$B$16:$B$27,(INT((X40-1)/4)+1))&amp;IF(INDEX('Inventory - P14'!$C$16:$C$27,(INT((X40-1)/4)+1))="",""," ("&amp;INDEX('Inventory - P14'!$C$16:$C$27,(INT((X40-1)/4)+1))&amp;" mg)"))</f>
        <v/>
      </c>
      <c r="D40" s="7" t="str">
        <f t="array" ref="D40">IF(X40="","",INDEX('Inventory - P14'!$K$16:$K$27,(INT((X40-1)/4)+1))-SUMPRODUCT(($B$10:$B$61=B40)*(($I$10:$I$61&lt;&gt;"")+($K$10:$K$61&lt;&gt;"")+($M$10:$M$61&lt;&gt;"")+($O$10:$O$61&lt;&gt;"")+($Q$10:$Q$61&lt;&gt;"")+($S$10:$S$61&lt;&gt;"")+($U$10:$U$61&lt;&gt;""))))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P14'!$D$16:$D$27,(INT((X40-1)/4)+1)))</f>
        <v/>
      </c>
      <c r="F40" s="7" t="str">
        <f t="array" ref="F40">IF(X40="","",INDEX('Inventory - P14'!$E$16:$E$27,(INT((X40-1)/4)+1)))</f>
        <v/>
      </c>
      <c r="G40" s="7" t="str">
        <f t="array" ref="G40">IF(X40="","",INDEX('Inventory - P14'!$I$16:$I$27,(INT((X40-1)/4)+1)))</f>
        <v/>
      </c>
      <c r="H40" s="7" t="str">
        <f t="array" ref="H40">IF(X40="","",INDEX('Inventory - P14'!$J$16:$J$27,(INT((X40-1)/4)+1)))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P14'!$B$16:$B$27,(INT((X41-1)/4)+1))&amp;IF(INDEX('Inventory - P14'!$C$16:$C$27,(INT((X41-1)/4)+1))="",""," ("&amp;INDEX('Inventory - P14'!$C$16:$C$27,(INT((X41-1)/4)+1))&amp;" mg)"))</f>
        <v/>
      </c>
      <c r="D41" s="7" t="str">
        <f t="array" ref="D41">IF(X41="","",INDEX('Inventory - P14'!$K$16:$K$27,(INT((X41-1)/4)+1))-SUMPRODUCT(($B$10:$B$61=B41)*(($I$10:$I$61&lt;&gt;"")+($K$10:$K$61&lt;&gt;"")+($M$10:$M$61&lt;&gt;"")+($O$10:$O$61&lt;&gt;"")+($Q$10:$Q$61&lt;&gt;"")+($S$10:$S$61&lt;&gt;"")+($U$10:$U$61&lt;&gt;""))))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P14'!$D$16:$D$27,(INT((X41-1)/4)+1)))</f>
        <v/>
      </c>
      <c r="F41" s="7" t="str">
        <f t="array" ref="F41">IF(X41="","",INDEX('Inventory - P14'!$E$16:$E$27,(INT((X41-1)/4)+1)))</f>
        <v/>
      </c>
      <c r="G41" s="7" t="str">
        <f t="array" ref="G41">IF(X41="","",INDEX('Inventory - P14'!$I$16:$I$27,(INT((X41-1)/4)+1)))</f>
        <v/>
      </c>
      <c r="H41" s="7" t="str">
        <f t="array" ref="H41">IF(X41="","",INDEX('Inventory - P14'!$J$16:$J$27,(INT((X41-1)/4)+1)))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P14'!$B$16:$B$27,(INT((X42-1)/4)+1))&amp;IF(INDEX('Inventory - P14'!$C$16:$C$27,(INT((X42-1)/4)+1))="",""," ("&amp;INDEX('Inventory - P14'!$C$16:$C$27,(INT((X42-1)/4)+1))&amp;" mg)"))</f>
        <v/>
      </c>
      <c r="D42" s="7" t="str">
        <f t="array" ref="D42">IF(X42="","",INDEX('Inventory - P14'!$K$16:$K$27,(INT((X42-1)/4)+1))-SUMPRODUCT(($B$10:$B$61=B42)*(($I$10:$I$61&lt;&gt;"")+($K$10:$K$61&lt;&gt;"")+($M$10:$M$61&lt;&gt;"")+($O$10:$O$61&lt;&gt;"")+($Q$10:$Q$61&lt;&gt;"")+($S$10:$S$61&lt;&gt;"")+($U$10:$U$61&lt;&gt;""))))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P14'!$D$16:$D$27,(INT((X42-1)/4)+1)))</f>
        <v/>
      </c>
      <c r="F42" s="7" t="str">
        <f t="array" ref="F42">IF(X42="","",INDEX('Inventory - P14'!$E$16:$E$27,(INT((X42-1)/4)+1)))</f>
        <v/>
      </c>
      <c r="G42" s="7" t="str">
        <f t="array" ref="G42">IF(X42="","",INDEX('Inventory - P14'!$I$16:$I$27,(INT((X42-1)/4)+1)))</f>
        <v/>
      </c>
      <c r="H42" s="7" t="str">
        <f t="array" ref="H42">IF(X42="","",INDEX('Inventory - P14'!$J$16:$J$27,(INT((X42-1)/4)+1)))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P14'!$B$16:$B$27,(INT((X43-1)/4)+1))&amp;IF(INDEX('Inventory - P14'!$C$16:$C$27,(INT((X43-1)/4)+1))="",""," ("&amp;INDEX('Inventory - P14'!$C$16:$C$27,(INT((X43-1)/4)+1))&amp;" mg)"))</f>
        <v/>
      </c>
      <c r="D43" s="7" t="str">
        <f t="array" ref="D43">IF(X43="","",INDEX('Inventory - P14'!$K$16:$K$27,(INT((X43-1)/4)+1))-SUMPRODUCT(($B$10:$B$61=B43)*(($I$10:$I$61&lt;&gt;"")+($K$10:$K$61&lt;&gt;"")+($M$10:$M$61&lt;&gt;"")+($O$10:$O$61&lt;&gt;"")+($Q$10:$Q$61&lt;&gt;"")+($S$10:$S$61&lt;&gt;"")+($U$10:$U$61&lt;&gt;""))))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P14'!$D$16:$D$27,(INT((X43-1)/4)+1)))</f>
        <v/>
      </c>
      <c r="F43" s="7" t="str">
        <f t="array" ref="F43">IF(X43="","",INDEX('Inventory - P14'!$E$16:$E$27,(INT((X43-1)/4)+1)))</f>
        <v/>
      </c>
      <c r="G43" s="7" t="str">
        <f t="array" ref="G43">IF(X43="","",INDEX('Inventory - P14'!$I$16:$I$27,(INT((X43-1)/4)+1)))</f>
        <v/>
      </c>
      <c r="H43" s="7" t="str">
        <f t="array" ref="H43">IF(X43="","",INDEX('Inventory - P14'!$J$16:$J$27,(INT((X43-1)/4)+1)))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P14'!$B$16:$B$27,(INT((X44-1)/4)+1))&amp;IF(INDEX('Inventory - P14'!$C$16:$C$27,(INT((X44-1)/4)+1))="",""," ("&amp;INDEX('Inventory - P14'!$C$16:$C$27,(INT((X44-1)/4)+1))&amp;" mg)"))</f>
        <v/>
      </c>
      <c r="D44" s="7" t="str">
        <f t="array" ref="D44">IF(X44="","",INDEX('Inventory - P14'!$K$16:$K$27,(INT((X44-1)/4)+1))-SUMPRODUCT(($B$10:$B$61=B44)*(($I$10:$I$61&lt;&gt;"")+($K$10:$K$61&lt;&gt;"")+($M$10:$M$61&lt;&gt;"")+($O$10:$O$61&lt;&gt;"")+($Q$10:$Q$61&lt;&gt;"")+($S$10:$S$61&lt;&gt;"")+($U$10:$U$61&lt;&gt;""))))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P14'!$D$16:$D$27,(INT((X44-1)/4)+1)))</f>
        <v/>
      </c>
      <c r="F44" s="7" t="str">
        <f t="array" ref="F44">IF(X44="","",INDEX('Inventory - P14'!$E$16:$E$27,(INT((X44-1)/4)+1)))</f>
        <v/>
      </c>
      <c r="G44" s="7" t="str">
        <f t="array" ref="G44">IF(X44="","",INDEX('Inventory - P14'!$I$16:$I$27,(INT((X44-1)/4)+1)))</f>
        <v/>
      </c>
      <c r="H44" s="7" t="str">
        <f t="array" ref="H44">IF(X44="","",INDEX('Inventory - P14'!$J$16:$J$27,(INT((X44-1)/4)+1)))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P14'!$B$16:$B$27,(INT((X45-1)/4)+1))&amp;IF(INDEX('Inventory - P14'!$C$16:$C$27,(INT((X45-1)/4)+1))="",""," ("&amp;INDEX('Inventory - P14'!$C$16:$C$27,(INT((X45-1)/4)+1))&amp;" mg)"))</f>
        <v/>
      </c>
      <c r="D45" s="7" t="str">
        <f t="array" ref="D45">IF(X45="","",INDEX('Inventory - P14'!$K$16:$K$27,(INT((X45-1)/4)+1))-SUMPRODUCT(($B$10:$B$61=B45)*(($I$10:$I$61&lt;&gt;"")+($K$10:$K$61&lt;&gt;"")+($M$10:$M$61&lt;&gt;"")+($O$10:$O$61&lt;&gt;"")+($Q$10:$Q$61&lt;&gt;"")+($S$10:$S$61&lt;&gt;"")+($U$10:$U$61&lt;&gt;""))))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P14'!$D$16:$D$27,(INT((X45-1)/4)+1)))</f>
        <v/>
      </c>
      <c r="F45" s="7" t="str">
        <f t="array" ref="F45">IF(X45="","",INDEX('Inventory - P14'!$E$16:$E$27,(INT((X45-1)/4)+1)))</f>
        <v/>
      </c>
      <c r="G45" s="7" t="str">
        <f t="array" ref="G45">IF(X45="","",INDEX('Inventory - P14'!$I$16:$I$27,(INT((X45-1)/4)+1)))</f>
        <v/>
      </c>
      <c r="H45" s="7" t="str">
        <f t="array" ref="H45">IF(X45="","",INDEX('Inventory - P14'!$J$16:$J$27,(INT((X45-1)/4)+1)))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P14'!$B$16:$B$27,(INT((X46-1)/4)+1))&amp;IF(INDEX('Inventory - P14'!$C$16:$C$27,(INT((X46-1)/4)+1))="",""," ("&amp;INDEX('Inventory - P14'!$C$16:$C$27,(INT((X46-1)/4)+1))&amp;" mg)"))</f>
        <v/>
      </c>
      <c r="D46" s="7" t="str">
        <f t="array" ref="D46">IF(X46="","",INDEX('Inventory - P14'!$K$16:$K$27,(INT((X46-1)/4)+1))-SUMPRODUCT(($B$10:$B$61=B46)*(($I$10:$I$61&lt;&gt;"")+($K$10:$K$61&lt;&gt;"")+($M$10:$M$61&lt;&gt;"")+($O$10:$O$61&lt;&gt;"")+($Q$10:$Q$61&lt;&gt;"")+($S$10:$S$61&lt;&gt;"")+($U$10:$U$61&lt;&gt;""))))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P14'!$D$16:$D$27,(INT((X46-1)/4)+1)))</f>
        <v/>
      </c>
      <c r="F46" s="7" t="str">
        <f t="array" ref="F46">IF(X46="","",INDEX('Inventory - P14'!$E$16:$E$27,(INT((X46-1)/4)+1)))</f>
        <v/>
      </c>
      <c r="G46" s="7" t="str">
        <f t="array" ref="G46">IF(X46="","",INDEX('Inventory - P14'!$I$16:$I$27,(INT((X46-1)/4)+1)))</f>
        <v/>
      </c>
      <c r="H46" s="7" t="str">
        <f t="array" ref="H46">IF(X46="","",INDEX('Inventory - P14'!$J$16:$J$27,(INT((X46-1)/4)+1)))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P14'!$B$16:$B$27,(INT((X47-1)/4)+1))&amp;IF(INDEX('Inventory - P14'!$C$16:$C$27,(INT((X47-1)/4)+1))="",""," ("&amp;INDEX('Inventory - P14'!$C$16:$C$27,(INT((X47-1)/4)+1))&amp;" mg)"))</f>
        <v/>
      </c>
      <c r="D47" s="7" t="str">
        <f t="array" ref="D47">IF(X47="","",INDEX('Inventory - P14'!$K$16:$K$27,(INT((X47-1)/4)+1))-SUMPRODUCT(($B$10:$B$61=B47)*(($I$10:$I$61&lt;&gt;"")+($K$10:$K$61&lt;&gt;"")+($M$10:$M$61&lt;&gt;"")+($O$10:$O$61&lt;&gt;"")+($Q$10:$Q$61&lt;&gt;"")+($S$10:$S$61&lt;&gt;"")+($U$10:$U$61&lt;&gt;""))))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P14'!$D$16:$D$27,(INT((X47-1)/4)+1)))</f>
        <v/>
      </c>
      <c r="F47" s="7" t="str">
        <f t="array" ref="F47">IF(X47="","",INDEX('Inventory - P14'!$E$16:$E$27,(INT((X47-1)/4)+1)))</f>
        <v/>
      </c>
      <c r="G47" s="7" t="str">
        <f t="array" ref="G47">IF(X47="","",INDEX('Inventory - P14'!$I$16:$I$27,(INT((X47-1)/4)+1)))</f>
        <v/>
      </c>
      <c r="H47" s="7" t="str">
        <f t="array" ref="H47">IF(X47="","",INDEX('Inventory - P14'!$J$16:$J$27,(INT((X47-1)/4)+1)))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P14'!$B$16:$B$27,(INT((X48-1)/4)+1))&amp;IF(INDEX('Inventory - P14'!$C$16:$C$27,(INT((X48-1)/4)+1))="",""," ("&amp;INDEX('Inventory - P14'!$C$16:$C$27,(INT((X48-1)/4)+1))&amp;" mg)"))</f>
        <v/>
      </c>
      <c r="D48" s="7" t="str">
        <f t="array" ref="D48">IF(X48="","",INDEX('Inventory - P14'!$K$16:$K$27,(INT((X48-1)/4)+1))-SUMPRODUCT(($B$10:$B$61=B48)*(($I$10:$I$61&lt;&gt;"")+($K$10:$K$61&lt;&gt;"")+($M$10:$M$61&lt;&gt;"")+($O$10:$O$61&lt;&gt;"")+($Q$10:$Q$61&lt;&gt;"")+($S$10:$S$61&lt;&gt;"")+($U$10:$U$61&lt;&gt;""))))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P14'!$D$16:$D$27,(INT((X48-1)/4)+1)))</f>
        <v/>
      </c>
      <c r="F48" s="7" t="str">
        <f t="array" ref="F48">IF(X48="","",INDEX('Inventory - P14'!$E$16:$E$27,(INT((X48-1)/4)+1)))</f>
        <v/>
      </c>
      <c r="G48" s="7" t="str">
        <f t="array" ref="G48">IF(X48="","",INDEX('Inventory - P14'!$I$16:$I$27,(INT((X48-1)/4)+1)))</f>
        <v/>
      </c>
      <c r="H48" s="7" t="str">
        <f t="array" ref="H48">IF(X48="","",INDEX('Inventory - P14'!$J$16:$J$27,(INT((X48-1)/4)+1)))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>8:00 PM</v>
      </c>
      <c r="B50" s="7">
        <f t="shared" ref="B50:B61" si="10">IF(X50="","",(INT((X50-1)/4)+1))</f>
        <v>1</v>
      </c>
      <c r="C50" s="14" t="str">
        <f t="array" ref="C50">IF(X50="","",INDEX('Inventory - P14'!$B$16:$B$27,(INT((X50-1)/4)+1))&amp;IF(INDEX('Inventory - P14'!$C$16:$C$27,(INT((X50-1)/4)+1))="",""," ("&amp;INDEX('Inventory - P14'!$C$16:$C$27,(INT((X50-1)/4)+1))&amp;" mg)"))</f>
        <v>Fluoxetine (Prozac) (20 mg)</v>
      </c>
      <c r="D50" s="7">
        <f t="array" ref="D50">IF(X50="","",INDEX('Inventory - P14'!$K$16:$K$27,(INT((X50-1)/4)+1))-SUMPRODUCT(($B$10:$B$61=B50)*(($I$10:$I$61&lt;&gt;"")+($K$10:$K$61&lt;&gt;"")+($M$10:$M$61&lt;&gt;"")+($O$10:$O$61&lt;&gt;"")+($Q$10:$Q$61&lt;&gt;"")+($S$10:$S$61&lt;&gt;"")+($U$10:$U$61&lt;&gt;""))))</f>
        <v>30</v>
      </c>
      <c r="E50" s="7" t="str">
        <f t="array" ref="E50">IF(X50="","",INDEX('Inventory - P14'!$D$16:$D$27,(INT((X50-1)/4)+1)))</f>
        <v>SubQ</v>
      </c>
      <c r="F50" s="7">
        <f t="array" ref="F50">IF(X50="","",INDEX('Inventory - P14'!$E$16:$E$27,(INT((X50-1)/4)+1)))</f>
        <v>2</v>
      </c>
      <c r="G50" s="7" t="str">
        <f t="array" ref="G50">IF(X50="","",INDEX('Inventory - P14'!$I$16:$I$27,(INT((X50-1)/4)+1)))</f>
        <v>N</v>
      </c>
      <c r="H50" s="7" t="str">
        <f t="array" ref="H50">IF(X50="","",INDEX('Inventory - P14'!$J$16:$J$27,(INT((X50-1)/4)+1)))</f>
        <v>Physical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0.83333333433333323</v>
      </c>
      <c r="X50" s="2">
        <f t="shared" ref="X50:X61" si="11">IF(W50&lt;9,MATCH(W50,$AC$67:$AC$114,0),"")</f>
        <v>2</v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P14'!$B$16:$B$27,(INT((X51-1)/4)+1))&amp;IF(INDEX('Inventory - P14'!$C$16:$C$27,(INT((X51-1)/4)+1))="",""," ("&amp;INDEX('Inventory - P14'!$C$16:$C$27,(INT((X51-1)/4)+1))&amp;" mg)"))</f>
        <v/>
      </c>
      <c r="D51" s="7" t="str">
        <f t="array" ref="D51">IF(X51="","",INDEX('Inventory - P14'!$K$16:$K$27,(INT((X51-1)/4)+1))-SUMPRODUCT(($B$10:$B$61=B51)*(($I$10:$I$61&lt;&gt;"")+($K$10:$K$61&lt;&gt;"")+($M$10:$M$61&lt;&gt;"")+($O$10:$O$61&lt;&gt;"")+($Q$10:$Q$61&lt;&gt;"")+($S$10:$S$61&lt;&gt;"")+($U$10:$U$61&lt;&gt;""))))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P14'!$D$16:$D$27,(INT((X51-1)/4)+1)))</f>
        <v/>
      </c>
      <c r="F51" s="7" t="str">
        <f t="array" ref="F51">IF(X51="","",INDEX('Inventory - P14'!$E$16:$E$27,(INT((X51-1)/4)+1)))</f>
        <v/>
      </c>
      <c r="G51" s="7" t="str">
        <f t="array" ref="G51">IF(X51="","",INDEX('Inventory - P14'!$I$16:$I$27,(INT((X51-1)/4)+1)))</f>
        <v/>
      </c>
      <c r="H51" s="7" t="str">
        <f t="array" ref="H51">IF(X51="","",INDEX('Inventory - P14'!$J$16:$J$27,(INT((X51-1)/4)+1)))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P14'!$B$16:$B$27,(INT((X52-1)/4)+1))&amp;IF(INDEX('Inventory - P14'!$C$16:$C$27,(INT((X52-1)/4)+1))="",""," ("&amp;INDEX('Inventory - P14'!$C$16:$C$27,(INT((X52-1)/4)+1))&amp;" mg)"))</f>
        <v/>
      </c>
      <c r="D52" s="7" t="str">
        <f t="array" ref="D52">IF(X52="","",INDEX('Inventory - P14'!$K$16:$K$27,(INT((X52-1)/4)+1))-SUMPRODUCT(($B$10:$B$61=B52)*(($I$10:$I$61&lt;&gt;"")+($K$10:$K$61&lt;&gt;"")+($M$10:$M$61&lt;&gt;"")+($O$10:$O$61&lt;&gt;"")+($Q$10:$Q$61&lt;&gt;"")+($S$10:$S$61&lt;&gt;"")+($U$10:$U$61&lt;&gt;""))))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P14'!$D$16:$D$27,(INT((X52-1)/4)+1)))</f>
        <v/>
      </c>
      <c r="F52" s="7" t="str">
        <f t="array" ref="F52">IF(X52="","",INDEX('Inventory - P14'!$E$16:$E$27,(INT((X52-1)/4)+1)))</f>
        <v/>
      </c>
      <c r="G52" s="7" t="str">
        <f t="array" ref="G52">IF(X52="","",INDEX('Inventory - P14'!$I$16:$I$27,(INT((X52-1)/4)+1)))</f>
        <v/>
      </c>
      <c r="H52" s="7" t="str">
        <f t="array" ref="H52">IF(X52="","",INDEX('Inventory - P14'!$J$16:$J$27,(INT((X52-1)/4)+1)))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P14'!$B$16:$B$27,(INT((X53-1)/4)+1))&amp;IF(INDEX('Inventory - P14'!$C$16:$C$27,(INT((X53-1)/4)+1))="",""," ("&amp;INDEX('Inventory - P14'!$C$16:$C$27,(INT((X53-1)/4)+1))&amp;" mg)"))</f>
        <v/>
      </c>
      <c r="D53" s="7" t="str">
        <f t="array" ref="D53">IF(X53="","",INDEX('Inventory - P14'!$K$16:$K$27,(INT((X53-1)/4)+1))-SUMPRODUCT(($B$10:$B$61=B53)*(($I$10:$I$61&lt;&gt;"")+($K$10:$K$61&lt;&gt;"")+($M$10:$M$61&lt;&gt;"")+($O$10:$O$61&lt;&gt;"")+($Q$10:$Q$61&lt;&gt;"")+($S$10:$S$61&lt;&gt;"")+($U$10:$U$61&lt;&gt;""))))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P14'!$D$16:$D$27,(INT((X53-1)/4)+1)))</f>
        <v/>
      </c>
      <c r="F53" s="7" t="str">
        <f t="array" ref="F53">IF(X53="","",INDEX('Inventory - P14'!$E$16:$E$27,(INT((X53-1)/4)+1)))</f>
        <v/>
      </c>
      <c r="G53" s="7" t="str">
        <f t="array" ref="G53">IF(X53="","",INDEX('Inventory - P14'!$I$16:$I$27,(INT((X53-1)/4)+1)))</f>
        <v/>
      </c>
      <c r="H53" s="7" t="str">
        <f t="array" ref="H53">IF(X53="","",INDEX('Inventory - P14'!$J$16:$J$27,(INT((X53-1)/4)+1)))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P14'!$B$16:$B$27,(INT((X54-1)/4)+1))&amp;IF(INDEX('Inventory - P14'!$C$16:$C$27,(INT((X54-1)/4)+1))="",""," ("&amp;INDEX('Inventory - P14'!$C$16:$C$27,(INT((X54-1)/4)+1))&amp;" mg)"))</f>
        <v/>
      </c>
      <c r="D54" s="7" t="str">
        <f t="array" ref="D54">IF(X54="","",INDEX('Inventory - P14'!$K$16:$K$27,(INT((X54-1)/4)+1))-SUMPRODUCT(($B$10:$B$61=B54)*(($I$10:$I$61&lt;&gt;"")+($K$10:$K$61&lt;&gt;"")+($M$10:$M$61&lt;&gt;"")+($O$10:$O$61&lt;&gt;"")+($Q$10:$Q$61&lt;&gt;"")+($S$10:$S$61&lt;&gt;"")+($U$10:$U$61&lt;&gt;""))))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P14'!$D$16:$D$27,(INT((X54-1)/4)+1)))</f>
        <v/>
      </c>
      <c r="F54" s="7" t="str">
        <f t="array" ref="F54">IF(X54="","",INDEX('Inventory - P14'!$E$16:$E$27,(INT((X54-1)/4)+1)))</f>
        <v/>
      </c>
      <c r="G54" s="7" t="str">
        <f t="array" ref="G54">IF(X54="","",INDEX('Inventory - P14'!$I$16:$I$27,(INT((X54-1)/4)+1)))</f>
        <v/>
      </c>
      <c r="H54" s="7" t="str">
        <f t="array" ref="H54">IF(X54="","",INDEX('Inventory - P14'!$J$16:$J$27,(INT((X54-1)/4)+1)))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P14'!$B$16:$B$27,(INT((X55-1)/4)+1))&amp;IF(INDEX('Inventory - P14'!$C$16:$C$27,(INT((X55-1)/4)+1))="",""," ("&amp;INDEX('Inventory - P14'!$C$16:$C$27,(INT((X55-1)/4)+1))&amp;" mg)"))</f>
        <v/>
      </c>
      <c r="D55" s="7" t="str">
        <f t="array" ref="D55">IF(X55="","",INDEX('Inventory - P14'!$K$16:$K$27,(INT((X55-1)/4)+1))-SUMPRODUCT(($B$10:$B$61=B55)*(($I$10:$I$61&lt;&gt;"")+($K$10:$K$61&lt;&gt;"")+($M$10:$M$61&lt;&gt;"")+($O$10:$O$61&lt;&gt;"")+($Q$10:$Q$61&lt;&gt;"")+($S$10:$S$61&lt;&gt;"")+($U$10:$U$61&lt;&gt;""))))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P14'!$D$16:$D$27,(INT((X55-1)/4)+1)))</f>
        <v/>
      </c>
      <c r="F55" s="7" t="str">
        <f t="array" ref="F55">IF(X55="","",INDEX('Inventory - P14'!$E$16:$E$27,(INT((X55-1)/4)+1)))</f>
        <v/>
      </c>
      <c r="G55" s="7" t="str">
        <f t="array" ref="G55">IF(X55="","",INDEX('Inventory - P14'!$I$16:$I$27,(INT((X55-1)/4)+1)))</f>
        <v/>
      </c>
      <c r="H55" s="7" t="str">
        <f t="array" ref="H55">IF(X55="","",INDEX('Inventory - P14'!$J$16:$J$27,(INT((X55-1)/4)+1)))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P14'!$B$16:$B$27,(INT((X56-1)/4)+1))&amp;IF(INDEX('Inventory - P14'!$C$16:$C$27,(INT((X56-1)/4)+1))="",""," ("&amp;INDEX('Inventory - P14'!$C$16:$C$27,(INT((X56-1)/4)+1))&amp;" mg)"))</f>
        <v/>
      </c>
      <c r="D56" s="7" t="str">
        <f t="array" ref="D56">IF(X56="","",INDEX('Inventory - P14'!$K$16:$K$27,(INT((X56-1)/4)+1))-SUMPRODUCT(($B$10:$B$61=B56)*(($I$10:$I$61&lt;&gt;"")+($K$10:$K$61&lt;&gt;"")+($M$10:$M$61&lt;&gt;"")+($O$10:$O$61&lt;&gt;"")+($Q$10:$Q$61&lt;&gt;"")+($S$10:$S$61&lt;&gt;"")+($U$10:$U$61&lt;&gt;""))))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P14'!$D$16:$D$27,(INT((X56-1)/4)+1)))</f>
        <v/>
      </c>
      <c r="F56" s="7" t="str">
        <f t="array" ref="F56">IF(X56="","",INDEX('Inventory - P14'!$E$16:$E$27,(INT((X56-1)/4)+1)))</f>
        <v/>
      </c>
      <c r="G56" s="7" t="str">
        <f t="array" ref="G56">IF(X56="","",INDEX('Inventory - P14'!$I$16:$I$27,(INT((X56-1)/4)+1)))</f>
        <v/>
      </c>
      <c r="H56" s="7" t="str">
        <f t="array" ref="H56">IF(X56="","",INDEX('Inventory - P14'!$J$16:$J$27,(INT((X56-1)/4)+1)))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P14'!$B$16:$B$27,(INT((X57-1)/4)+1))&amp;IF(INDEX('Inventory - P14'!$C$16:$C$27,(INT((X57-1)/4)+1))="",""," ("&amp;INDEX('Inventory - P14'!$C$16:$C$27,(INT((X57-1)/4)+1))&amp;" mg)"))</f>
        <v/>
      </c>
      <c r="D57" s="7" t="str">
        <f t="array" ref="D57">IF(X57="","",INDEX('Inventory - P14'!$K$16:$K$27,(INT((X57-1)/4)+1))-SUMPRODUCT(($B$10:$B$61=B57)*(($I$10:$I$61&lt;&gt;"")+($K$10:$K$61&lt;&gt;"")+($M$10:$M$61&lt;&gt;"")+($O$10:$O$61&lt;&gt;"")+($Q$10:$Q$61&lt;&gt;"")+($S$10:$S$61&lt;&gt;"")+($U$10:$U$61&lt;&gt;""))))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P14'!$D$16:$D$27,(INT((X57-1)/4)+1)))</f>
        <v/>
      </c>
      <c r="F57" s="7" t="str">
        <f t="array" ref="F57">IF(X57="","",INDEX('Inventory - P14'!$E$16:$E$27,(INT((X57-1)/4)+1)))</f>
        <v/>
      </c>
      <c r="G57" s="7" t="str">
        <f t="array" ref="G57">IF(X57="","",INDEX('Inventory - P14'!$I$16:$I$27,(INT((X57-1)/4)+1)))</f>
        <v/>
      </c>
      <c r="H57" s="7" t="str">
        <f t="array" ref="H57">IF(X57="","",INDEX('Inventory - P14'!$J$16:$J$27,(INT((X57-1)/4)+1)))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P14'!$B$16:$B$27,(INT((X58-1)/4)+1))&amp;IF(INDEX('Inventory - P14'!$C$16:$C$27,(INT((X58-1)/4)+1))="",""," ("&amp;INDEX('Inventory - P14'!$C$16:$C$27,(INT((X58-1)/4)+1))&amp;" mg)"))</f>
        <v/>
      </c>
      <c r="D58" s="7" t="str">
        <f t="array" ref="D58">IF(X58="","",INDEX('Inventory - P14'!$K$16:$K$27,(INT((X58-1)/4)+1))-SUMPRODUCT(($B$10:$B$61=B58)*(($I$10:$I$61&lt;&gt;"")+($K$10:$K$61&lt;&gt;"")+($M$10:$M$61&lt;&gt;"")+($O$10:$O$61&lt;&gt;"")+($Q$10:$Q$61&lt;&gt;"")+($S$10:$S$61&lt;&gt;"")+($U$10:$U$61&lt;&gt;""))))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P14'!$D$16:$D$27,(INT((X58-1)/4)+1)))</f>
        <v/>
      </c>
      <c r="F58" s="7" t="str">
        <f t="array" ref="F58">IF(X58="","",INDEX('Inventory - P14'!$E$16:$E$27,(INT((X58-1)/4)+1)))</f>
        <v/>
      </c>
      <c r="G58" s="7" t="str">
        <f t="array" ref="G58">IF(X58="","",INDEX('Inventory - P14'!$I$16:$I$27,(INT((X58-1)/4)+1)))</f>
        <v/>
      </c>
      <c r="H58" s="7" t="str">
        <f t="array" ref="H58">IF(X58="","",INDEX('Inventory - P14'!$J$16:$J$27,(INT((X58-1)/4)+1)))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P14'!$B$16:$B$27,(INT((X59-1)/4)+1))&amp;IF(INDEX('Inventory - P14'!$C$16:$C$27,(INT((X59-1)/4)+1))="",""," ("&amp;INDEX('Inventory - P14'!$C$16:$C$27,(INT((X59-1)/4)+1))&amp;" mg)"))</f>
        <v/>
      </c>
      <c r="D59" s="7" t="str">
        <f t="array" ref="D59">IF(X59="","",INDEX('Inventory - P14'!$K$16:$K$27,(INT((X59-1)/4)+1))-SUMPRODUCT(($B$10:$B$61=B59)*(($I$10:$I$61&lt;&gt;"")+($K$10:$K$61&lt;&gt;"")+($M$10:$M$61&lt;&gt;"")+($O$10:$O$61&lt;&gt;"")+($Q$10:$Q$61&lt;&gt;"")+($S$10:$S$61&lt;&gt;"")+($U$10:$U$61&lt;&gt;""))))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P14'!$D$16:$D$27,(INT((X59-1)/4)+1)))</f>
        <v/>
      </c>
      <c r="F59" s="7" t="str">
        <f t="array" ref="F59">IF(X59="","",INDEX('Inventory - P14'!$E$16:$E$27,(INT((X59-1)/4)+1)))</f>
        <v/>
      </c>
      <c r="G59" s="7" t="str">
        <f t="array" ref="G59">IF(X59="","",INDEX('Inventory - P14'!$I$16:$I$27,(INT((X59-1)/4)+1)))</f>
        <v/>
      </c>
      <c r="H59" s="7" t="str">
        <f t="array" ref="H59">IF(X59="","",INDEX('Inventory - P14'!$J$16:$J$27,(INT((X59-1)/4)+1)))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P14'!$B$16:$B$27,(INT((X60-1)/4)+1))&amp;IF(INDEX('Inventory - P14'!$C$16:$C$27,(INT((X60-1)/4)+1))="",""," ("&amp;INDEX('Inventory - P14'!$C$16:$C$27,(INT((X60-1)/4)+1))&amp;" mg)"))</f>
        <v/>
      </c>
      <c r="D60" s="7" t="str">
        <f t="array" ref="D60">IF(X60="","",INDEX('Inventory - P14'!$K$16:$K$27,(INT((X60-1)/4)+1))-SUMPRODUCT(($B$10:$B$61=B60)*(($I$10:$I$61&lt;&gt;"")+($K$10:$K$61&lt;&gt;"")+($M$10:$M$61&lt;&gt;"")+($O$10:$O$61&lt;&gt;"")+($Q$10:$Q$61&lt;&gt;"")+($S$10:$S$61&lt;&gt;"")+($U$10:$U$61&lt;&gt;""))))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P14'!$D$16:$D$27,(INT((X60-1)/4)+1)))</f>
        <v/>
      </c>
      <c r="F60" s="7" t="str">
        <f t="array" ref="F60">IF(X60="","",INDEX('Inventory - P14'!$E$16:$E$27,(INT((X60-1)/4)+1)))</f>
        <v/>
      </c>
      <c r="G60" s="7" t="str">
        <f t="array" ref="G60">IF(X60="","",INDEX('Inventory - P14'!$I$16:$I$27,(INT((X60-1)/4)+1)))</f>
        <v/>
      </c>
      <c r="H60" s="7" t="str">
        <f t="array" ref="H60">IF(X60="","",INDEX('Inventory - P14'!$J$16:$J$27,(INT((X60-1)/4)+1)))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P14'!$B$16:$B$27,(INT((X61-1)/4)+1))&amp;IF(INDEX('Inventory - P14'!$C$16:$C$27,(INT((X61-1)/4)+1))="",""," ("&amp;INDEX('Inventory - P14'!$C$16:$C$27,(INT((X61-1)/4)+1))&amp;" mg)"))</f>
        <v/>
      </c>
      <c r="D61" s="7" t="str">
        <f t="array" ref="D61">IF(X61="","",INDEX('Inventory - P14'!$K$16:$K$27,(INT((X61-1)/4)+1))-SUMPRODUCT(($B$10:$B$61=B61)*(($I$10:$I$61&lt;&gt;"")+($K$10:$K$61&lt;&gt;"")+($M$10:$M$61&lt;&gt;"")+($O$10:$O$61&lt;&gt;"")+($Q$10:$Q$61&lt;&gt;"")+($S$10:$S$61&lt;&gt;"")+($U$10:$U$61&lt;&gt;""))))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P14'!$D$16:$D$27,(INT((X61-1)/4)+1)))</f>
        <v/>
      </c>
      <c r="F61" s="7" t="str">
        <f t="array" ref="F61">IF(X61="","",INDEX('Inventory - P14'!$E$16:$E$27,(INT((X61-1)/4)+1)))</f>
        <v/>
      </c>
      <c r="G61" s="7" t="str">
        <f t="array" ref="G61">IF(X61="","",INDEX('Inventory - P14'!$I$16:$I$27,(INT((X61-1)/4)+1)))</f>
        <v/>
      </c>
      <c r="H61" s="7" t="str">
        <f t="array" ref="H61">IF(X61="","",INDEX('Inventory - P14'!$J$16:$J$27,(INT((X61-1)/4)+1)))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P14'!E16&lt;1,'Inventory - P14'!F16="",'Inventory - P14'!G16=""),9,MOD('Inventory - P14'!F16+0*'Inventory - P14'!G16/24,1))</f>
        <v>0.33333333333333331</v>
      </c>
      <c r="Z67" s="2">
        <f>IF(Y67=9,9,IF(AND(Y67&gt;=6/24,Y67&lt;12/24),Y67+0*0.000000001,9))</f>
        <v>0.33333333333333331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P14'!E16&lt;2,'Inventory - P14'!F16="",'Inventory - P14'!G16=""),9,MOD('Inventory - P14'!F16+1*'Inventory - P14'!G16/24,1))</f>
        <v>0.83333333333333326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0.83333333433333323</v>
      </c>
    </row>
    <row r="69" spans="25:29" ht="15" hidden="1" customHeight="1">
      <c r="Y69" s="2">
        <f>IF(OR('Inventory - P14'!E16&lt;3,'Inventory - P14'!F16="",'Inventory - P14'!G16=""),9,MOD('Inventory - P14'!F16+2*'Inventory - P14'!G16/24,1))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P14'!E16&lt;4,'Inventory - P14'!F16="",'Inventory - P14'!G16=""),9,MOD('Inventory - P14'!F16+3*'Inventory - P14'!G16/24,1))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P14'!E17&lt;1,'Inventory - P14'!F17="",'Inventory - P14'!G17=""),9,MOD('Inventory - P14'!F17+0*'Inventory - P14'!G17/24,1))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P14'!E17&lt;2,'Inventory - P14'!F17="",'Inventory - P14'!G17=""),9,MOD('Inventory - P14'!F17+1*'Inventory - P14'!G17/24,1))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P14'!E17&lt;3,'Inventory - P14'!F17="",'Inventory - P14'!G17=""),9,MOD('Inventory - P14'!F17+2*'Inventory - P14'!G17/24,1))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P14'!E17&lt;4,'Inventory - P14'!F17="",'Inventory - P14'!G17=""),9,MOD('Inventory - P14'!F17+3*'Inventory - P14'!G17/24,1))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P14'!E18&lt;1,'Inventory - P14'!F18="",'Inventory - P14'!G18=""),9,MOD('Inventory - P14'!F18+0*'Inventory - P14'!G18/24,1))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P14'!E18&lt;2,'Inventory - P14'!F18="",'Inventory - P14'!G18=""),9,MOD('Inventory - P14'!F18+1*'Inventory - P14'!G18/24,1))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P14'!E18&lt;3,'Inventory - P14'!F18="",'Inventory - P14'!G18=""),9,MOD('Inventory - P14'!F18+2*'Inventory - P14'!G18/24,1))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P14'!E18&lt;4,'Inventory - P14'!F18="",'Inventory - P14'!G18=""),9,MOD('Inventory - P14'!F18+3*'Inventory - P14'!G18/24,1))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P14'!E19&lt;1,'Inventory - P14'!F19="",'Inventory - P14'!G19=""),9,MOD('Inventory - P14'!F19+0*'Inventory - P14'!G19/24,1))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P14'!E19&lt;2,'Inventory - P14'!F19="",'Inventory - P14'!G19=""),9,MOD('Inventory - P14'!F19+1*'Inventory - P14'!G19/24,1))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P14'!E19&lt;3,'Inventory - P14'!F19="",'Inventory - P14'!G19=""),9,MOD('Inventory - P14'!F19+2*'Inventory - P14'!G19/24,1))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P14'!E19&lt;4,'Inventory - P14'!F19="",'Inventory - P14'!G19=""),9,MOD('Inventory - P14'!F19+3*'Inventory - P14'!G19/24,1))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P14'!E20&lt;1,'Inventory - P14'!F20="",'Inventory - P14'!G20=""),9,MOD('Inventory - P14'!F20+0*'Inventory - P14'!G20/24,1))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P14'!E20&lt;2,'Inventory - P14'!F20="",'Inventory - P14'!G20=""),9,MOD('Inventory - P14'!F20+1*'Inventory - P14'!G20/24,1))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P14'!E20&lt;3,'Inventory - P14'!F20="",'Inventory - P14'!G20=""),9,MOD('Inventory - P14'!F20+2*'Inventory - P14'!G20/24,1))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P14'!E20&lt;4,'Inventory - P14'!F20="",'Inventory - P14'!G20=""),9,MOD('Inventory - P14'!F20+3*'Inventory - P14'!G20/24,1))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P14'!E21&lt;1,'Inventory - P14'!F21="",'Inventory - P14'!G21=""),9,MOD('Inventory - P14'!F21+0*'Inventory - P14'!G21/24,1))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P14'!E21&lt;2,'Inventory - P14'!F21="",'Inventory - P14'!G21=""),9,MOD('Inventory - P14'!F21+1*'Inventory - P14'!G21/24,1))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P14'!E21&lt;3,'Inventory - P14'!F21="",'Inventory - P14'!G21=""),9,MOD('Inventory - P14'!F21+2*'Inventory - P14'!G21/24,1))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P14'!E21&lt;4,'Inventory - P14'!F21="",'Inventory - P14'!G21=""),9,MOD('Inventory - P14'!F21+3*'Inventory - P14'!G21/24,1))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P14'!E22&lt;1,'Inventory - P14'!F22="",'Inventory - P14'!G22=""),9,MOD('Inventory - P14'!F22+0*'Inventory - P14'!G22/24,1))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P14'!E22&lt;2,'Inventory - P14'!F22="",'Inventory - P14'!G22=""),9,MOD('Inventory - P14'!F22+1*'Inventory - P14'!G22/24,1))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P14'!E22&lt;3,'Inventory - P14'!F22="",'Inventory - P14'!G22=""),9,MOD('Inventory - P14'!F22+2*'Inventory - P14'!G22/24,1))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P14'!E22&lt;4,'Inventory - P14'!F22="",'Inventory - P14'!G22=""),9,MOD('Inventory - P14'!F22+3*'Inventory - P14'!G22/24,1))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P14'!E23&lt;1,'Inventory - P14'!F23="",'Inventory - P14'!G23=""),9,MOD('Inventory - P14'!F23+0*'Inventory - P14'!G23/24,1))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P14'!E23&lt;2,'Inventory - P14'!F23="",'Inventory - P14'!G23=""),9,MOD('Inventory - P14'!F23+1*'Inventory - P14'!G23/24,1))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P14'!E23&lt;3,'Inventory - P14'!F23="",'Inventory - P14'!G23=""),9,MOD('Inventory - P14'!F23+2*'Inventory - P14'!G23/24,1))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P14'!E23&lt;4,'Inventory - P14'!F23="",'Inventory - P14'!G23=""),9,MOD('Inventory - P14'!F23+3*'Inventory - P14'!G23/24,1))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P14'!E24&lt;1,'Inventory - P14'!F24="",'Inventory - P14'!G24=""),9,MOD('Inventory - P14'!F24+0*'Inventory - P14'!G24/24,1))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P14'!E24&lt;2,'Inventory - P14'!F24="",'Inventory - P14'!G24=""),9,MOD('Inventory - P14'!F24+1*'Inventory - P14'!G24/24,1))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P14'!E24&lt;3,'Inventory - P14'!F24="",'Inventory - P14'!G24=""),9,MOD('Inventory - P14'!F24+2*'Inventory - P14'!G24/24,1))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P14'!E24&lt;4,'Inventory - P14'!F24="",'Inventory - P14'!G24=""),9,MOD('Inventory - P14'!F24+3*'Inventory - P14'!G24/24,1))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P14'!E25&lt;1,'Inventory - P14'!F25="",'Inventory - P14'!G25=""),9,MOD('Inventory - P14'!F25+0*'Inventory - P14'!G25/24,1))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P14'!E25&lt;2,'Inventory - P14'!F25="",'Inventory - P14'!G25=""),9,MOD('Inventory - P14'!F25+1*'Inventory - P14'!G25/24,1))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P14'!E25&lt;3,'Inventory - P14'!F25="",'Inventory - P14'!G25=""),9,MOD('Inventory - P14'!F25+2*'Inventory - P14'!G25/24,1))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P14'!E25&lt;4,'Inventory - P14'!F25="",'Inventory - P14'!G25=""),9,MOD('Inventory - P14'!F25+3*'Inventory - P14'!G25/24,1))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P14'!E26&lt;1,'Inventory - P14'!F26="",'Inventory - P14'!G26=""),9,MOD('Inventory - P14'!F26+0*'Inventory - P14'!G26/24,1))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P14'!E26&lt;2,'Inventory - P14'!F26="",'Inventory - P14'!G26=""),9,MOD('Inventory - P14'!F26+1*'Inventory - P14'!G26/24,1))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P14'!E26&lt;3,'Inventory - P14'!F26="",'Inventory - P14'!G26=""),9,MOD('Inventory - P14'!F26+2*'Inventory - P14'!G26/24,1))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P14'!E26&lt;4,'Inventory - P14'!F26="",'Inventory - P14'!G26=""),9,MOD('Inventory - P14'!F26+3*'Inventory - P14'!G26/24,1))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P14'!E27&lt;1,'Inventory - P14'!F27="",'Inventory - P14'!G27=""),9,MOD('Inventory - P14'!F27+0*'Inventory - P14'!G27/24,1))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P14'!E27&lt;2,'Inventory - P14'!F27="",'Inventory - P14'!G27=""),9,MOD('Inventory - P14'!F27+1*'Inventory - P14'!G27/24,1))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P14'!E27&lt;3,'Inventory - P14'!F27="",'Inventory - P14'!G27=""),9,MOD('Inventory - P14'!F27+2*'Inventory - P14'!G27/24,1))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P14'!E27&lt;4,'Inventory - P14'!F27="",'Inventory - P14'!G27=""),9,MOD('Inventory - P14'!F27+3*'Inventory - P14'!G27/24,1))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173" priority="1">
      <formula>$W11&gt;=9</formula>
    </cfRule>
  </conditionalFormatting>
  <conditionalFormatting sqref="A12:V12">
    <cfRule type="expression" dxfId="172" priority="2">
      <formula>$W12&gt;=9</formula>
    </cfRule>
  </conditionalFormatting>
  <conditionalFormatting sqref="A13:V13">
    <cfRule type="expression" dxfId="171" priority="3">
      <formula>$W13&gt;=9</formula>
    </cfRule>
  </conditionalFormatting>
  <conditionalFormatting sqref="A14:V14">
    <cfRule type="expression" dxfId="170" priority="4">
      <formula>$W14&gt;=9</formula>
    </cfRule>
  </conditionalFormatting>
  <conditionalFormatting sqref="A15:V15">
    <cfRule type="expression" dxfId="169" priority="5">
      <formula>$W15&gt;=9</formula>
    </cfRule>
  </conditionalFormatting>
  <conditionalFormatting sqref="A16:V16">
    <cfRule type="expression" dxfId="168" priority="6">
      <formula>$W16&gt;=9</formula>
    </cfRule>
  </conditionalFormatting>
  <conditionalFormatting sqref="A17:V17">
    <cfRule type="expression" dxfId="167" priority="7">
      <formula>$W17&gt;=9</formula>
    </cfRule>
  </conditionalFormatting>
  <conditionalFormatting sqref="A18:V18">
    <cfRule type="expression" dxfId="166" priority="8">
      <formula>$W18&gt;=9</formula>
    </cfRule>
  </conditionalFormatting>
  <conditionalFormatting sqref="A19:V19">
    <cfRule type="expression" dxfId="165" priority="9">
      <formula>$W19&gt;=9</formula>
    </cfRule>
  </conditionalFormatting>
  <conditionalFormatting sqref="A20:V20">
    <cfRule type="expression" dxfId="164" priority="10">
      <formula>$W20&gt;=9</formula>
    </cfRule>
  </conditionalFormatting>
  <conditionalFormatting sqref="A21:V21">
    <cfRule type="expression" dxfId="163" priority="11">
      <formula>$W21&gt;=9</formula>
    </cfRule>
  </conditionalFormatting>
  <conditionalFormatting sqref="A22:V22">
    <cfRule type="expression" dxfId="162" priority="12">
      <formula>$W22&gt;=9</formula>
    </cfRule>
  </conditionalFormatting>
  <conditionalFormatting sqref="A24:V24">
    <cfRule type="expression" dxfId="161" priority="13">
      <formula>$W24&gt;=9</formula>
    </cfRule>
  </conditionalFormatting>
  <conditionalFormatting sqref="A25:V25">
    <cfRule type="expression" dxfId="160" priority="14">
      <formula>$W25&gt;=9</formula>
    </cfRule>
  </conditionalFormatting>
  <conditionalFormatting sqref="A26:V26">
    <cfRule type="expression" dxfId="159" priority="15">
      <formula>$W26&gt;=9</formula>
    </cfRule>
  </conditionalFormatting>
  <conditionalFormatting sqref="A27:V27">
    <cfRule type="expression" dxfId="158" priority="16">
      <formula>$W27&gt;=9</formula>
    </cfRule>
  </conditionalFormatting>
  <conditionalFormatting sqref="A28:V28">
    <cfRule type="expression" dxfId="157" priority="17">
      <formula>$W28&gt;=9</formula>
    </cfRule>
  </conditionalFormatting>
  <conditionalFormatting sqref="A29:V29">
    <cfRule type="expression" dxfId="156" priority="18">
      <formula>$W29&gt;=9</formula>
    </cfRule>
  </conditionalFormatting>
  <conditionalFormatting sqref="A30:V30">
    <cfRule type="expression" dxfId="155" priority="19">
      <formula>$W30&gt;=9</formula>
    </cfRule>
  </conditionalFormatting>
  <conditionalFormatting sqref="A31:V31">
    <cfRule type="expression" dxfId="154" priority="20">
      <formula>$W31&gt;=9</formula>
    </cfRule>
  </conditionalFormatting>
  <conditionalFormatting sqref="A32:V32">
    <cfRule type="expression" dxfId="153" priority="21">
      <formula>$W32&gt;=9</formula>
    </cfRule>
  </conditionalFormatting>
  <conditionalFormatting sqref="A33:V33">
    <cfRule type="expression" dxfId="152" priority="22">
      <formula>$W33&gt;=9</formula>
    </cfRule>
  </conditionalFormatting>
  <conditionalFormatting sqref="A34:V34">
    <cfRule type="expression" dxfId="151" priority="23">
      <formula>$W34&gt;=9</formula>
    </cfRule>
  </conditionalFormatting>
  <conditionalFormatting sqref="A35:V35">
    <cfRule type="expression" dxfId="150" priority="24">
      <formula>$W35&gt;=9</formula>
    </cfRule>
  </conditionalFormatting>
  <conditionalFormatting sqref="A37:V37">
    <cfRule type="expression" dxfId="149" priority="25">
      <formula>$W37&gt;=9</formula>
    </cfRule>
  </conditionalFormatting>
  <conditionalFormatting sqref="A38:V38">
    <cfRule type="expression" dxfId="148" priority="26">
      <formula>$W38&gt;=9</formula>
    </cfRule>
  </conditionalFormatting>
  <conditionalFormatting sqref="A39:V39">
    <cfRule type="expression" dxfId="147" priority="27">
      <formula>$W39&gt;=9</formula>
    </cfRule>
  </conditionalFormatting>
  <conditionalFormatting sqref="A40:V40">
    <cfRule type="expression" dxfId="146" priority="28">
      <formula>$W40&gt;=9</formula>
    </cfRule>
  </conditionalFormatting>
  <conditionalFormatting sqref="A41:V41">
    <cfRule type="expression" dxfId="145" priority="29">
      <formula>$W41&gt;=9</formula>
    </cfRule>
  </conditionalFormatting>
  <conditionalFormatting sqref="A42:V42">
    <cfRule type="expression" dxfId="144" priority="30">
      <formula>$W42&gt;=9</formula>
    </cfRule>
  </conditionalFormatting>
  <conditionalFormatting sqref="A43:V43">
    <cfRule type="expression" dxfId="143" priority="31">
      <formula>$W43&gt;=9</formula>
    </cfRule>
  </conditionalFormatting>
  <conditionalFormatting sqref="A44:V44">
    <cfRule type="expression" dxfId="142" priority="32">
      <formula>$W44&gt;=9</formula>
    </cfRule>
  </conditionalFormatting>
  <conditionalFormatting sqref="A45:V45">
    <cfRule type="expression" dxfId="141" priority="33">
      <formula>$W45&gt;=9</formula>
    </cfRule>
  </conditionalFormatting>
  <conditionalFormatting sqref="A46:V46">
    <cfRule type="expression" dxfId="140" priority="34">
      <formula>$W46&gt;=9</formula>
    </cfRule>
  </conditionalFormatting>
  <conditionalFormatting sqref="A47:V47">
    <cfRule type="expression" dxfId="139" priority="35">
      <formula>$W47&gt;=9</formula>
    </cfRule>
  </conditionalFormatting>
  <conditionalFormatting sqref="A48:V48">
    <cfRule type="expression" dxfId="138" priority="36">
      <formula>$W48&gt;=9</formula>
    </cfRule>
  </conditionalFormatting>
  <conditionalFormatting sqref="A50:V50">
    <cfRule type="expression" dxfId="137" priority="37">
      <formula>$W50&gt;=9</formula>
    </cfRule>
  </conditionalFormatting>
  <conditionalFormatting sqref="A51:V51">
    <cfRule type="expression" dxfId="136" priority="38">
      <formula>$W51&gt;=9</formula>
    </cfRule>
  </conditionalFormatting>
  <conditionalFormatting sqref="A52:V52">
    <cfRule type="expression" dxfId="135" priority="39">
      <formula>$W52&gt;=9</formula>
    </cfRule>
  </conditionalFormatting>
  <conditionalFormatting sqref="A53:V53">
    <cfRule type="expression" dxfId="134" priority="40">
      <formula>$W53&gt;=9</formula>
    </cfRule>
  </conditionalFormatting>
  <conditionalFormatting sqref="A54:V54">
    <cfRule type="expression" dxfId="133" priority="41">
      <formula>$W54&gt;=9</formula>
    </cfRule>
  </conditionalFormatting>
  <conditionalFormatting sqref="A55:V55">
    <cfRule type="expression" dxfId="132" priority="42">
      <formula>$W55&gt;=9</formula>
    </cfRule>
  </conditionalFormatting>
  <conditionalFormatting sqref="A56:V56">
    <cfRule type="expression" dxfId="131" priority="43">
      <formula>$W56&gt;=9</formula>
    </cfRule>
  </conditionalFormatting>
  <conditionalFormatting sqref="A57:V57">
    <cfRule type="expression" dxfId="130" priority="44">
      <formula>$W57&gt;=9</formula>
    </cfRule>
  </conditionalFormatting>
  <conditionalFormatting sqref="A58:V58">
    <cfRule type="expression" dxfId="129" priority="45">
      <formula>$W58&gt;=9</formula>
    </cfRule>
  </conditionalFormatting>
  <conditionalFormatting sqref="A59:V59">
    <cfRule type="expression" dxfId="128" priority="46">
      <formula>$W59&gt;=9</formula>
    </cfRule>
  </conditionalFormatting>
  <conditionalFormatting sqref="A60:V60">
    <cfRule type="expression" dxfId="127" priority="47">
      <formula>$W60&gt;=9</formula>
    </cfRule>
  </conditionalFormatting>
  <conditionalFormatting sqref="A61:V61">
    <cfRule type="expression" dxfId="126" priority="48">
      <formula>$W61&gt;=9</formula>
    </cfRule>
  </conditionalFormatting>
  <conditionalFormatting sqref="H10:H61">
    <cfRule type="cellIs" dxfId="125" priority="49" operator="equal">
      <formula>"Physical"</formula>
    </cfRule>
  </conditionalFormatting>
  <conditionalFormatting sqref="H10:H61">
    <cfRule type="cellIs" dxfId="124" priority="50" operator="equal">
      <formula>"Psychological"</formula>
    </cfRule>
  </conditionalFormatting>
  <conditionalFormatting sqref="G10:G61">
    <cfRule type="cellIs" dxfId="123" priority="51" operator="equal">
      <formula>"Y"</formula>
    </cfRule>
  </conditionalFormatting>
  <conditionalFormatting sqref="G10:G61">
    <cfRule type="cellIs" dxfId="122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Tracker'!B19="","",UPPER(LEFT(TRIM('Client Needs Tracker'!B19),1))&amp;UPPER(MID('Client Needs Tracker'!B19,FIND("@",SUBSTITUTE('Client Needs Tracker'!B19," ","@",LEN('Client Needs Tracker'!B19)-LEN(SUBSTITUTE('Client Needs Tracker'!B19," ",""))))+1,1))&amp;"-"&amp;SUBSTITUTE('Client Needs Tracker'!S19,"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Tracker'!S19="","","INV-"&amp;SUBSTITUTE('Client Needs Tracker'!S19," ",""))</f>
        <v>INV-F-4A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Tracker'!B19="","(Add client on Client Needs Tracker, row 19)",'Client Needs Tracker'!B19)</f>
        <v>(Add client on Client Needs Tracker, row 19)</v>
      </c>
      <c r="B6" s="134"/>
      <c r="C6" s="134"/>
      <c r="D6" s="134"/>
      <c r="E6" s="134"/>
      <c r="F6" s="93">
        <f>'Client Needs Tracker'!A19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Tracker'!C19="","",'Client Needs Tracker'!C19)</f>
        <v/>
      </c>
      <c r="B8" s="134"/>
      <c r="C8" s="134"/>
      <c r="D8" s="134"/>
      <c r="E8" s="134"/>
      <c r="F8" s="95">
        <f>'Client Needs Tracker'!E19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Tracker'!F19="","",'Client Needs Tracker'!F19)</f>
        <v/>
      </c>
      <c r="B10" s="134"/>
      <c r="C10" s="134"/>
      <c r="D10" s="134"/>
      <c r="E10" s="134"/>
      <c r="F10" s="89" t="str">
        <f>IF('Client Status Board'!G19="","",'Client Status Board'!G19)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Board'!L19="","",'Client Status Board'!L19)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P15'!$B$10:$B$61=1)*(('MAR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P15'!$B$10:$B$61=2)*(('MAR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P15'!$B$10:$B$61=3)*(('MAR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P15'!$B$10:$B$61=4)*(('MAR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P15'!$B$10:$B$61=5)*(('MAR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P15'!$B$10:$B$61=6)*(('MAR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P15'!$B$10:$B$61=7)*(('MAR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P15'!$B$10:$B$61=8)*(('MAR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P15'!$B$10:$B$61=9)*(('MAR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P15'!$B$10:$B$61=10)*(('MAR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P15'!$B$10:$B$61=11)*(('MAR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P15'!$B$10:$B$61=12)*(('MAR - P15'!$I$10:$I$61&lt;&gt;"")+('MAR - P15'!$K$10:$K$61&lt;&gt;"")+('MAR - P15'!$M$10:$M$61&lt;&gt;"")+('MAR - P15'!$O$10:$O$61&lt;&gt;"")+('MAR - P15'!$Q$10:$Q$61&lt;&gt;"")+('MAR - P15'!$S$10:$S$61&lt;&gt;"")+('MAR - P15'!$U$10:$U$61&lt;&gt;""))))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121" priority="1" operator="equal">
      <formula>"Physical"</formula>
    </cfRule>
  </conditionalFormatting>
  <conditionalFormatting sqref="J16:J27">
    <cfRule type="cellIs" dxfId="120" priority="2" operator="equal">
      <formula>"Psychological"</formula>
    </cfRule>
  </conditionalFormatting>
  <conditionalFormatting sqref="I16:I27">
    <cfRule type="cellIs" dxfId="119" priority="3" operator="equal">
      <formula>"Y"</formula>
    </cfRule>
  </conditionalFormatting>
  <conditionalFormatting sqref="I16:I27">
    <cfRule type="cellIs" dxfId="118" priority="4" operator="equal">
      <formula>"N"</formula>
    </cfRule>
  </conditionalFormatting>
  <dataValidations count="5">
    <dataValidation type="list" allowBlank="1" sqref="I16:I27" xr:uid="{00000000-0002-0000-2100-000001000000}">
      <formula1>"Y,N"</formula1>
    </dataValidation>
    <dataValidation type="list" allowBlank="1" sqref="J16:J27" xr:uid="{00000000-0002-0000-2100-000002000000}">
      <formula1>"Physical,Psychological"</formula1>
    </dataValidation>
    <dataValidation type="list" allowBlank="1" sqref="C16:C27" xr:uid="{00000000-0002-0000-21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2100-000004000000}">
      <formula1>"PO,IM,IV,SubQ,Topical,Inhaled,Sublingual,Rectal,Other"</formula1>
    </dataValidation>
    <dataValidation type="list" allowBlank="1" sqref="G16:G27" xr:uid="{00000000-0002-0000-21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21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Tracker'!B19="","",UPPER(LEFT(TRIM('Client Needs Tracker'!B19),1))&amp;UPPER(MID('Client Needs Tracker'!B19,FIND("@",SUBSTITUTE('Client Needs Tracker'!B19," ","@",LEN('Client Needs Tracker'!B19)-LEN(SUBSTITUTE('Client Needs Tracker'!B19," ",""))))+1,1))&amp;"-"&amp;SUBSTITUTE('Client Needs Tracker'!S19," ",""))</f>
        <v/>
      </c>
    </row>
    <row r="3" spans="1:33" ht="15" customHeight="1">
      <c r="A3" s="103" t="str">
        <f>IF('Inventory - P15'!A6="","(Enter name in Inventory - P15)",'Inventory - P15'!A6)</f>
        <v>(Add client on Client Needs Tracker, row 19)</v>
      </c>
      <c r="B3" s="145"/>
      <c r="C3" s="145"/>
      <c r="D3" s="145"/>
      <c r="E3" s="145"/>
      <c r="F3" s="104" t="str">
        <f>IF('Inventory - P15'!F6="","(Enter ID in Inventory - P15)","Member ID: "&amp;'Inventory - P15'!F6)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Tracker'!S19="","","INV-"&amp;SUBSTITUTE('Client Needs Tracker'!S19," ",""))</f>
        <v>INV-F-4A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P15'!F8="","-",'Inventory - P15'!F8)</f>
        <v>LOC: 0</v>
      </c>
      <c r="B5" s="106"/>
      <c r="C5" s="2"/>
      <c r="D5" s="102" t="str">
        <f>"Case Manager: "&amp;IF('Inventory - P15'!A10="","-",'Inventory - P15'!A10)</f>
        <v>Case Manager: -</v>
      </c>
      <c r="E5" s="106"/>
      <c r="F5" s="2"/>
      <c r="G5" s="102" t="str">
        <f>"Doctor: "&amp;IF('Inventory - P15'!F10="","-",'Inventory - P15'!F10)</f>
        <v>Doctor: -</v>
      </c>
      <c r="H5" s="106"/>
      <c r="I5" s="2"/>
      <c r="J5" s="102" t="str">
        <f>"Pharmacy: "&amp;IF('Inventory - P15'!A12="","-",'Inventory - P15'!A12)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P15'!A14="","",'Inventory - P15'!A14)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P15'!A14="","",'Inventory - P15'!A14+0)</f>
        <v/>
      </c>
      <c r="J8" s="134"/>
      <c r="K8" s="101" t="str">
        <f>IF('Inventory - P15'!A14="","",'Inventory - P15'!A14+1)</f>
        <v/>
      </c>
      <c r="L8" s="134"/>
      <c r="M8" s="101" t="str">
        <f>IF('Inventory - P15'!A14="","",'Inventory - P15'!A14+2)</f>
        <v/>
      </c>
      <c r="N8" s="134"/>
      <c r="O8" s="101" t="str">
        <f>IF('Inventory - P15'!A14="","",'Inventory - P15'!A14+3)</f>
        <v/>
      </c>
      <c r="P8" s="134"/>
      <c r="Q8" s="101" t="str">
        <f>IF('Inventory - P15'!A14="","",'Inventory - P15'!A14+4)</f>
        <v/>
      </c>
      <c r="R8" s="134"/>
      <c r="S8" s="101" t="str">
        <f>IF('Inventory - P15'!A14="","",'Inventory - P15'!A14+5)</f>
        <v/>
      </c>
      <c r="T8" s="134"/>
      <c r="U8" s="101" t="str">
        <f>IF('Inventory - P15'!A14="","",'Inventory - P15'!A14+6)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P15'!$B$16:$B$27,(INT((X11-1)/4)+1))&amp;IF(INDEX('Inventory - P15'!$C$16:$C$27,(INT((X11-1)/4)+1))="",""," ("&amp;INDEX('Inventory - P15'!$C$16:$C$27,(INT((X11-1)/4)+1))&amp;" mg)"))</f>
        <v/>
      </c>
      <c r="D11" s="7" t="str">
        <f t="array" ref="D11">IF(X11="","",INDEX('Inventory - P15'!$K$16:$K$27,(INT((X11-1)/4)+1))-SUMPRODUCT(($B$10:$B$61=B11)*(($I$10:$I$61&lt;&gt;"")+($K$10:$K$61&lt;&gt;"")+($M$10:$M$61&lt;&gt;"")+($O$10:$O$61&lt;&gt;"")+($Q$10:$Q$61&lt;&gt;"")+($S$10:$S$61&lt;&gt;"")+($U$10:$U$61&lt;&gt;""))))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P15'!$D$16:$D$27,(INT((X11-1)/4)+1)))</f>
        <v/>
      </c>
      <c r="F11" s="7" t="str">
        <f t="array" ref="F11">IF(X11="","",INDEX('Inventory - P15'!$E$16:$E$27,(INT((X11-1)/4)+1)))</f>
        <v/>
      </c>
      <c r="G11" s="7" t="str">
        <f t="array" ref="G11">IF(X11="","",INDEX('Inventory - P15'!$I$16:$I$27,(INT((X11-1)/4)+1)))</f>
        <v/>
      </c>
      <c r="H11" s="7" t="str">
        <f t="array" ref="H11">IF(X11="","",INDEX('Inventory - P15'!$J$16:$J$27,(INT((X11-1)/4)+1)))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P15'!$B$16:$B$27,(INT((X12-1)/4)+1))&amp;IF(INDEX('Inventory - P15'!$C$16:$C$27,(INT((X12-1)/4)+1))="",""," ("&amp;INDEX('Inventory - P15'!$C$16:$C$27,(INT((X12-1)/4)+1))&amp;" mg)"))</f>
        <v/>
      </c>
      <c r="D12" s="7" t="str">
        <f t="array" ref="D12">IF(X12="","",INDEX('Inventory - P15'!$K$16:$K$27,(INT((X12-1)/4)+1))-SUMPRODUCT(($B$10:$B$61=B12)*(($I$10:$I$61&lt;&gt;"")+($K$10:$K$61&lt;&gt;"")+($M$10:$M$61&lt;&gt;"")+($O$10:$O$61&lt;&gt;"")+($Q$10:$Q$61&lt;&gt;"")+($S$10:$S$61&lt;&gt;"")+($U$10:$U$61&lt;&gt;""))))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P15'!$D$16:$D$27,(INT((X12-1)/4)+1)))</f>
        <v/>
      </c>
      <c r="F12" s="7" t="str">
        <f t="array" ref="F12">IF(X12="","",INDEX('Inventory - P15'!$E$16:$E$27,(INT((X12-1)/4)+1)))</f>
        <v/>
      </c>
      <c r="G12" s="7" t="str">
        <f t="array" ref="G12">IF(X12="","",INDEX('Inventory - P15'!$I$16:$I$27,(INT((X12-1)/4)+1)))</f>
        <v/>
      </c>
      <c r="H12" s="7" t="str">
        <f t="array" ref="H12">IF(X12="","",INDEX('Inventory - P15'!$J$16:$J$27,(INT((X12-1)/4)+1)))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P15'!$B$16:$B$27,(INT((X13-1)/4)+1))&amp;IF(INDEX('Inventory - P15'!$C$16:$C$27,(INT((X13-1)/4)+1))="",""," ("&amp;INDEX('Inventory - P15'!$C$16:$C$27,(INT((X13-1)/4)+1))&amp;" mg)"))</f>
        <v/>
      </c>
      <c r="D13" s="7" t="str">
        <f t="array" ref="D13">IF(X13="","",INDEX('Inventory - P15'!$K$16:$K$27,(INT((X13-1)/4)+1))-SUMPRODUCT(($B$10:$B$61=B13)*(($I$10:$I$61&lt;&gt;"")+($K$10:$K$61&lt;&gt;"")+($M$10:$M$61&lt;&gt;"")+($O$10:$O$61&lt;&gt;"")+($Q$10:$Q$61&lt;&gt;"")+($S$10:$S$61&lt;&gt;"")+($U$10:$U$61&lt;&gt;""))))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P15'!$D$16:$D$27,(INT((X13-1)/4)+1)))</f>
        <v/>
      </c>
      <c r="F13" s="7" t="str">
        <f t="array" ref="F13">IF(X13="","",INDEX('Inventory - P15'!$E$16:$E$27,(INT((X13-1)/4)+1)))</f>
        <v/>
      </c>
      <c r="G13" s="7" t="str">
        <f t="array" ref="G13">IF(X13="","",INDEX('Inventory - P15'!$I$16:$I$27,(INT((X13-1)/4)+1)))</f>
        <v/>
      </c>
      <c r="H13" s="7" t="str">
        <f t="array" ref="H13">IF(X13="","",INDEX('Inventory - P15'!$J$16:$J$27,(INT((X13-1)/4)+1)))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P15'!$B$16:$B$27,(INT((X14-1)/4)+1))&amp;IF(INDEX('Inventory - P15'!$C$16:$C$27,(INT((X14-1)/4)+1))="",""," ("&amp;INDEX('Inventory - P15'!$C$16:$C$27,(INT((X14-1)/4)+1))&amp;" mg)"))</f>
        <v/>
      </c>
      <c r="D14" s="7" t="str">
        <f t="array" ref="D14">IF(X14="","",INDEX('Inventory - P15'!$K$16:$K$27,(INT((X14-1)/4)+1))-SUMPRODUCT(($B$10:$B$61=B14)*(($I$10:$I$61&lt;&gt;"")+($K$10:$K$61&lt;&gt;"")+($M$10:$M$61&lt;&gt;"")+($O$10:$O$61&lt;&gt;"")+($Q$10:$Q$61&lt;&gt;"")+($S$10:$S$61&lt;&gt;"")+($U$10:$U$61&lt;&gt;""))))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P15'!$D$16:$D$27,(INT((X14-1)/4)+1)))</f>
        <v/>
      </c>
      <c r="F14" s="7" t="str">
        <f t="array" ref="F14">IF(X14="","",INDEX('Inventory - P15'!$E$16:$E$27,(INT((X14-1)/4)+1)))</f>
        <v/>
      </c>
      <c r="G14" s="7" t="str">
        <f t="array" ref="G14">IF(X14="","",INDEX('Inventory - P15'!$I$16:$I$27,(INT((X14-1)/4)+1)))</f>
        <v/>
      </c>
      <c r="H14" s="7" t="str">
        <f t="array" ref="H14">IF(X14="","",INDEX('Inventory - P15'!$J$16:$J$27,(INT((X14-1)/4)+1)))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P15'!$B$16:$B$27,(INT((X15-1)/4)+1))&amp;IF(INDEX('Inventory - P15'!$C$16:$C$27,(INT((X15-1)/4)+1))="",""," ("&amp;INDEX('Inventory - P15'!$C$16:$C$27,(INT((X15-1)/4)+1))&amp;" mg)"))</f>
        <v/>
      </c>
      <c r="D15" s="7" t="str">
        <f t="array" ref="D15">IF(X15="","",INDEX('Inventory - P15'!$K$16:$K$27,(INT((X15-1)/4)+1))-SUMPRODUCT(($B$10:$B$61=B15)*(($I$10:$I$61&lt;&gt;"")+($K$10:$K$61&lt;&gt;"")+($M$10:$M$61&lt;&gt;"")+($O$10:$O$61&lt;&gt;"")+($Q$10:$Q$61&lt;&gt;"")+($S$10:$S$61&lt;&gt;"")+($U$10:$U$61&lt;&gt;""))))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P15'!$D$16:$D$27,(INT((X15-1)/4)+1)))</f>
        <v/>
      </c>
      <c r="F15" s="7" t="str">
        <f t="array" ref="F15">IF(X15="","",INDEX('Inventory - P15'!$E$16:$E$27,(INT((X15-1)/4)+1)))</f>
        <v/>
      </c>
      <c r="G15" s="7" t="str">
        <f t="array" ref="G15">IF(X15="","",INDEX('Inventory - P15'!$I$16:$I$27,(INT((X15-1)/4)+1)))</f>
        <v/>
      </c>
      <c r="H15" s="7" t="str">
        <f t="array" ref="H15">IF(X15="","",INDEX('Inventory - P15'!$J$16:$J$27,(INT((X15-1)/4)+1)))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P15'!$B$16:$B$27,(INT((X16-1)/4)+1))&amp;IF(INDEX('Inventory - P15'!$C$16:$C$27,(INT((X16-1)/4)+1))="",""," ("&amp;INDEX('Inventory - P15'!$C$16:$C$27,(INT((X16-1)/4)+1))&amp;" mg)"))</f>
        <v/>
      </c>
      <c r="D16" s="7" t="str">
        <f t="array" ref="D16">IF(X16="","",INDEX('Inventory - P15'!$K$16:$K$27,(INT((X16-1)/4)+1))-SUMPRODUCT(($B$10:$B$61=B16)*(($I$10:$I$61&lt;&gt;"")+($K$10:$K$61&lt;&gt;"")+($M$10:$M$61&lt;&gt;"")+($O$10:$O$61&lt;&gt;"")+($Q$10:$Q$61&lt;&gt;"")+($S$10:$S$61&lt;&gt;"")+($U$10:$U$61&lt;&gt;""))))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P15'!$D$16:$D$27,(INT((X16-1)/4)+1)))</f>
        <v/>
      </c>
      <c r="F16" s="7" t="str">
        <f t="array" ref="F16">IF(X16="","",INDEX('Inventory - P15'!$E$16:$E$27,(INT((X16-1)/4)+1)))</f>
        <v/>
      </c>
      <c r="G16" s="7" t="str">
        <f t="array" ref="G16">IF(X16="","",INDEX('Inventory - P15'!$I$16:$I$27,(INT((X16-1)/4)+1)))</f>
        <v/>
      </c>
      <c r="H16" s="7" t="str">
        <f t="array" ref="H16">IF(X16="","",INDEX('Inventory - P15'!$J$16:$J$27,(INT((X16-1)/4)+1)))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P15'!$B$16:$B$27,(INT((X17-1)/4)+1))&amp;IF(INDEX('Inventory - P15'!$C$16:$C$27,(INT((X17-1)/4)+1))="",""," ("&amp;INDEX('Inventory - P15'!$C$16:$C$27,(INT((X17-1)/4)+1))&amp;" mg)"))</f>
        <v/>
      </c>
      <c r="D17" s="7" t="str">
        <f t="array" ref="D17">IF(X17="","",INDEX('Inventory - P15'!$K$16:$K$27,(INT((X17-1)/4)+1))-SUMPRODUCT(($B$10:$B$61=B17)*(($I$10:$I$61&lt;&gt;"")+($K$10:$K$61&lt;&gt;"")+($M$10:$M$61&lt;&gt;"")+($O$10:$O$61&lt;&gt;"")+($Q$10:$Q$61&lt;&gt;"")+($S$10:$S$61&lt;&gt;"")+($U$10:$U$61&lt;&gt;""))))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P15'!$D$16:$D$27,(INT((X17-1)/4)+1)))</f>
        <v/>
      </c>
      <c r="F17" s="7" t="str">
        <f t="array" ref="F17">IF(X17="","",INDEX('Inventory - P15'!$E$16:$E$27,(INT((X17-1)/4)+1)))</f>
        <v/>
      </c>
      <c r="G17" s="7" t="str">
        <f t="array" ref="G17">IF(X17="","",INDEX('Inventory - P15'!$I$16:$I$27,(INT((X17-1)/4)+1)))</f>
        <v/>
      </c>
      <c r="H17" s="7" t="str">
        <f t="array" ref="H17">IF(X17="","",INDEX('Inventory - P15'!$J$16:$J$27,(INT((X17-1)/4)+1)))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P15'!$B$16:$B$27,(INT((X18-1)/4)+1))&amp;IF(INDEX('Inventory - P15'!$C$16:$C$27,(INT((X18-1)/4)+1))="",""," ("&amp;INDEX('Inventory - P15'!$C$16:$C$27,(INT((X18-1)/4)+1))&amp;" mg)"))</f>
        <v/>
      </c>
      <c r="D18" s="7" t="str">
        <f t="array" ref="D18">IF(X18="","",INDEX('Inventory - P15'!$K$16:$K$27,(INT((X18-1)/4)+1))-SUMPRODUCT(($B$10:$B$61=B18)*(($I$10:$I$61&lt;&gt;"")+($K$10:$K$61&lt;&gt;"")+($M$10:$M$61&lt;&gt;"")+($O$10:$O$61&lt;&gt;"")+($Q$10:$Q$61&lt;&gt;"")+($S$10:$S$61&lt;&gt;"")+($U$10:$U$61&lt;&gt;""))))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P15'!$D$16:$D$27,(INT((X18-1)/4)+1)))</f>
        <v/>
      </c>
      <c r="F18" s="7" t="str">
        <f t="array" ref="F18">IF(X18="","",INDEX('Inventory - P15'!$E$16:$E$27,(INT((X18-1)/4)+1)))</f>
        <v/>
      </c>
      <c r="G18" s="7" t="str">
        <f t="array" ref="G18">IF(X18="","",INDEX('Inventory - P15'!$I$16:$I$27,(INT((X18-1)/4)+1)))</f>
        <v/>
      </c>
      <c r="H18" s="7" t="str">
        <f t="array" ref="H18">IF(X18="","",INDEX('Inventory - P15'!$J$16:$J$27,(INT((X18-1)/4)+1)))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P15'!$B$16:$B$27,(INT((X19-1)/4)+1))&amp;IF(INDEX('Inventory - P15'!$C$16:$C$27,(INT((X19-1)/4)+1))="",""," ("&amp;INDEX('Inventory - P15'!$C$16:$C$27,(INT((X19-1)/4)+1))&amp;" mg)"))</f>
        <v/>
      </c>
      <c r="D19" s="7" t="str">
        <f t="array" ref="D19">IF(X19="","",INDEX('Inventory - P15'!$K$16:$K$27,(INT((X19-1)/4)+1))-SUMPRODUCT(($B$10:$B$61=B19)*(($I$10:$I$61&lt;&gt;"")+($K$10:$K$61&lt;&gt;"")+($M$10:$M$61&lt;&gt;"")+($O$10:$O$61&lt;&gt;"")+($Q$10:$Q$61&lt;&gt;"")+($S$10:$S$61&lt;&gt;"")+($U$10:$U$61&lt;&gt;""))))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P15'!$D$16:$D$27,(INT((X19-1)/4)+1)))</f>
        <v/>
      </c>
      <c r="F19" s="7" t="str">
        <f t="array" ref="F19">IF(X19="","",INDEX('Inventory - P15'!$E$16:$E$27,(INT((X19-1)/4)+1)))</f>
        <v/>
      </c>
      <c r="G19" s="7" t="str">
        <f t="array" ref="G19">IF(X19="","",INDEX('Inventory - P15'!$I$16:$I$27,(INT((X19-1)/4)+1)))</f>
        <v/>
      </c>
      <c r="H19" s="7" t="str">
        <f t="array" ref="H19">IF(X19="","",INDEX('Inventory - P15'!$J$16:$J$27,(INT((X19-1)/4)+1)))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P15'!$B$16:$B$27,(INT((X20-1)/4)+1))&amp;IF(INDEX('Inventory - P15'!$C$16:$C$27,(INT((X20-1)/4)+1))="",""," ("&amp;INDEX('Inventory - P15'!$C$16:$C$27,(INT((X20-1)/4)+1))&amp;" mg)"))</f>
        <v/>
      </c>
      <c r="D20" s="7" t="str">
        <f t="array" ref="D20">IF(X20="","",INDEX('Inventory - P15'!$K$16:$K$27,(INT((X20-1)/4)+1))-SUMPRODUCT(($B$10:$B$61=B20)*(($I$10:$I$61&lt;&gt;"")+($K$10:$K$61&lt;&gt;"")+($M$10:$M$61&lt;&gt;"")+($O$10:$O$61&lt;&gt;"")+($Q$10:$Q$61&lt;&gt;"")+($S$10:$S$61&lt;&gt;"")+($U$10:$U$61&lt;&gt;""))))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P15'!$D$16:$D$27,(INT((X20-1)/4)+1)))</f>
        <v/>
      </c>
      <c r="F20" s="7" t="str">
        <f t="array" ref="F20">IF(X20="","",INDEX('Inventory - P15'!$E$16:$E$27,(INT((X20-1)/4)+1)))</f>
        <v/>
      </c>
      <c r="G20" s="7" t="str">
        <f t="array" ref="G20">IF(X20="","",INDEX('Inventory - P15'!$I$16:$I$27,(INT((X20-1)/4)+1)))</f>
        <v/>
      </c>
      <c r="H20" s="7" t="str">
        <f t="array" ref="H20">IF(X20="","",INDEX('Inventory - P15'!$J$16:$J$27,(INT((X20-1)/4)+1)))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P15'!$B$16:$B$27,(INT((X21-1)/4)+1))&amp;IF(INDEX('Inventory - P15'!$C$16:$C$27,(INT((X21-1)/4)+1))="",""," ("&amp;INDEX('Inventory - P15'!$C$16:$C$27,(INT((X21-1)/4)+1))&amp;" mg)"))</f>
        <v/>
      </c>
      <c r="D21" s="7" t="str">
        <f t="array" ref="D21">IF(X21="","",INDEX('Inventory - P15'!$K$16:$K$27,(INT((X21-1)/4)+1))-SUMPRODUCT(($B$10:$B$61=B21)*(($I$10:$I$61&lt;&gt;"")+($K$10:$K$61&lt;&gt;"")+($M$10:$M$61&lt;&gt;"")+($O$10:$O$61&lt;&gt;"")+($Q$10:$Q$61&lt;&gt;"")+($S$10:$S$61&lt;&gt;"")+($U$10:$U$61&lt;&gt;""))))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P15'!$D$16:$D$27,(INT((X21-1)/4)+1)))</f>
        <v/>
      </c>
      <c r="F21" s="7" t="str">
        <f t="array" ref="F21">IF(X21="","",INDEX('Inventory - P15'!$E$16:$E$27,(INT((X21-1)/4)+1)))</f>
        <v/>
      </c>
      <c r="G21" s="7" t="str">
        <f t="array" ref="G21">IF(X21="","",INDEX('Inventory - P15'!$I$16:$I$27,(INT((X21-1)/4)+1)))</f>
        <v/>
      </c>
      <c r="H21" s="7" t="str">
        <f t="array" ref="H21">IF(X21="","",INDEX('Inventory - P15'!$J$16:$J$27,(INT((X21-1)/4)+1)))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P15'!$B$16:$B$27,(INT((X22-1)/4)+1))&amp;IF(INDEX('Inventory - P15'!$C$16:$C$27,(INT((X22-1)/4)+1))="",""," ("&amp;INDEX('Inventory - P15'!$C$16:$C$27,(INT((X22-1)/4)+1))&amp;" mg)"))</f>
        <v/>
      </c>
      <c r="D22" s="7" t="str">
        <f t="array" ref="D22">IF(X22="","",INDEX('Inventory - P15'!$K$16:$K$27,(INT((X22-1)/4)+1))-SUMPRODUCT(($B$10:$B$61=B22)*(($I$10:$I$61&lt;&gt;"")+($K$10:$K$61&lt;&gt;"")+($M$10:$M$61&lt;&gt;"")+($O$10:$O$61&lt;&gt;"")+($Q$10:$Q$61&lt;&gt;"")+($S$10:$S$61&lt;&gt;"")+($U$10:$U$61&lt;&gt;""))))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P15'!$D$16:$D$27,(INT((X22-1)/4)+1)))</f>
        <v/>
      </c>
      <c r="F22" s="7" t="str">
        <f t="array" ref="F22">IF(X22="","",INDEX('Inventory - P15'!$E$16:$E$27,(INT((X22-1)/4)+1)))</f>
        <v/>
      </c>
      <c r="G22" s="7" t="str">
        <f t="array" ref="G22">IF(X22="","",INDEX('Inventory - P15'!$I$16:$I$27,(INT((X22-1)/4)+1)))</f>
        <v/>
      </c>
      <c r="H22" s="7" t="str">
        <f t="array" ref="H22">IF(X22="","",INDEX('Inventory - P15'!$J$16:$J$27,(INT((X22-1)/4)+1)))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P15'!$B$16:$B$27,(INT((X24-1)/4)+1))&amp;IF(INDEX('Inventory - P15'!$C$16:$C$27,(INT((X24-1)/4)+1))="",""," ("&amp;INDEX('Inventory - P15'!$C$16:$C$27,(INT((X24-1)/4)+1))&amp;" mg)"))</f>
        <v/>
      </c>
      <c r="D24" s="7" t="str">
        <f t="array" ref="D24">IF(X24="","",INDEX('Inventory - P15'!$K$16:$K$27,(INT((X24-1)/4)+1))-SUMPRODUCT(($B$10:$B$61=B24)*(($I$10:$I$61&lt;&gt;"")+($K$10:$K$61&lt;&gt;"")+($M$10:$M$61&lt;&gt;"")+($O$10:$O$61&lt;&gt;"")+($Q$10:$Q$61&lt;&gt;"")+($S$10:$S$61&lt;&gt;"")+($U$10:$U$61&lt;&gt;""))))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P15'!$D$16:$D$27,(INT((X24-1)/4)+1)))</f>
        <v/>
      </c>
      <c r="F24" s="7" t="str">
        <f t="array" ref="F24">IF(X24="","",INDEX('Inventory - P15'!$E$16:$E$27,(INT((X24-1)/4)+1)))</f>
        <v/>
      </c>
      <c r="G24" s="7" t="str">
        <f t="array" ref="G24">IF(X24="","",INDEX('Inventory - P15'!$I$16:$I$27,(INT((X24-1)/4)+1)))</f>
        <v/>
      </c>
      <c r="H24" s="7" t="str">
        <f t="array" ref="H24">IF(X24="","",INDEX('Inventory - P15'!$J$16:$J$27,(INT((X24-1)/4)+1)))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P15'!$B$16:$B$27,(INT((X25-1)/4)+1))&amp;IF(INDEX('Inventory - P15'!$C$16:$C$27,(INT((X25-1)/4)+1))="",""," ("&amp;INDEX('Inventory - P15'!$C$16:$C$27,(INT((X25-1)/4)+1))&amp;" mg)"))</f>
        <v/>
      </c>
      <c r="D25" s="7" t="str">
        <f t="array" ref="D25">IF(X25="","",INDEX('Inventory - P15'!$K$16:$K$27,(INT((X25-1)/4)+1))-SUMPRODUCT(($B$10:$B$61=B25)*(($I$10:$I$61&lt;&gt;"")+($K$10:$K$61&lt;&gt;"")+($M$10:$M$61&lt;&gt;"")+($O$10:$O$61&lt;&gt;"")+($Q$10:$Q$61&lt;&gt;"")+($S$10:$S$61&lt;&gt;"")+($U$10:$U$61&lt;&gt;""))))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P15'!$D$16:$D$27,(INT((X25-1)/4)+1)))</f>
        <v/>
      </c>
      <c r="F25" s="7" t="str">
        <f t="array" ref="F25">IF(X25="","",INDEX('Inventory - P15'!$E$16:$E$27,(INT((X25-1)/4)+1)))</f>
        <v/>
      </c>
      <c r="G25" s="7" t="str">
        <f t="array" ref="G25">IF(X25="","",INDEX('Inventory - P15'!$I$16:$I$27,(INT((X25-1)/4)+1)))</f>
        <v/>
      </c>
      <c r="H25" s="7" t="str">
        <f t="array" ref="H25">IF(X25="","",INDEX('Inventory - P15'!$J$16:$J$27,(INT((X25-1)/4)+1)))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P15'!$B$16:$B$27,(INT((X26-1)/4)+1))&amp;IF(INDEX('Inventory - P15'!$C$16:$C$27,(INT((X26-1)/4)+1))="",""," ("&amp;INDEX('Inventory - P15'!$C$16:$C$27,(INT((X26-1)/4)+1))&amp;" mg)"))</f>
        <v/>
      </c>
      <c r="D26" s="7" t="str">
        <f t="array" ref="D26">IF(X26="","",INDEX('Inventory - P15'!$K$16:$K$27,(INT((X26-1)/4)+1))-SUMPRODUCT(($B$10:$B$61=B26)*(($I$10:$I$61&lt;&gt;"")+($K$10:$K$61&lt;&gt;"")+($M$10:$M$61&lt;&gt;"")+($O$10:$O$61&lt;&gt;"")+($Q$10:$Q$61&lt;&gt;"")+($S$10:$S$61&lt;&gt;"")+($U$10:$U$61&lt;&gt;""))))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P15'!$D$16:$D$27,(INT((X26-1)/4)+1)))</f>
        <v/>
      </c>
      <c r="F26" s="7" t="str">
        <f t="array" ref="F26">IF(X26="","",INDEX('Inventory - P15'!$E$16:$E$27,(INT((X26-1)/4)+1)))</f>
        <v/>
      </c>
      <c r="G26" s="7" t="str">
        <f t="array" ref="G26">IF(X26="","",INDEX('Inventory - P15'!$I$16:$I$27,(INT((X26-1)/4)+1)))</f>
        <v/>
      </c>
      <c r="H26" s="7" t="str">
        <f t="array" ref="H26">IF(X26="","",INDEX('Inventory - P15'!$J$16:$J$27,(INT((X26-1)/4)+1)))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P15'!$B$16:$B$27,(INT((X27-1)/4)+1))&amp;IF(INDEX('Inventory - P15'!$C$16:$C$27,(INT((X27-1)/4)+1))="",""," ("&amp;INDEX('Inventory - P15'!$C$16:$C$27,(INT((X27-1)/4)+1))&amp;" mg)"))</f>
        <v/>
      </c>
      <c r="D27" s="7" t="str">
        <f t="array" ref="D27">IF(X27="","",INDEX('Inventory - P15'!$K$16:$K$27,(INT((X27-1)/4)+1))-SUMPRODUCT(($B$10:$B$61=B27)*(($I$10:$I$61&lt;&gt;"")+($K$10:$K$61&lt;&gt;"")+($M$10:$M$61&lt;&gt;"")+($O$10:$O$61&lt;&gt;"")+($Q$10:$Q$61&lt;&gt;"")+($S$10:$S$61&lt;&gt;"")+($U$10:$U$61&lt;&gt;""))))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P15'!$D$16:$D$27,(INT((X27-1)/4)+1)))</f>
        <v/>
      </c>
      <c r="F27" s="7" t="str">
        <f t="array" ref="F27">IF(X27="","",INDEX('Inventory - P15'!$E$16:$E$27,(INT((X27-1)/4)+1)))</f>
        <v/>
      </c>
      <c r="G27" s="7" t="str">
        <f t="array" ref="G27">IF(X27="","",INDEX('Inventory - P15'!$I$16:$I$27,(INT((X27-1)/4)+1)))</f>
        <v/>
      </c>
      <c r="H27" s="7" t="str">
        <f t="array" ref="H27">IF(X27="","",INDEX('Inventory - P15'!$J$16:$J$27,(INT((X27-1)/4)+1)))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P15'!$B$16:$B$27,(INT((X28-1)/4)+1))&amp;IF(INDEX('Inventory - P15'!$C$16:$C$27,(INT((X28-1)/4)+1))="",""," ("&amp;INDEX('Inventory - P15'!$C$16:$C$27,(INT((X28-1)/4)+1))&amp;" mg)"))</f>
        <v/>
      </c>
      <c r="D28" s="7" t="str">
        <f t="array" ref="D28">IF(X28="","",INDEX('Inventory - P15'!$K$16:$K$27,(INT((X28-1)/4)+1))-SUMPRODUCT(($B$10:$B$61=B28)*(($I$10:$I$61&lt;&gt;"")+($K$10:$K$61&lt;&gt;"")+($M$10:$M$61&lt;&gt;"")+($O$10:$O$61&lt;&gt;"")+($Q$10:$Q$61&lt;&gt;"")+($S$10:$S$61&lt;&gt;"")+($U$10:$U$61&lt;&gt;""))))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P15'!$D$16:$D$27,(INT((X28-1)/4)+1)))</f>
        <v/>
      </c>
      <c r="F28" s="7" t="str">
        <f t="array" ref="F28">IF(X28="","",INDEX('Inventory - P15'!$E$16:$E$27,(INT((X28-1)/4)+1)))</f>
        <v/>
      </c>
      <c r="G28" s="7" t="str">
        <f t="array" ref="G28">IF(X28="","",INDEX('Inventory - P15'!$I$16:$I$27,(INT((X28-1)/4)+1)))</f>
        <v/>
      </c>
      <c r="H28" s="7" t="str">
        <f t="array" ref="H28">IF(X28="","",INDEX('Inventory - P15'!$J$16:$J$27,(INT((X28-1)/4)+1)))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P15'!$B$16:$B$27,(INT((X29-1)/4)+1))&amp;IF(INDEX('Inventory - P15'!$C$16:$C$27,(INT((X29-1)/4)+1))="",""," ("&amp;INDEX('Inventory - P15'!$C$16:$C$27,(INT((X29-1)/4)+1))&amp;" mg)"))</f>
        <v/>
      </c>
      <c r="D29" s="7" t="str">
        <f t="array" ref="D29">IF(X29="","",INDEX('Inventory - P15'!$K$16:$K$27,(INT((X29-1)/4)+1))-SUMPRODUCT(($B$10:$B$61=B29)*(($I$10:$I$61&lt;&gt;"")+($K$10:$K$61&lt;&gt;"")+($M$10:$M$61&lt;&gt;"")+($O$10:$O$61&lt;&gt;"")+($Q$10:$Q$61&lt;&gt;"")+($S$10:$S$61&lt;&gt;"")+($U$10:$U$61&lt;&gt;""))))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P15'!$D$16:$D$27,(INT((X29-1)/4)+1)))</f>
        <v/>
      </c>
      <c r="F29" s="7" t="str">
        <f t="array" ref="F29">IF(X29="","",INDEX('Inventory - P15'!$E$16:$E$27,(INT((X29-1)/4)+1)))</f>
        <v/>
      </c>
      <c r="G29" s="7" t="str">
        <f t="array" ref="G29">IF(X29="","",INDEX('Inventory - P15'!$I$16:$I$27,(INT((X29-1)/4)+1)))</f>
        <v/>
      </c>
      <c r="H29" s="7" t="str">
        <f t="array" ref="H29">IF(X29="","",INDEX('Inventory - P15'!$J$16:$J$27,(INT((X29-1)/4)+1)))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P15'!$B$16:$B$27,(INT((X30-1)/4)+1))&amp;IF(INDEX('Inventory - P15'!$C$16:$C$27,(INT((X30-1)/4)+1))="",""," ("&amp;INDEX('Inventory - P15'!$C$16:$C$27,(INT((X30-1)/4)+1))&amp;" mg)"))</f>
        <v/>
      </c>
      <c r="D30" s="7" t="str">
        <f t="array" ref="D30">IF(X30="","",INDEX('Inventory - P15'!$K$16:$K$27,(INT((X30-1)/4)+1))-SUMPRODUCT(($B$10:$B$61=B30)*(($I$10:$I$61&lt;&gt;"")+($K$10:$K$61&lt;&gt;"")+($M$10:$M$61&lt;&gt;"")+($O$10:$O$61&lt;&gt;"")+($Q$10:$Q$61&lt;&gt;"")+($S$10:$S$61&lt;&gt;"")+($U$10:$U$61&lt;&gt;""))))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P15'!$D$16:$D$27,(INT((X30-1)/4)+1)))</f>
        <v/>
      </c>
      <c r="F30" s="7" t="str">
        <f t="array" ref="F30">IF(X30="","",INDEX('Inventory - P15'!$E$16:$E$27,(INT((X30-1)/4)+1)))</f>
        <v/>
      </c>
      <c r="G30" s="7" t="str">
        <f t="array" ref="G30">IF(X30="","",INDEX('Inventory - P15'!$I$16:$I$27,(INT((X30-1)/4)+1)))</f>
        <v/>
      </c>
      <c r="H30" s="7" t="str">
        <f t="array" ref="H30">IF(X30="","",INDEX('Inventory - P15'!$J$16:$J$27,(INT((X30-1)/4)+1)))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P15'!$B$16:$B$27,(INT((X31-1)/4)+1))&amp;IF(INDEX('Inventory - P15'!$C$16:$C$27,(INT((X31-1)/4)+1))="",""," ("&amp;INDEX('Inventory - P15'!$C$16:$C$27,(INT((X31-1)/4)+1))&amp;" mg)"))</f>
        <v/>
      </c>
      <c r="D31" s="7" t="str">
        <f t="array" ref="D31">IF(X31="","",INDEX('Inventory - P15'!$K$16:$K$27,(INT((X31-1)/4)+1))-SUMPRODUCT(($B$10:$B$61=B31)*(($I$10:$I$61&lt;&gt;"")+($K$10:$K$61&lt;&gt;"")+($M$10:$M$61&lt;&gt;"")+($O$10:$O$61&lt;&gt;"")+($Q$10:$Q$61&lt;&gt;"")+($S$10:$S$61&lt;&gt;"")+($U$10:$U$61&lt;&gt;""))))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P15'!$D$16:$D$27,(INT((X31-1)/4)+1)))</f>
        <v/>
      </c>
      <c r="F31" s="7" t="str">
        <f t="array" ref="F31">IF(X31="","",INDEX('Inventory - P15'!$E$16:$E$27,(INT((X31-1)/4)+1)))</f>
        <v/>
      </c>
      <c r="G31" s="7" t="str">
        <f t="array" ref="G31">IF(X31="","",INDEX('Inventory - P15'!$I$16:$I$27,(INT((X31-1)/4)+1)))</f>
        <v/>
      </c>
      <c r="H31" s="7" t="str">
        <f t="array" ref="H31">IF(X31="","",INDEX('Inventory - P15'!$J$16:$J$27,(INT((X31-1)/4)+1)))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P15'!$B$16:$B$27,(INT((X32-1)/4)+1))&amp;IF(INDEX('Inventory - P15'!$C$16:$C$27,(INT((X32-1)/4)+1))="",""," ("&amp;INDEX('Inventory - P15'!$C$16:$C$27,(INT((X32-1)/4)+1))&amp;" mg)"))</f>
        <v/>
      </c>
      <c r="D32" s="7" t="str">
        <f t="array" ref="D32">IF(X32="","",INDEX('Inventory - P15'!$K$16:$K$27,(INT((X32-1)/4)+1))-SUMPRODUCT(($B$10:$B$61=B32)*(($I$10:$I$61&lt;&gt;"")+($K$10:$K$61&lt;&gt;"")+($M$10:$M$61&lt;&gt;"")+($O$10:$O$61&lt;&gt;"")+($Q$10:$Q$61&lt;&gt;"")+($S$10:$S$61&lt;&gt;"")+($U$10:$U$61&lt;&gt;""))))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P15'!$D$16:$D$27,(INT((X32-1)/4)+1)))</f>
        <v/>
      </c>
      <c r="F32" s="7" t="str">
        <f t="array" ref="F32">IF(X32="","",INDEX('Inventory - P15'!$E$16:$E$27,(INT((X32-1)/4)+1)))</f>
        <v/>
      </c>
      <c r="G32" s="7" t="str">
        <f t="array" ref="G32">IF(X32="","",INDEX('Inventory - P15'!$I$16:$I$27,(INT((X32-1)/4)+1)))</f>
        <v/>
      </c>
      <c r="H32" s="7" t="str">
        <f t="array" ref="H32">IF(X32="","",INDEX('Inventory - P15'!$J$16:$J$27,(INT((X32-1)/4)+1)))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P15'!$B$16:$B$27,(INT((X33-1)/4)+1))&amp;IF(INDEX('Inventory - P15'!$C$16:$C$27,(INT((X33-1)/4)+1))="",""," ("&amp;INDEX('Inventory - P15'!$C$16:$C$27,(INT((X33-1)/4)+1))&amp;" mg)"))</f>
        <v/>
      </c>
      <c r="D33" s="7" t="str">
        <f t="array" ref="D33">IF(X33="","",INDEX('Inventory - P15'!$K$16:$K$27,(INT((X33-1)/4)+1))-SUMPRODUCT(($B$10:$B$61=B33)*(($I$10:$I$61&lt;&gt;"")+($K$10:$K$61&lt;&gt;"")+($M$10:$M$61&lt;&gt;"")+($O$10:$O$61&lt;&gt;"")+($Q$10:$Q$61&lt;&gt;"")+($S$10:$S$61&lt;&gt;"")+($U$10:$U$61&lt;&gt;""))))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P15'!$D$16:$D$27,(INT((X33-1)/4)+1)))</f>
        <v/>
      </c>
      <c r="F33" s="7" t="str">
        <f t="array" ref="F33">IF(X33="","",INDEX('Inventory - P15'!$E$16:$E$27,(INT((X33-1)/4)+1)))</f>
        <v/>
      </c>
      <c r="G33" s="7" t="str">
        <f t="array" ref="G33">IF(X33="","",INDEX('Inventory - P15'!$I$16:$I$27,(INT((X33-1)/4)+1)))</f>
        <v/>
      </c>
      <c r="H33" s="7" t="str">
        <f t="array" ref="H33">IF(X33="","",INDEX('Inventory - P15'!$J$16:$J$27,(INT((X33-1)/4)+1)))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P15'!$B$16:$B$27,(INT((X34-1)/4)+1))&amp;IF(INDEX('Inventory - P15'!$C$16:$C$27,(INT((X34-1)/4)+1))="",""," ("&amp;INDEX('Inventory - P15'!$C$16:$C$27,(INT((X34-1)/4)+1))&amp;" mg)"))</f>
        <v/>
      </c>
      <c r="D34" s="7" t="str">
        <f t="array" ref="D34">IF(X34="","",INDEX('Inventory - P15'!$K$16:$K$27,(INT((X34-1)/4)+1))-SUMPRODUCT(($B$10:$B$61=B34)*(($I$10:$I$61&lt;&gt;"")+($K$10:$K$61&lt;&gt;"")+($M$10:$M$61&lt;&gt;"")+($O$10:$O$61&lt;&gt;"")+($Q$10:$Q$61&lt;&gt;"")+($S$10:$S$61&lt;&gt;"")+($U$10:$U$61&lt;&gt;""))))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P15'!$D$16:$D$27,(INT((X34-1)/4)+1)))</f>
        <v/>
      </c>
      <c r="F34" s="7" t="str">
        <f t="array" ref="F34">IF(X34="","",INDEX('Inventory - P15'!$E$16:$E$27,(INT((X34-1)/4)+1)))</f>
        <v/>
      </c>
      <c r="G34" s="7" t="str">
        <f t="array" ref="G34">IF(X34="","",INDEX('Inventory - P15'!$I$16:$I$27,(INT((X34-1)/4)+1)))</f>
        <v/>
      </c>
      <c r="H34" s="7" t="str">
        <f t="array" ref="H34">IF(X34="","",INDEX('Inventory - P15'!$J$16:$J$27,(INT((X34-1)/4)+1)))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P15'!$B$16:$B$27,(INT((X35-1)/4)+1))&amp;IF(INDEX('Inventory - P15'!$C$16:$C$27,(INT((X35-1)/4)+1))="",""," ("&amp;INDEX('Inventory - P15'!$C$16:$C$27,(INT((X35-1)/4)+1))&amp;" mg)"))</f>
        <v/>
      </c>
      <c r="D35" s="7" t="str">
        <f t="array" ref="D35">IF(X35="","",INDEX('Inventory - P15'!$K$16:$K$27,(INT((X35-1)/4)+1))-SUMPRODUCT(($B$10:$B$61=B35)*(($I$10:$I$61&lt;&gt;"")+($K$10:$K$61&lt;&gt;"")+($M$10:$M$61&lt;&gt;"")+($O$10:$O$61&lt;&gt;"")+($Q$10:$Q$61&lt;&gt;"")+($S$10:$S$61&lt;&gt;"")+($U$10:$U$61&lt;&gt;""))))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P15'!$D$16:$D$27,(INT((X35-1)/4)+1)))</f>
        <v/>
      </c>
      <c r="F35" s="7" t="str">
        <f t="array" ref="F35">IF(X35="","",INDEX('Inventory - P15'!$E$16:$E$27,(INT((X35-1)/4)+1)))</f>
        <v/>
      </c>
      <c r="G35" s="7" t="str">
        <f t="array" ref="G35">IF(X35="","",INDEX('Inventory - P15'!$I$16:$I$27,(INT((X35-1)/4)+1)))</f>
        <v/>
      </c>
      <c r="H35" s="7" t="str">
        <f t="array" ref="H35">IF(X35="","",INDEX('Inventory - P15'!$J$16:$J$27,(INT((X35-1)/4)+1)))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P15'!$B$16:$B$27,(INT((X37-1)/4)+1))&amp;IF(INDEX('Inventory - P15'!$C$16:$C$27,(INT((X37-1)/4)+1))="",""," ("&amp;INDEX('Inventory - P15'!$C$16:$C$27,(INT((X37-1)/4)+1))&amp;" mg)"))</f>
        <v/>
      </c>
      <c r="D37" s="7" t="str">
        <f t="array" ref="D37">IF(X37="","",INDEX('Inventory - P15'!$K$16:$K$27,(INT((X37-1)/4)+1))-SUMPRODUCT(($B$10:$B$61=B37)*(($I$10:$I$61&lt;&gt;"")+($K$10:$K$61&lt;&gt;"")+($M$10:$M$61&lt;&gt;"")+($O$10:$O$61&lt;&gt;"")+($Q$10:$Q$61&lt;&gt;"")+($S$10:$S$61&lt;&gt;"")+($U$10:$U$61&lt;&gt;""))))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P15'!$D$16:$D$27,(INT((X37-1)/4)+1)))</f>
        <v/>
      </c>
      <c r="F37" s="7" t="str">
        <f t="array" ref="F37">IF(X37="","",INDEX('Inventory - P15'!$E$16:$E$27,(INT((X37-1)/4)+1)))</f>
        <v/>
      </c>
      <c r="G37" s="7" t="str">
        <f t="array" ref="G37">IF(X37="","",INDEX('Inventory - P15'!$I$16:$I$27,(INT((X37-1)/4)+1)))</f>
        <v/>
      </c>
      <c r="H37" s="7" t="str">
        <f t="array" ref="H37">IF(X37="","",INDEX('Inventory - P15'!$J$16:$J$27,(INT((X37-1)/4)+1)))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P15'!$B$16:$B$27,(INT((X38-1)/4)+1))&amp;IF(INDEX('Inventory - P15'!$C$16:$C$27,(INT((X38-1)/4)+1))="",""," ("&amp;INDEX('Inventory - P15'!$C$16:$C$27,(INT((X38-1)/4)+1))&amp;" mg)"))</f>
        <v/>
      </c>
      <c r="D38" s="7" t="str">
        <f t="array" ref="D38">IF(X38="","",INDEX('Inventory - P15'!$K$16:$K$27,(INT((X38-1)/4)+1))-SUMPRODUCT(($B$10:$B$61=B38)*(($I$10:$I$61&lt;&gt;"")+($K$10:$K$61&lt;&gt;"")+($M$10:$M$61&lt;&gt;"")+($O$10:$O$61&lt;&gt;"")+($Q$10:$Q$61&lt;&gt;"")+($S$10:$S$61&lt;&gt;"")+($U$10:$U$61&lt;&gt;""))))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P15'!$D$16:$D$27,(INT((X38-1)/4)+1)))</f>
        <v/>
      </c>
      <c r="F38" s="7" t="str">
        <f t="array" ref="F38">IF(X38="","",INDEX('Inventory - P15'!$E$16:$E$27,(INT((X38-1)/4)+1)))</f>
        <v/>
      </c>
      <c r="G38" s="7" t="str">
        <f t="array" ref="G38">IF(X38="","",INDEX('Inventory - P15'!$I$16:$I$27,(INT((X38-1)/4)+1)))</f>
        <v/>
      </c>
      <c r="H38" s="7" t="str">
        <f t="array" ref="H38">IF(X38="","",INDEX('Inventory - P15'!$J$16:$J$27,(INT((X38-1)/4)+1)))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P15'!$B$16:$B$27,(INT((X39-1)/4)+1))&amp;IF(INDEX('Inventory - P15'!$C$16:$C$27,(INT((X39-1)/4)+1))="",""," ("&amp;INDEX('Inventory - P15'!$C$16:$C$27,(INT((X39-1)/4)+1))&amp;" mg)"))</f>
        <v/>
      </c>
      <c r="D39" s="7" t="str">
        <f t="array" ref="D39">IF(X39="","",INDEX('Inventory - P15'!$K$16:$K$27,(INT((X39-1)/4)+1))-SUMPRODUCT(($B$10:$B$61=B39)*(($I$10:$I$61&lt;&gt;"")+($K$10:$K$61&lt;&gt;"")+($M$10:$M$61&lt;&gt;"")+($O$10:$O$61&lt;&gt;"")+($Q$10:$Q$61&lt;&gt;"")+($S$10:$S$61&lt;&gt;"")+($U$10:$U$61&lt;&gt;""))))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P15'!$D$16:$D$27,(INT((X39-1)/4)+1)))</f>
        <v/>
      </c>
      <c r="F39" s="7" t="str">
        <f t="array" ref="F39">IF(X39="","",INDEX('Inventory - P15'!$E$16:$E$27,(INT((X39-1)/4)+1)))</f>
        <v/>
      </c>
      <c r="G39" s="7" t="str">
        <f t="array" ref="G39">IF(X39="","",INDEX('Inventory - P15'!$I$16:$I$27,(INT((X39-1)/4)+1)))</f>
        <v/>
      </c>
      <c r="H39" s="7" t="str">
        <f t="array" ref="H39">IF(X39="","",INDEX('Inventory - P15'!$J$16:$J$27,(INT((X39-1)/4)+1)))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P15'!$B$16:$B$27,(INT((X40-1)/4)+1))&amp;IF(INDEX('Inventory - P15'!$C$16:$C$27,(INT((X40-1)/4)+1))="",""," ("&amp;INDEX('Inventory - P15'!$C$16:$C$27,(INT((X40-1)/4)+1))&amp;" mg)"))</f>
        <v/>
      </c>
      <c r="D40" s="7" t="str">
        <f t="array" ref="D40">IF(X40="","",INDEX('Inventory - P15'!$K$16:$K$27,(INT((X40-1)/4)+1))-SUMPRODUCT(($B$10:$B$61=B40)*(($I$10:$I$61&lt;&gt;"")+($K$10:$K$61&lt;&gt;"")+($M$10:$M$61&lt;&gt;"")+($O$10:$O$61&lt;&gt;"")+($Q$10:$Q$61&lt;&gt;"")+($S$10:$S$61&lt;&gt;"")+($U$10:$U$61&lt;&gt;""))))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P15'!$D$16:$D$27,(INT((X40-1)/4)+1)))</f>
        <v/>
      </c>
      <c r="F40" s="7" t="str">
        <f t="array" ref="F40">IF(X40="","",INDEX('Inventory - P15'!$E$16:$E$27,(INT((X40-1)/4)+1)))</f>
        <v/>
      </c>
      <c r="G40" s="7" t="str">
        <f t="array" ref="G40">IF(X40="","",INDEX('Inventory - P15'!$I$16:$I$27,(INT((X40-1)/4)+1)))</f>
        <v/>
      </c>
      <c r="H40" s="7" t="str">
        <f t="array" ref="H40">IF(X40="","",INDEX('Inventory - P15'!$J$16:$J$27,(INT((X40-1)/4)+1)))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P15'!$B$16:$B$27,(INT((X41-1)/4)+1))&amp;IF(INDEX('Inventory - P15'!$C$16:$C$27,(INT((X41-1)/4)+1))="",""," ("&amp;INDEX('Inventory - P15'!$C$16:$C$27,(INT((X41-1)/4)+1))&amp;" mg)"))</f>
        <v/>
      </c>
      <c r="D41" s="7" t="str">
        <f t="array" ref="D41">IF(X41="","",INDEX('Inventory - P15'!$K$16:$K$27,(INT((X41-1)/4)+1))-SUMPRODUCT(($B$10:$B$61=B41)*(($I$10:$I$61&lt;&gt;"")+($K$10:$K$61&lt;&gt;"")+($M$10:$M$61&lt;&gt;"")+($O$10:$O$61&lt;&gt;"")+($Q$10:$Q$61&lt;&gt;"")+($S$10:$S$61&lt;&gt;"")+($U$10:$U$61&lt;&gt;""))))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P15'!$D$16:$D$27,(INT((X41-1)/4)+1)))</f>
        <v/>
      </c>
      <c r="F41" s="7" t="str">
        <f t="array" ref="F41">IF(X41="","",INDEX('Inventory - P15'!$E$16:$E$27,(INT((X41-1)/4)+1)))</f>
        <v/>
      </c>
      <c r="G41" s="7" t="str">
        <f t="array" ref="G41">IF(X41="","",INDEX('Inventory - P15'!$I$16:$I$27,(INT((X41-1)/4)+1)))</f>
        <v/>
      </c>
      <c r="H41" s="7" t="str">
        <f t="array" ref="H41">IF(X41="","",INDEX('Inventory - P15'!$J$16:$J$27,(INT((X41-1)/4)+1)))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P15'!$B$16:$B$27,(INT((X42-1)/4)+1))&amp;IF(INDEX('Inventory - P15'!$C$16:$C$27,(INT((X42-1)/4)+1))="",""," ("&amp;INDEX('Inventory - P15'!$C$16:$C$27,(INT((X42-1)/4)+1))&amp;" mg)"))</f>
        <v/>
      </c>
      <c r="D42" s="7" t="str">
        <f t="array" ref="D42">IF(X42="","",INDEX('Inventory - P15'!$K$16:$K$27,(INT((X42-1)/4)+1))-SUMPRODUCT(($B$10:$B$61=B42)*(($I$10:$I$61&lt;&gt;"")+($K$10:$K$61&lt;&gt;"")+($M$10:$M$61&lt;&gt;"")+($O$10:$O$61&lt;&gt;"")+($Q$10:$Q$61&lt;&gt;"")+($S$10:$S$61&lt;&gt;"")+($U$10:$U$61&lt;&gt;""))))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P15'!$D$16:$D$27,(INT((X42-1)/4)+1)))</f>
        <v/>
      </c>
      <c r="F42" s="7" t="str">
        <f t="array" ref="F42">IF(X42="","",INDEX('Inventory - P15'!$E$16:$E$27,(INT((X42-1)/4)+1)))</f>
        <v/>
      </c>
      <c r="G42" s="7" t="str">
        <f t="array" ref="G42">IF(X42="","",INDEX('Inventory - P15'!$I$16:$I$27,(INT((X42-1)/4)+1)))</f>
        <v/>
      </c>
      <c r="H42" s="7" t="str">
        <f t="array" ref="H42">IF(X42="","",INDEX('Inventory - P15'!$J$16:$J$27,(INT((X42-1)/4)+1)))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P15'!$B$16:$B$27,(INT((X43-1)/4)+1))&amp;IF(INDEX('Inventory - P15'!$C$16:$C$27,(INT((X43-1)/4)+1))="",""," ("&amp;INDEX('Inventory - P15'!$C$16:$C$27,(INT((X43-1)/4)+1))&amp;" mg)"))</f>
        <v/>
      </c>
      <c r="D43" s="7" t="str">
        <f t="array" ref="D43">IF(X43="","",INDEX('Inventory - P15'!$K$16:$K$27,(INT((X43-1)/4)+1))-SUMPRODUCT(($B$10:$B$61=B43)*(($I$10:$I$61&lt;&gt;"")+($K$10:$K$61&lt;&gt;"")+($M$10:$M$61&lt;&gt;"")+($O$10:$O$61&lt;&gt;"")+($Q$10:$Q$61&lt;&gt;"")+($S$10:$S$61&lt;&gt;"")+($U$10:$U$61&lt;&gt;""))))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P15'!$D$16:$D$27,(INT((X43-1)/4)+1)))</f>
        <v/>
      </c>
      <c r="F43" s="7" t="str">
        <f t="array" ref="F43">IF(X43="","",INDEX('Inventory - P15'!$E$16:$E$27,(INT((X43-1)/4)+1)))</f>
        <v/>
      </c>
      <c r="G43" s="7" t="str">
        <f t="array" ref="G43">IF(X43="","",INDEX('Inventory - P15'!$I$16:$I$27,(INT((X43-1)/4)+1)))</f>
        <v/>
      </c>
      <c r="H43" s="7" t="str">
        <f t="array" ref="H43">IF(X43="","",INDEX('Inventory - P15'!$J$16:$J$27,(INT((X43-1)/4)+1)))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P15'!$B$16:$B$27,(INT((X44-1)/4)+1))&amp;IF(INDEX('Inventory - P15'!$C$16:$C$27,(INT((X44-1)/4)+1))="",""," ("&amp;INDEX('Inventory - P15'!$C$16:$C$27,(INT((X44-1)/4)+1))&amp;" mg)"))</f>
        <v/>
      </c>
      <c r="D44" s="7" t="str">
        <f t="array" ref="D44">IF(X44="","",INDEX('Inventory - P15'!$K$16:$K$27,(INT((X44-1)/4)+1))-SUMPRODUCT(($B$10:$B$61=B44)*(($I$10:$I$61&lt;&gt;"")+($K$10:$K$61&lt;&gt;"")+($M$10:$M$61&lt;&gt;"")+($O$10:$O$61&lt;&gt;"")+($Q$10:$Q$61&lt;&gt;"")+($S$10:$S$61&lt;&gt;"")+($U$10:$U$61&lt;&gt;""))))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P15'!$D$16:$D$27,(INT((X44-1)/4)+1)))</f>
        <v/>
      </c>
      <c r="F44" s="7" t="str">
        <f t="array" ref="F44">IF(X44="","",INDEX('Inventory - P15'!$E$16:$E$27,(INT((X44-1)/4)+1)))</f>
        <v/>
      </c>
      <c r="G44" s="7" t="str">
        <f t="array" ref="G44">IF(X44="","",INDEX('Inventory - P15'!$I$16:$I$27,(INT((X44-1)/4)+1)))</f>
        <v/>
      </c>
      <c r="H44" s="7" t="str">
        <f t="array" ref="H44">IF(X44="","",INDEX('Inventory - P15'!$J$16:$J$27,(INT((X44-1)/4)+1)))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P15'!$B$16:$B$27,(INT((X45-1)/4)+1))&amp;IF(INDEX('Inventory - P15'!$C$16:$C$27,(INT((X45-1)/4)+1))="",""," ("&amp;INDEX('Inventory - P15'!$C$16:$C$27,(INT((X45-1)/4)+1))&amp;" mg)"))</f>
        <v/>
      </c>
      <c r="D45" s="7" t="str">
        <f t="array" ref="D45">IF(X45="","",INDEX('Inventory - P15'!$K$16:$K$27,(INT((X45-1)/4)+1))-SUMPRODUCT(($B$10:$B$61=B45)*(($I$10:$I$61&lt;&gt;"")+($K$10:$K$61&lt;&gt;"")+($M$10:$M$61&lt;&gt;"")+($O$10:$O$61&lt;&gt;"")+($Q$10:$Q$61&lt;&gt;"")+($S$10:$S$61&lt;&gt;"")+($U$10:$U$61&lt;&gt;""))))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P15'!$D$16:$D$27,(INT((X45-1)/4)+1)))</f>
        <v/>
      </c>
      <c r="F45" s="7" t="str">
        <f t="array" ref="F45">IF(X45="","",INDEX('Inventory - P15'!$E$16:$E$27,(INT((X45-1)/4)+1)))</f>
        <v/>
      </c>
      <c r="G45" s="7" t="str">
        <f t="array" ref="G45">IF(X45="","",INDEX('Inventory - P15'!$I$16:$I$27,(INT((X45-1)/4)+1)))</f>
        <v/>
      </c>
      <c r="H45" s="7" t="str">
        <f t="array" ref="H45">IF(X45="","",INDEX('Inventory - P15'!$J$16:$J$27,(INT((X45-1)/4)+1)))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P15'!$B$16:$B$27,(INT((X46-1)/4)+1))&amp;IF(INDEX('Inventory - P15'!$C$16:$C$27,(INT((X46-1)/4)+1))="",""," ("&amp;INDEX('Inventory - P15'!$C$16:$C$27,(INT((X46-1)/4)+1))&amp;" mg)"))</f>
        <v/>
      </c>
      <c r="D46" s="7" t="str">
        <f t="array" ref="D46">IF(X46="","",INDEX('Inventory - P15'!$K$16:$K$27,(INT((X46-1)/4)+1))-SUMPRODUCT(($B$10:$B$61=B46)*(($I$10:$I$61&lt;&gt;"")+($K$10:$K$61&lt;&gt;"")+($M$10:$M$61&lt;&gt;"")+($O$10:$O$61&lt;&gt;"")+($Q$10:$Q$61&lt;&gt;"")+($S$10:$S$61&lt;&gt;"")+($U$10:$U$61&lt;&gt;""))))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P15'!$D$16:$D$27,(INT((X46-1)/4)+1)))</f>
        <v/>
      </c>
      <c r="F46" s="7" t="str">
        <f t="array" ref="F46">IF(X46="","",INDEX('Inventory - P15'!$E$16:$E$27,(INT((X46-1)/4)+1)))</f>
        <v/>
      </c>
      <c r="G46" s="7" t="str">
        <f t="array" ref="G46">IF(X46="","",INDEX('Inventory - P15'!$I$16:$I$27,(INT((X46-1)/4)+1)))</f>
        <v/>
      </c>
      <c r="H46" s="7" t="str">
        <f t="array" ref="H46">IF(X46="","",INDEX('Inventory - P15'!$J$16:$J$27,(INT((X46-1)/4)+1)))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P15'!$B$16:$B$27,(INT((X47-1)/4)+1))&amp;IF(INDEX('Inventory - P15'!$C$16:$C$27,(INT((X47-1)/4)+1))="",""," ("&amp;INDEX('Inventory - P15'!$C$16:$C$27,(INT((X47-1)/4)+1))&amp;" mg)"))</f>
        <v/>
      </c>
      <c r="D47" s="7" t="str">
        <f t="array" ref="D47">IF(X47="","",INDEX('Inventory - P15'!$K$16:$K$27,(INT((X47-1)/4)+1))-SUMPRODUCT(($B$10:$B$61=B47)*(($I$10:$I$61&lt;&gt;"")+($K$10:$K$61&lt;&gt;"")+($M$10:$M$61&lt;&gt;"")+($O$10:$O$61&lt;&gt;"")+($Q$10:$Q$61&lt;&gt;"")+($S$10:$S$61&lt;&gt;"")+($U$10:$U$61&lt;&gt;""))))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P15'!$D$16:$D$27,(INT((X47-1)/4)+1)))</f>
        <v/>
      </c>
      <c r="F47" s="7" t="str">
        <f t="array" ref="F47">IF(X47="","",INDEX('Inventory - P15'!$E$16:$E$27,(INT((X47-1)/4)+1)))</f>
        <v/>
      </c>
      <c r="G47" s="7" t="str">
        <f t="array" ref="G47">IF(X47="","",INDEX('Inventory - P15'!$I$16:$I$27,(INT((X47-1)/4)+1)))</f>
        <v/>
      </c>
      <c r="H47" s="7" t="str">
        <f t="array" ref="H47">IF(X47="","",INDEX('Inventory - P15'!$J$16:$J$27,(INT((X47-1)/4)+1)))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P15'!$B$16:$B$27,(INT((X48-1)/4)+1))&amp;IF(INDEX('Inventory - P15'!$C$16:$C$27,(INT((X48-1)/4)+1))="",""," ("&amp;INDEX('Inventory - P15'!$C$16:$C$27,(INT((X48-1)/4)+1))&amp;" mg)"))</f>
        <v/>
      </c>
      <c r="D48" s="7" t="str">
        <f t="array" ref="D48">IF(X48="","",INDEX('Inventory - P15'!$K$16:$K$27,(INT((X48-1)/4)+1))-SUMPRODUCT(($B$10:$B$61=B48)*(($I$10:$I$61&lt;&gt;"")+($K$10:$K$61&lt;&gt;"")+($M$10:$M$61&lt;&gt;"")+($O$10:$O$61&lt;&gt;"")+($Q$10:$Q$61&lt;&gt;"")+($S$10:$S$61&lt;&gt;"")+($U$10:$U$61&lt;&gt;""))))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P15'!$D$16:$D$27,(INT((X48-1)/4)+1)))</f>
        <v/>
      </c>
      <c r="F48" s="7" t="str">
        <f t="array" ref="F48">IF(X48="","",INDEX('Inventory - P15'!$E$16:$E$27,(INT((X48-1)/4)+1)))</f>
        <v/>
      </c>
      <c r="G48" s="7" t="str">
        <f t="array" ref="G48">IF(X48="","",INDEX('Inventory - P15'!$I$16:$I$27,(INT((X48-1)/4)+1)))</f>
        <v/>
      </c>
      <c r="H48" s="7" t="str">
        <f t="array" ref="H48">IF(X48="","",INDEX('Inventory - P15'!$J$16:$J$27,(INT((X48-1)/4)+1)))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P15'!$B$16:$B$27,(INT((X50-1)/4)+1))&amp;IF(INDEX('Inventory - P15'!$C$16:$C$27,(INT((X50-1)/4)+1))="",""," ("&amp;INDEX('Inventory - P15'!$C$16:$C$27,(INT((X50-1)/4)+1))&amp;" mg)"))</f>
        <v/>
      </c>
      <c r="D50" s="7" t="str">
        <f t="array" ref="D50">IF(X50="","",INDEX('Inventory - P15'!$K$16:$K$27,(INT((X50-1)/4)+1))-SUMPRODUCT(($B$10:$B$61=B50)*(($I$10:$I$61&lt;&gt;"")+($K$10:$K$61&lt;&gt;"")+($M$10:$M$61&lt;&gt;"")+($O$10:$O$61&lt;&gt;"")+($Q$10:$Q$61&lt;&gt;"")+($S$10:$S$61&lt;&gt;"")+($U$10:$U$61&lt;&gt;""))))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P15'!$D$16:$D$27,(INT((X50-1)/4)+1)))</f>
        <v/>
      </c>
      <c r="F50" s="7" t="str">
        <f t="array" ref="F50">IF(X50="","",INDEX('Inventory - P15'!$E$16:$E$27,(INT((X50-1)/4)+1)))</f>
        <v/>
      </c>
      <c r="G50" s="7" t="str">
        <f t="array" ref="G50">IF(X50="","",INDEX('Inventory - P15'!$I$16:$I$27,(INT((X50-1)/4)+1)))</f>
        <v/>
      </c>
      <c r="H50" s="7" t="str">
        <f t="array" ref="H50">IF(X50="","",INDEX('Inventory - P15'!$J$16:$J$27,(INT((X50-1)/4)+1)))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P15'!$B$16:$B$27,(INT((X51-1)/4)+1))&amp;IF(INDEX('Inventory - P15'!$C$16:$C$27,(INT((X51-1)/4)+1))="",""," ("&amp;INDEX('Inventory - P15'!$C$16:$C$27,(INT((X51-1)/4)+1))&amp;" mg)"))</f>
        <v/>
      </c>
      <c r="D51" s="7" t="str">
        <f t="array" ref="D51">IF(X51="","",INDEX('Inventory - P15'!$K$16:$K$27,(INT((X51-1)/4)+1))-SUMPRODUCT(($B$10:$B$61=B51)*(($I$10:$I$61&lt;&gt;"")+($K$10:$K$61&lt;&gt;"")+($M$10:$M$61&lt;&gt;"")+($O$10:$O$61&lt;&gt;"")+($Q$10:$Q$61&lt;&gt;"")+($S$10:$S$61&lt;&gt;"")+($U$10:$U$61&lt;&gt;""))))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P15'!$D$16:$D$27,(INT((X51-1)/4)+1)))</f>
        <v/>
      </c>
      <c r="F51" s="7" t="str">
        <f t="array" ref="F51">IF(X51="","",INDEX('Inventory - P15'!$E$16:$E$27,(INT((X51-1)/4)+1)))</f>
        <v/>
      </c>
      <c r="G51" s="7" t="str">
        <f t="array" ref="G51">IF(X51="","",INDEX('Inventory - P15'!$I$16:$I$27,(INT((X51-1)/4)+1)))</f>
        <v/>
      </c>
      <c r="H51" s="7" t="str">
        <f t="array" ref="H51">IF(X51="","",INDEX('Inventory - P15'!$J$16:$J$27,(INT((X51-1)/4)+1)))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P15'!$B$16:$B$27,(INT((X52-1)/4)+1))&amp;IF(INDEX('Inventory - P15'!$C$16:$C$27,(INT((X52-1)/4)+1))="",""," ("&amp;INDEX('Inventory - P15'!$C$16:$C$27,(INT((X52-1)/4)+1))&amp;" mg)"))</f>
        <v/>
      </c>
      <c r="D52" s="7" t="str">
        <f t="array" ref="D52">IF(X52="","",INDEX('Inventory - P15'!$K$16:$K$27,(INT((X52-1)/4)+1))-SUMPRODUCT(($B$10:$B$61=B52)*(($I$10:$I$61&lt;&gt;"")+($K$10:$K$61&lt;&gt;"")+($M$10:$M$61&lt;&gt;"")+($O$10:$O$61&lt;&gt;"")+($Q$10:$Q$61&lt;&gt;"")+($S$10:$S$61&lt;&gt;"")+($U$10:$U$61&lt;&gt;""))))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P15'!$D$16:$D$27,(INT((X52-1)/4)+1)))</f>
        <v/>
      </c>
      <c r="F52" s="7" t="str">
        <f t="array" ref="F52">IF(X52="","",INDEX('Inventory - P15'!$E$16:$E$27,(INT((X52-1)/4)+1)))</f>
        <v/>
      </c>
      <c r="G52" s="7" t="str">
        <f t="array" ref="G52">IF(X52="","",INDEX('Inventory - P15'!$I$16:$I$27,(INT((X52-1)/4)+1)))</f>
        <v/>
      </c>
      <c r="H52" s="7" t="str">
        <f t="array" ref="H52">IF(X52="","",INDEX('Inventory - P15'!$J$16:$J$27,(INT((X52-1)/4)+1)))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P15'!$B$16:$B$27,(INT((X53-1)/4)+1))&amp;IF(INDEX('Inventory - P15'!$C$16:$C$27,(INT((X53-1)/4)+1))="",""," ("&amp;INDEX('Inventory - P15'!$C$16:$C$27,(INT((X53-1)/4)+1))&amp;" mg)"))</f>
        <v/>
      </c>
      <c r="D53" s="7" t="str">
        <f t="array" ref="D53">IF(X53="","",INDEX('Inventory - P15'!$K$16:$K$27,(INT((X53-1)/4)+1))-SUMPRODUCT(($B$10:$B$61=B53)*(($I$10:$I$61&lt;&gt;"")+($K$10:$K$61&lt;&gt;"")+($M$10:$M$61&lt;&gt;"")+($O$10:$O$61&lt;&gt;"")+($Q$10:$Q$61&lt;&gt;"")+($S$10:$S$61&lt;&gt;"")+($U$10:$U$61&lt;&gt;""))))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P15'!$D$16:$D$27,(INT((X53-1)/4)+1)))</f>
        <v/>
      </c>
      <c r="F53" s="7" t="str">
        <f t="array" ref="F53">IF(X53="","",INDEX('Inventory - P15'!$E$16:$E$27,(INT((X53-1)/4)+1)))</f>
        <v/>
      </c>
      <c r="G53" s="7" t="str">
        <f t="array" ref="G53">IF(X53="","",INDEX('Inventory - P15'!$I$16:$I$27,(INT((X53-1)/4)+1)))</f>
        <v/>
      </c>
      <c r="H53" s="7" t="str">
        <f t="array" ref="H53">IF(X53="","",INDEX('Inventory - P15'!$J$16:$J$27,(INT((X53-1)/4)+1)))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P15'!$B$16:$B$27,(INT((X54-1)/4)+1))&amp;IF(INDEX('Inventory - P15'!$C$16:$C$27,(INT((X54-1)/4)+1))="",""," ("&amp;INDEX('Inventory - P15'!$C$16:$C$27,(INT((X54-1)/4)+1))&amp;" mg)"))</f>
        <v/>
      </c>
      <c r="D54" s="7" t="str">
        <f t="array" ref="D54">IF(X54="","",INDEX('Inventory - P15'!$K$16:$K$27,(INT((X54-1)/4)+1))-SUMPRODUCT(($B$10:$B$61=B54)*(($I$10:$I$61&lt;&gt;"")+($K$10:$K$61&lt;&gt;"")+($M$10:$M$61&lt;&gt;"")+($O$10:$O$61&lt;&gt;"")+($Q$10:$Q$61&lt;&gt;"")+($S$10:$S$61&lt;&gt;"")+($U$10:$U$61&lt;&gt;""))))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P15'!$D$16:$D$27,(INT((X54-1)/4)+1)))</f>
        <v/>
      </c>
      <c r="F54" s="7" t="str">
        <f t="array" ref="F54">IF(X54="","",INDEX('Inventory - P15'!$E$16:$E$27,(INT((X54-1)/4)+1)))</f>
        <v/>
      </c>
      <c r="G54" s="7" t="str">
        <f t="array" ref="G54">IF(X54="","",INDEX('Inventory - P15'!$I$16:$I$27,(INT((X54-1)/4)+1)))</f>
        <v/>
      </c>
      <c r="H54" s="7" t="str">
        <f t="array" ref="H54">IF(X54="","",INDEX('Inventory - P15'!$J$16:$J$27,(INT((X54-1)/4)+1)))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P15'!$B$16:$B$27,(INT((X55-1)/4)+1))&amp;IF(INDEX('Inventory - P15'!$C$16:$C$27,(INT((X55-1)/4)+1))="",""," ("&amp;INDEX('Inventory - P15'!$C$16:$C$27,(INT((X55-1)/4)+1))&amp;" mg)"))</f>
        <v/>
      </c>
      <c r="D55" s="7" t="str">
        <f t="array" ref="D55">IF(X55="","",INDEX('Inventory - P15'!$K$16:$K$27,(INT((X55-1)/4)+1))-SUMPRODUCT(($B$10:$B$61=B55)*(($I$10:$I$61&lt;&gt;"")+($K$10:$K$61&lt;&gt;"")+($M$10:$M$61&lt;&gt;"")+($O$10:$O$61&lt;&gt;"")+($Q$10:$Q$61&lt;&gt;"")+($S$10:$S$61&lt;&gt;"")+($U$10:$U$61&lt;&gt;""))))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P15'!$D$16:$D$27,(INT((X55-1)/4)+1)))</f>
        <v/>
      </c>
      <c r="F55" s="7" t="str">
        <f t="array" ref="F55">IF(X55="","",INDEX('Inventory - P15'!$E$16:$E$27,(INT((X55-1)/4)+1)))</f>
        <v/>
      </c>
      <c r="G55" s="7" t="str">
        <f t="array" ref="G55">IF(X55="","",INDEX('Inventory - P15'!$I$16:$I$27,(INT((X55-1)/4)+1)))</f>
        <v/>
      </c>
      <c r="H55" s="7" t="str">
        <f t="array" ref="H55">IF(X55="","",INDEX('Inventory - P15'!$J$16:$J$27,(INT((X55-1)/4)+1)))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P15'!$B$16:$B$27,(INT((X56-1)/4)+1))&amp;IF(INDEX('Inventory - P15'!$C$16:$C$27,(INT((X56-1)/4)+1))="",""," ("&amp;INDEX('Inventory - P15'!$C$16:$C$27,(INT((X56-1)/4)+1))&amp;" mg)"))</f>
        <v/>
      </c>
      <c r="D56" s="7" t="str">
        <f t="array" ref="D56">IF(X56="","",INDEX('Inventory - P15'!$K$16:$K$27,(INT((X56-1)/4)+1))-SUMPRODUCT(($B$10:$B$61=B56)*(($I$10:$I$61&lt;&gt;"")+($K$10:$K$61&lt;&gt;"")+($M$10:$M$61&lt;&gt;"")+($O$10:$O$61&lt;&gt;"")+($Q$10:$Q$61&lt;&gt;"")+($S$10:$S$61&lt;&gt;"")+($U$10:$U$61&lt;&gt;""))))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P15'!$D$16:$D$27,(INT((X56-1)/4)+1)))</f>
        <v/>
      </c>
      <c r="F56" s="7" t="str">
        <f t="array" ref="F56">IF(X56="","",INDEX('Inventory - P15'!$E$16:$E$27,(INT((X56-1)/4)+1)))</f>
        <v/>
      </c>
      <c r="G56" s="7" t="str">
        <f t="array" ref="G56">IF(X56="","",INDEX('Inventory - P15'!$I$16:$I$27,(INT((X56-1)/4)+1)))</f>
        <v/>
      </c>
      <c r="H56" s="7" t="str">
        <f t="array" ref="H56">IF(X56="","",INDEX('Inventory - P15'!$J$16:$J$27,(INT((X56-1)/4)+1)))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P15'!$B$16:$B$27,(INT((X57-1)/4)+1))&amp;IF(INDEX('Inventory - P15'!$C$16:$C$27,(INT((X57-1)/4)+1))="",""," ("&amp;INDEX('Inventory - P15'!$C$16:$C$27,(INT((X57-1)/4)+1))&amp;" mg)"))</f>
        <v/>
      </c>
      <c r="D57" s="7" t="str">
        <f t="array" ref="D57">IF(X57="","",INDEX('Inventory - P15'!$K$16:$K$27,(INT((X57-1)/4)+1))-SUMPRODUCT(($B$10:$B$61=B57)*(($I$10:$I$61&lt;&gt;"")+($K$10:$K$61&lt;&gt;"")+($M$10:$M$61&lt;&gt;"")+($O$10:$O$61&lt;&gt;"")+($Q$10:$Q$61&lt;&gt;"")+($S$10:$S$61&lt;&gt;"")+($U$10:$U$61&lt;&gt;""))))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P15'!$D$16:$D$27,(INT((X57-1)/4)+1)))</f>
        <v/>
      </c>
      <c r="F57" s="7" t="str">
        <f t="array" ref="F57">IF(X57="","",INDEX('Inventory - P15'!$E$16:$E$27,(INT((X57-1)/4)+1)))</f>
        <v/>
      </c>
      <c r="G57" s="7" t="str">
        <f t="array" ref="G57">IF(X57="","",INDEX('Inventory - P15'!$I$16:$I$27,(INT((X57-1)/4)+1)))</f>
        <v/>
      </c>
      <c r="H57" s="7" t="str">
        <f t="array" ref="H57">IF(X57="","",INDEX('Inventory - P15'!$J$16:$J$27,(INT((X57-1)/4)+1)))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P15'!$B$16:$B$27,(INT((X58-1)/4)+1))&amp;IF(INDEX('Inventory - P15'!$C$16:$C$27,(INT((X58-1)/4)+1))="",""," ("&amp;INDEX('Inventory - P15'!$C$16:$C$27,(INT((X58-1)/4)+1))&amp;" mg)"))</f>
        <v/>
      </c>
      <c r="D58" s="7" t="str">
        <f t="array" ref="D58">IF(X58="","",INDEX('Inventory - P15'!$K$16:$K$27,(INT((X58-1)/4)+1))-SUMPRODUCT(($B$10:$B$61=B58)*(($I$10:$I$61&lt;&gt;"")+($K$10:$K$61&lt;&gt;"")+($M$10:$M$61&lt;&gt;"")+($O$10:$O$61&lt;&gt;"")+($Q$10:$Q$61&lt;&gt;"")+($S$10:$S$61&lt;&gt;"")+($U$10:$U$61&lt;&gt;""))))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P15'!$D$16:$D$27,(INT((X58-1)/4)+1)))</f>
        <v/>
      </c>
      <c r="F58" s="7" t="str">
        <f t="array" ref="F58">IF(X58="","",INDEX('Inventory - P15'!$E$16:$E$27,(INT((X58-1)/4)+1)))</f>
        <v/>
      </c>
      <c r="G58" s="7" t="str">
        <f t="array" ref="G58">IF(X58="","",INDEX('Inventory - P15'!$I$16:$I$27,(INT((X58-1)/4)+1)))</f>
        <v/>
      </c>
      <c r="H58" s="7" t="str">
        <f t="array" ref="H58">IF(X58="","",INDEX('Inventory - P15'!$J$16:$J$27,(INT((X58-1)/4)+1)))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P15'!$B$16:$B$27,(INT((X59-1)/4)+1))&amp;IF(INDEX('Inventory - P15'!$C$16:$C$27,(INT((X59-1)/4)+1))="",""," ("&amp;INDEX('Inventory - P15'!$C$16:$C$27,(INT((X59-1)/4)+1))&amp;" mg)"))</f>
        <v/>
      </c>
      <c r="D59" s="7" t="str">
        <f t="array" ref="D59">IF(X59="","",INDEX('Inventory - P15'!$K$16:$K$27,(INT((X59-1)/4)+1))-SUMPRODUCT(($B$10:$B$61=B59)*(($I$10:$I$61&lt;&gt;"")+($K$10:$K$61&lt;&gt;"")+($M$10:$M$61&lt;&gt;"")+($O$10:$O$61&lt;&gt;"")+($Q$10:$Q$61&lt;&gt;"")+($S$10:$S$61&lt;&gt;"")+($U$10:$U$61&lt;&gt;""))))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P15'!$D$16:$D$27,(INT((X59-1)/4)+1)))</f>
        <v/>
      </c>
      <c r="F59" s="7" t="str">
        <f t="array" ref="F59">IF(X59="","",INDEX('Inventory - P15'!$E$16:$E$27,(INT((X59-1)/4)+1)))</f>
        <v/>
      </c>
      <c r="G59" s="7" t="str">
        <f t="array" ref="G59">IF(X59="","",INDEX('Inventory - P15'!$I$16:$I$27,(INT((X59-1)/4)+1)))</f>
        <v/>
      </c>
      <c r="H59" s="7" t="str">
        <f t="array" ref="H59">IF(X59="","",INDEX('Inventory - P15'!$J$16:$J$27,(INT((X59-1)/4)+1)))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P15'!$B$16:$B$27,(INT((X60-1)/4)+1))&amp;IF(INDEX('Inventory - P15'!$C$16:$C$27,(INT((X60-1)/4)+1))="",""," ("&amp;INDEX('Inventory - P15'!$C$16:$C$27,(INT((X60-1)/4)+1))&amp;" mg)"))</f>
        <v/>
      </c>
      <c r="D60" s="7" t="str">
        <f t="array" ref="D60">IF(X60="","",INDEX('Inventory - P15'!$K$16:$K$27,(INT((X60-1)/4)+1))-SUMPRODUCT(($B$10:$B$61=B60)*(($I$10:$I$61&lt;&gt;"")+($K$10:$K$61&lt;&gt;"")+($M$10:$M$61&lt;&gt;"")+($O$10:$O$61&lt;&gt;"")+($Q$10:$Q$61&lt;&gt;"")+($S$10:$S$61&lt;&gt;"")+($U$10:$U$61&lt;&gt;""))))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P15'!$D$16:$D$27,(INT((X60-1)/4)+1)))</f>
        <v/>
      </c>
      <c r="F60" s="7" t="str">
        <f t="array" ref="F60">IF(X60="","",INDEX('Inventory - P15'!$E$16:$E$27,(INT((X60-1)/4)+1)))</f>
        <v/>
      </c>
      <c r="G60" s="7" t="str">
        <f t="array" ref="G60">IF(X60="","",INDEX('Inventory - P15'!$I$16:$I$27,(INT((X60-1)/4)+1)))</f>
        <v/>
      </c>
      <c r="H60" s="7" t="str">
        <f t="array" ref="H60">IF(X60="","",INDEX('Inventory - P15'!$J$16:$J$27,(INT((X60-1)/4)+1)))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P15'!$B$16:$B$27,(INT((X61-1)/4)+1))&amp;IF(INDEX('Inventory - P15'!$C$16:$C$27,(INT((X61-1)/4)+1))="",""," ("&amp;INDEX('Inventory - P15'!$C$16:$C$27,(INT((X61-1)/4)+1))&amp;" mg)"))</f>
        <v/>
      </c>
      <c r="D61" s="7" t="str">
        <f t="array" ref="D61">IF(X61="","",INDEX('Inventory - P15'!$K$16:$K$27,(INT((X61-1)/4)+1))-SUMPRODUCT(($B$10:$B$61=B61)*(($I$10:$I$61&lt;&gt;"")+($K$10:$K$61&lt;&gt;"")+($M$10:$M$61&lt;&gt;"")+($O$10:$O$61&lt;&gt;"")+($Q$10:$Q$61&lt;&gt;"")+($S$10:$S$61&lt;&gt;"")+($U$10:$U$61&lt;&gt;""))))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P15'!$D$16:$D$27,(INT((X61-1)/4)+1)))</f>
        <v/>
      </c>
      <c r="F61" s="7" t="str">
        <f t="array" ref="F61">IF(X61="","",INDEX('Inventory - P15'!$E$16:$E$27,(INT((X61-1)/4)+1)))</f>
        <v/>
      </c>
      <c r="G61" s="7" t="str">
        <f t="array" ref="G61">IF(X61="","",INDEX('Inventory - P15'!$I$16:$I$27,(INT((X61-1)/4)+1)))</f>
        <v/>
      </c>
      <c r="H61" s="7" t="str">
        <f t="array" ref="H61">IF(X61="","",INDEX('Inventory - P15'!$J$16:$J$27,(INT((X61-1)/4)+1)))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P15'!E16&lt;1,'Inventory - P15'!F16="",'Inventory - P15'!G16=""),9,MOD('Inventory - P15'!F16+0*'Inventory - P15'!G16/24,1))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P15'!E16&lt;2,'Inventory - P15'!F16="",'Inventory - P15'!G16=""),9,MOD('Inventory - P15'!F16+1*'Inventory - P15'!G16/24,1))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P15'!E16&lt;3,'Inventory - P15'!F16="",'Inventory - P15'!G16=""),9,MOD('Inventory - P15'!F16+2*'Inventory - P15'!G16/24,1))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P15'!E16&lt;4,'Inventory - P15'!F16="",'Inventory - P15'!G16=""),9,MOD('Inventory - P15'!F16+3*'Inventory - P15'!G16/24,1))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P15'!E17&lt;1,'Inventory - P15'!F17="",'Inventory - P15'!G17=""),9,MOD('Inventory - P15'!F17+0*'Inventory - P15'!G17/24,1))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P15'!E17&lt;2,'Inventory - P15'!F17="",'Inventory - P15'!G17=""),9,MOD('Inventory - P15'!F17+1*'Inventory - P15'!G17/24,1))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P15'!E17&lt;3,'Inventory - P15'!F17="",'Inventory - P15'!G17=""),9,MOD('Inventory - P15'!F17+2*'Inventory - P15'!G17/24,1))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P15'!E17&lt;4,'Inventory - P15'!F17="",'Inventory - P15'!G17=""),9,MOD('Inventory - P15'!F17+3*'Inventory - P15'!G17/24,1))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P15'!E18&lt;1,'Inventory - P15'!F18="",'Inventory - P15'!G18=""),9,MOD('Inventory - P15'!F18+0*'Inventory - P15'!G18/24,1))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P15'!E18&lt;2,'Inventory - P15'!F18="",'Inventory - P15'!G18=""),9,MOD('Inventory - P15'!F18+1*'Inventory - P15'!G18/24,1))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P15'!E18&lt;3,'Inventory - P15'!F18="",'Inventory - P15'!G18=""),9,MOD('Inventory - P15'!F18+2*'Inventory - P15'!G18/24,1))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P15'!E18&lt;4,'Inventory - P15'!F18="",'Inventory - P15'!G18=""),9,MOD('Inventory - P15'!F18+3*'Inventory - P15'!G18/24,1))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P15'!E19&lt;1,'Inventory - P15'!F19="",'Inventory - P15'!G19=""),9,MOD('Inventory - P15'!F19+0*'Inventory - P15'!G19/24,1))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P15'!E19&lt;2,'Inventory - P15'!F19="",'Inventory - P15'!G19=""),9,MOD('Inventory - P15'!F19+1*'Inventory - P15'!G19/24,1))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P15'!E19&lt;3,'Inventory - P15'!F19="",'Inventory - P15'!G19=""),9,MOD('Inventory - P15'!F19+2*'Inventory - P15'!G19/24,1))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P15'!E19&lt;4,'Inventory - P15'!F19="",'Inventory - P15'!G19=""),9,MOD('Inventory - P15'!F19+3*'Inventory - P15'!G19/24,1))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P15'!E20&lt;1,'Inventory - P15'!F20="",'Inventory - P15'!G20=""),9,MOD('Inventory - P15'!F20+0*'Inventory - P15'!G20/24,1))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P15'!E20&lt;2,'Inventory - P15'!F20="",'Inventory - P15'!G20=""),9,MOD('Inventory - P15'!F20+1*'Inventory - P15'!G20/24,1))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P15'!E20&lt;3,'Inventory - P15'!F20="",'Inventory - P15'!G20=""),9,MOD('Inventory - P15'!F20+2*'Inventory - P15'!G20/24,1))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P15'!E20&lt;4,'Inventory - P15'!F20="",'Inventory - P15'!G20=""),9,MOD('Inventory - P15'!F20+3*'Inventory - P15'!G20/24,1))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P15'!E21&lt;1,'Inventory - P15'!F21="",'Inventory - P15'!G21=""),9,MOD('Inventory - P15'!F21+0*'Inventory - P15'!G21/24,1))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P15'!E21&lt;2,'Inventory - P15'!F21="",'Inventory - P15'!G21=""),9,MOD('Inventory - P15'!F21+1*'Inventory - P15'!G21/24,1))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P15'!E21&lt;3,'Inventory - P15'!F21="",'Inventory - P15'!G21=""),9,MOD('Inventory - P15'!F21+2*'Inventory - P15'!G21/24,1))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P15'!E21&lt;4,'Inventory - P15'!F21="",'Inventory - P15'!G21=""),9,MOD('Inventory - P15'!F21+3*'Inventory - P15'!G21/24,1))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P15'!E22&lt;1,'Inventory - P15'!F22="",'Inventory - P15'!G22=""),9,MOD('Inventory - P15'!F22+0*'Inventory - P15'!G22/24,1))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P15'!E22&lt;2,'Inventory - P15'!F22="",'Inventory - P15'!G22=""),9,MOD('Inventory - P15'!F22+1*'Inventory - P15'!G22/24,1))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P15'!E22&lt;3,'Inventory - P15'!F22="",'Inventory - P15'!G22=""),9,MOD('Inventory - P15'!F22+2*'Inventory - P15'!G22/24,1))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P15'!E22&lt;4,'Inventory - P15'!F22="",'Inventory - P15'!G22=""),9,MOD('Inventory - P15'!F22+3*'Inventory - P15'!G22/24,1))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P15'!E23&lt;1,'Inventory - P15'!F23="",'Inventory - P15'!G23=""),9,MOD('Inventory - P15'!F23+0*'Inventory - P15'!G23/24,1))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P15'!E23&lt;2,'Inventory - P15'!F23="",'Inventory - P15'!G23=""),9,MOD('Inventory - P15'!F23+1*'Inventory - P15'!G23/24,1))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P15'!E23&lt;3,'Inventory - P15'!F23="",'Inventory - P15'!G23=""),9,MOD('Inventory - P15'!F23+2*'Inventory - P15'!G23/24,1))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P15'!E23&lt;4,'Inventory - P15'!F23="",'Inventory - P15'!G23=""),9,MOD('Inventory - P15'!F23+3*'Inventory - P15'!G23/24,1))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P15'!E24&lt;1,'Inventory - P15'!F24="",'Inventory - P15'!G24=""),9,MOD('Inventory - P15'!F24+0*'Inventory - P15'!G24/24,1))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P15'!E24&lt;2,'Inventory - P15'!F24="",'Inventory - P15'!G24=""),9,MOD('Inventory - P15'!F24+1*'Inventory - P15'!G24/24,1))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P15'!E24&lt;3,'Inventory - P15'!F24="",'Inventory - P15'!G24=""),9,MOD('Inventory - P15'!F24+2*'Inventory - P15'!G24/24,1))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P15'!E24&lt;4,'Inventory - P15'!F24="",'Inventory - P15'!G24=""),9,MOD('Inventory - P15'!F24+3*'Inventory - P15'!G24/24,1))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P15'!E25&lt;1,'Inventory - P15'!F25="",'Inventory - P15'!G25=""),9,MOD('Inventory - P15'!F25+0*'Inventory - P15'!G25/24,1))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P15'!E25&lt;2,'Inventory - P15'!F25="",'Inventory - P15'!G25=""),9,MOD('Inventory - P15'!F25+1*'Inventory - P15'!G25/24,1))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P15'!E25&lt;3,'Inventory - P15'!F25="",'Inventory - P15'!G25=""),9,MOD('Inventory - P15'!F25+2*'Inventory - P15'!G25/24,1))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P15'!E25&lt;4,'Inventory - P15'!F25="",'Inventory - P15'!G25=""),9,MOD('Inventory - P15'!F25+3*'Inventory - P15'!G25/24,1))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P15'!E26&lt;1,'Inventory - P15'!F26="",'Inventory - P15'!G26=""),9,MOD('Inventory - P15'!F26+0*'Inventory - P15'!G26/24,1))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P15'!E26&lt;2,'Inventory - P15'!F26="",'Inventory - P15'!G26=""),9,MOD('Inventory - P15'!F26+1*'Inventory - P15'!G26/24,1))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P15'!E26&lt;3,'Inventory - P15'!F26="",'Inventory - P15'!G26=""),9,MOD('Inventory - P15'!F26+2*'Inventory - P15'!G26/24,1))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P15'!E26&lt;4,'Inventory - P15'!F26="",'Inventory - P15'!G26=""),9,MOD('Inventory - P15'!F26+3*'Inventory - P15'!G26/24,1))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P15'!E27&lt;1,'Inventory - P15'!F27="",'Inventory - P15'!G27=""),9,MOD('Inventory - P15'!F27+0*'Inventory - P15'!G27/24,1))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P15'!E27&lt;2,'Inventory - P15'!F27="",'Inventory - P15'!G27=""),9,MOD('Inventory - P15'!F27+1*'Inventory - P15'!G27/24,1))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P15'!E27&lt;3,'Inventory - P15'!F27="",'Inventory - P15'!G27=""),9,MOD('Inventory - P15'!F27+2*'Inventory - P15'!G27/24,1))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P15'!E27&lt;4,'Inventory - P15'!F27="",'Inventory - P15'!G27=""),9,MOD('Inventory - P15'!F27+3*'Inventory - P15'!G27/24,1))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117" priority="1">
      <formula>$W11&gt;=9</formula>
    </cfRule>
  </conditionalFormatting>
  <conditionalFormatting sqref="A12:V12">
    <cfRule type="expression" dxfId="116" priority="2">
      <formula>$W12&gt;=9</formula>
    </cfRule>
  </conditionalFormatting>
  <conditionalFormatting sqref="A13:V13">
    <cfRule type="expression" dxfId="115" priority="3">
      <formula>$W13&gt;=9</formula>
    </cfRule>
  </conditionalFormatting>
  <conditionalFormatting sqref="A14:V14">
    <cfRule type="expression" dxfId="114" priority="4">
      <formula>$W14&gt;=9</formula>
    </cfRule>
  </conditionalFormatting>
  <conditionalFormatting sqref="A15:V15">
    <cfRule type="expression" dxfId="113" priority="5">
      <formula>$W15&gt;=9</formula>
    </cfRule>
  </conditionalFormatting>
  <conditionalFormatting sqref="A16:V16">
    <cfRule type="expression" dxfId="112" priority="6">
      <formula>$W16&gt;=9</formula>
    </cfRule>
  </conditionalFormatting>
  <conditionalFormatting sqref="A17:V17">
    <cfRule type="expression" dxfId="111" priority="7">
      <formula>$W17&gt;=9</formula>
    </cfRule>
  </conditionalFormatting>
  <conditionalFormatting sqref="A18:V18">
    <cfRule type="expression" dxfId="110" priority="8">
      <formula>$W18&gt;=9</formula>
    </cfRule>
  </conditionalFormatting>
  <conditionalFormatting sqref="A19:V19">
    <cfRule type="expression" dxfId="109" priority="9">
      <formula>$W19&gt;=9</formula>
    </cfRule>
  </conditionalFormatting>
  <conditionalFormatting sqref="A20:V20">
    <cfRule type="expression" dxfId="108" priority="10">
      <formula>$W20&gt;=9</formula>
    </cfRule>
  </conditionalFormatting>
  <conditionalFormatting sqref="A21:V21">
    <cfRule type="expression" dxfId="107" priority="11">
      <formula>$W21&gt;=9</formula>
    </cfRule>
  </conditionalFormatting>
  <conditionalFormatting sqref="A22:V22">
    <cfRule type="expression" dxfId="106" priority="12">
      <formula>$W22&gt;=9</formula>
    </cfRule>
  </conditionalFormatting>
  <conditionalFormatting sqref="A24:V24">
    <cfRule type="expression" dxfId="105" priority="13">
      <formula>$W24&gt;=9</formula>
    </cfRule>
  </conditionalFormatting>
  <conditionalFormatting sqref="A25:V25">
    <cfRule type="expression" dxfId="104" priority="14">
      <formula>$W25&gt;=9</formula>
    </cfRule>
  </conditionalFormatting>
  <conditionalFormatting sqref="A26:V26">
    <cfRule type="expression" dxfId="103" priority="15">
      <formula>$W26&gt;=9</formula>
    </cfRule>
  </conditionalFormatting>
  <conditionalFormatting sqref="A27:V27">
    <cfRule type="expression" dxfId="102" priority="16">
      <formula>$W27&gt;=9</formula>
    </cfRule>
  </conditionalFormatting>
  <conditionalFormatting sqref="A28:V28">
    <cfRule type="expression" dxfId="101" priority="17">
      <formula>$W28&gt;=9</formula>
    </cfRule>
  </conditionalFormatting>
  <conditionalFormatting sqref="A29:V29">
    <cfRule type="expression" dxfId="100" priority="18">
      <formula>$W29&gt;=9</formula>
    </cfRule>
  </conditionalFormatting>
  <conditionalFormatting sqref="A30:V30">
    <cfRule type="expression" dxfId="99" priority="19">
      <formula>$W30&gt;=9</formula>
    </cfRule>
  </conditionalFormatting>
  <conditionalFormatting sqref="A31:V31">
    <cfRule type="expression" dxfId="98" priority="20">
      <formula>$W31&gt;=9</formula>
    </cfRule>
  </conditionalFormatting>
  <conditionalFormatting sqref="A32:V32">
    <cfRule type="expression" dxfId="97" priority="21">
      <formula>$W32&gt;=9</formula>
    </cfRule>
  </conditionalFormatting>
  <conditionalFormatting sqref="A33:V33">
    <cfRule type="expression" dxfId="96" priority="22">
      <formula>$W33&gt;=9</formula>
    </cfRule>
  </conditionalFormatting>
  <conditionalFormatting sqref="A34:V34">
    <cfRule type="expression" dxfId="95" priority="23">
      <formula>$W34&gt;=9</formula>
    </cfRule>
  </conditionalFormatting>
  <conditionalFormatting sqref="A35:V35">
    <cfRule type="expression" dxfId="94" priority="24">
      <formula>$W35&gt;=9</formula>
    </cfRule>
  </conditionalFormatting>
  <conditionalFormatting sqref="A37:V37">
    <cfRule type="expression" dxfId="93" priority="25">
      <formula>$W37&gt;=9</formula>
    </cfRule>
  </conditionalFormatting>
  <conditionalFormatting sqref="A38:V38">
    <cfRule type="expression" dxfId="92" priority="26">
      <formula>$W38&gt;=9</formula>
    </cfRule>
  </conditionalFormatting>
  <conditionalFormatting sqref="A39:V39">
    <cfRule type="expression" dxfId="91" priority="27">
      <formula>$W39&gt;=9</formula>
    </cfRule>
  </conditionalFormatting>
  <conditionalFormatting sqref="A40:V40">
    <cfRule type="expression" dxfId="90" priority="28">
      <formula>$W40&gt;=9</formula>
    </cfRule>
  </conditionalFormatting>
  <conditionalFormatting sqref="A41:V41">
    <cfRule type="expression" dxfId="89" priority="29">
      <formula>$W41&gt;=9</formula>
    </cfRule>
  </conditionalFormatting>
  <conditionalFormatting sqref="A42:V42">
    <cfRule type="expression" dxfId="88" priority="30">
      <formula>$W42&gt;=9</formula>
    </cfRule>
  </conditionalFormatting>
  <conditionalFormatting sqref="A43:V43">
    <cfRule type="expression" dxfId="87" priority="31">
      <formula>$W43&gt;=9</formula>
    </cfRule>
  </conditionalFormatting>
  <conditionalFormatting sqref="A44:V44">
    <cfRule type="expression" dxfId="86" priority="32">
      <formula>$W44&gt;=9</formula>
    </cfRule>
  </conditionalFormatting>
  <conditionalFormatting sqref="A45:V45">
    <cfRule type="expression" dxfId="85" priority="33">
      <formula>$W45&gt;=9</formula>
    </cfRule>
  </conditionalFormatting>
  <conditionalFormatting sqref="A46:V46">
    <cfRule type="expression" dxfId="84" priority="34">
      <formula>$W46&gt;=9</formula>
    </cfRule>
  </conditionalFormatting>
  <conditionalFormatting sqref="A47:V47">
    <cfRule type="expression" dxfId="83" priority="35">
      <formula>$W47&gt;=9</formula>
    </cfRule>
  </conditionalFormatting>
  <conditionalFormatting sqref="A48:V48">
    <cfRule type="expression" dxfId="82" priority="36">
      <formula>$W48&gt;=9</formula>
    </cfRule>
  </conditionalFormatting>
  <conditionalFormatting sqref="A50:V50">
    <cfRule type="expression" dxfId="81" priority="37">
      <formula>$W50&gt;=9</formula>
    </cfRule>
  </conditionalFormatting>
  <conditionalFormatting sqref="A51:V51">
    <cfRule type="expression" dxfId="80" priority="38">
      <formula>$W51&gt;=9</formula>
    </cfRule>
  </conditionalFormatting>
  <conditionalFormatting sqref="A52:V52">
    <cfRule type="expression" dxfId="79" priority="39">
      <formula>$W52&gt;=9</formula>
    </cfRule>
  </conditionalFormatting>
  <conditionalFormatting sqref="A53:V53">
    <cfRule type="expression" dxfId="78" priority="40">
      <formula>$W53&gt;=9</formula>
    </cfRule>
  </conditionalFormatting>
  <conditionalFormatting sqref="A54:V54">
    <cfRule type="expression" dxfId="77" priority="41">
      <formula>$W54&gt;=9</formula>
    </cfRule>
  </conditionalFormatting>
  <conditionalFormatting sqref="A55:V55">
    <cfRule type="expression" dxfId="76" priority="42">
      <formula>$W55&gt;=9</formula>
    </cfRule>
  </conditionalFormatting>
  <conditionalFormatting sqref="A56:V56">
    <cfRule type="expression" dxfId="75" priority="43">
      <formula>$W56&gt;=9</formula>
    </cfRule>
  </conditionalFormatting>
  <conditionalFormatting sqref="A57:V57">
    <cfRule type="expression" dxfId="74" priority="44">
      <formula>$W57&gt;=9</formula>
    </cfRule>
  </conditionalFormatting>
  <conditionalFormatting sqref="A58:V58">
    <cfRule type="expression" dxfId="73" priority="45">
      <formula>$W58&gt;=9</formula>
    </cfRule>
  </conditionalFormatting>
  <conditionalFormatting sqref="A59:V59">
    <cfRule type="expression" dxfId="72" priority="46">
      <formula>$W59&gt;=9</formula>
    </cfRule>
  </conditionalFormatting>
  <conditionalFormatting sqref="A60:V60">
    <cfRule type="expression" dxfId="71" priority="47">
      <formula>$W60&gt;=9</formula>
    </cfRule>
  </conditionalFormatting>
  <conditionalFormatting sqref="A61:V61">
    <cfRule type="expression" dxfId="70" priority="48">
      <formula>$W61&gt;=9</formula>
    </cfRule>
  </conditionalFormatting>
  <conditionalFormatting sqref="H10:H61">
    <cfRule type="cellIs" dxfId="69" priority="49" operator="equal">
      <formula>"Physical"</formula>
    </cfRule>
  </conditionalFormatting>
  <conditionalFormatting sqref="H10:H61">
    <cfRule type="cellIs" dxfId="68" priority="50" operator="equal">
      <formula>"Psychological"</formula>
    </cfRule>
  </conditionalFormatting>
  <conditionalFormatting sqref="G10:G61">
    <cfRule type="cellIs" dxfId="67" priority="51" operator="equal">
      <formula>"Y"</formula>
    </cfRule>
  </conditionalFormatting>
  <conditionalFormatting sqref="G10:G61">
    <cfRule type="cellIs" dxfId="66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O35"/>
  <sheetViews>
    <sheetView showGridLines="0" workbookViewId="0">
      <pane ySplit="15" topLeftCell="A16" activePane="bottomLeft" state="frozen"/>
      <selection pane="bottomLeft" activeCell="B17" sqref="B17"/>
    </sheetView>
  </sheetViews>
  <sheetFormatPr defaultColWidth="14.42578125" defaultRowHeight="15" customHeight="1"/>
  <cols>
    <col min="1" max="1" width="7" customWidth="1"/>
    <col min="2" max="2" width="20" customWidth="1"/>
    <col min="3" max="3" width="12" customWidth="1"/>
    <col min="4" max="12" width="9" customWidth="1"/>
    <col min="13" max="13" width="8.7109375" customWidth="1"/>
    <col min="14" max="14" width="20" customWidth="1"/>
    <col min="15" max="15" width="14" customWidth="1"/>
    <col min="16" max="26" width="8.7109375" customWidth="1"/>
  </cols>
  <sheetData>
    <row r="1" spans="1:15" ht="15" customHeight="1">
      <c r="A1" s="96" t="s">
        <v>188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N1" s="39" t="s">
        <v>189</v>
      </c>
      <c r="O1" s="2"/>
    </row>
    <row r="2" spans="1:15" ht="21.75" customHeight="1">
      <c r="A2" s="97" t="s">
        <v>190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31"/>
      <c r="N2" s="40" t="s">
        <v>191</v>
      </c>
      <c r="O2" s="41" t="str">
        <f>IF('Client Needs Tracker'!B20="","",UPPER(LEFT(TRIM('Client Needs Tracker'!B20),1))&amp;UPPER(MID('Client Needs Tracker'!B20,FIND("@",SUBSTITUTE('Client Needs Tracker'!B20," ","@",LEN('Client Needs Tracker'!B20)-LEN(SUBSTITUTE('Client Needs Tracker'!B20," ",""))))+1,1))&amp;"-"&amp;SUBSTITUTE('Client Needs Tracker'!S20," ",""))</f>
        <v/>
      </c>
    </row>
    <row r="3" spans="1:15" ht="13.5" customHeight="1">
      <c r="A3" s="98" t="s">
        <v>192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31"/>
      <c r="N3" s="40" t="s">
        <v>193</v>
      </c>
      <c r="O3" s="41" t="str">
        <f>IF('Client Needs Tracker'!S20="","","INV-"&amp;SUBSTITUTE('Client Needs Tracker'!S20," ",""))</f>
        <v>INV-F-4B</v>
      </c>
    </row>
    <row r="4" spans="1:15" ht="15" customHeight="1">
      <c r="A4" s="42"/>
      <c r="B4" s="2"/>
      <c r="C4" s="2"/>
      <c r="D4" s="2"/>
      <c r="E4" s="2"/>
      <c r="F4" s="2"/>
      <c r="G4" s="2"/>
      <c r="H4" s="2"/>
      <c r="I4" s="2"/>
      <c r="J4" s="2"/>
      <c r="K4" s="43"/>
      <c r="L4" s="43"/>
      <c r="N4" s="2"/>
      <c r="O4" s="2"/>
    </row>
    <row r="5" spans="1:15" ht="15" customHeight="1">
      <c r="A5" s="132" t="s">
        <v>194</v>
      </c>
      <c r="B5" s="106"/>
      <c r="C5" s="106"/>
      <c r="D5" s="106"/>
      <c r="E5" s="106"/>
      <c r="F5" s="133" t="s">
        <v>59</v>
      </c>
      <c r="G5" s="106"/>
      <c r="H5" s="106"/>
      <c r="I5" s="106"/>
      <c r="J5" s="106"/>
      <c r="K5" s="106"/>
      <c r="L5" s="131"/>
      <c r="N5" s="44"/>
      <c r="O5" s="75"/>
    </row>
    <row r="6" spans="1:15" ht="33.75" customHeight="1">
      <c r="A6" s="92" t="str">
        <f>IF('Client Needs Tracker'!B20="","(Add client on Client Needs Tracker, row 20)",'Client Needs Tracker'!B20)</f>
        <v>(Add client on Client Needs Tracker, row 20)</v>
      </c>
      <c r="B6" s="134"/>
      <c r="C6" s="134"/>
      <c r="D6" s="134"/>
      <c r="E6" s="134"/>
      <c r="F6" s="93">
        <f>'Client Needs Tracker'!A20</f>
        <v>0</v>
      </c>
      <c r="G6" s="134"/>
      <c r="H6" s="134"/>
      <c r="I6" s="134"/>
      <c r="J6" s="134"/>
      <c r="K6" s="134"/>
      <c r="L6" s="135"/>
      <c r="N6" s="2"/>
      <c r="O6" s="2"/>
    </row>
    <row r="7" spans="1:15" ht="15" customHeight="1">
      <c r="A7" s="132" t="s">
        <v>147</v>
      </c>
      <c r="B7" s="106"/>
      <c r="C7" s="106"/>
      <c r="D7" s="106"/>
      <c r="E7" s="106"/>
      <c r="F7" s="133" t="s">
        <v>63</v>
      </c>
      <c r="G7" s="106"/>
      <c r="H7" s="106"/>
      <c r="I7" s="106"/>
      <c r="J7" s="106"/>
      <c r="K7" s="106"/>
      <c r="L7" s="131"/>
      <c r="N7" s="2"/>
      <c r="O7" s="2"/>
    </row>
    <row r="8" spans="1:15" ht="27.75" customHeight="1">
      <c r="A8" s="94" t="str">
        <f>IF('Client Needs Tracker'!C20="","",'Client Needs Tracker'!C20)</f>
        <v/>
      </c>
      <c r="B8" s="134"/>
      <c r="C8" s="134"/>
      <c r="D8" s="134"/>
      <c r="E8" s="134"/>
      <c r="F8" s="95">
        <f>'Client Needs Tracker'!E20</f>
        <v>0</v>
      </c>
      <c r="G8" s="134"/>
      <c r="H8" s="134"/>
      <c r="I8" s="134"/>
      <c r="J8" s="134"/>
      <c r="K8" s="134"/>
      <c r="L8" s="135"/>
      <c r="N8" s="2"/>
      <c r="O8" s="2"/>
    </row>
    <row r="9" spans="1:15" ht="15" customHeight="1">
      <c r="A9" s="132" t="s">
        <v>64</v>
      </c>
      <c r="B9" s="106"/>
      <c r="C9" s="106"/>
      <c r="D9" s="106"/>
      <c r="E9" s="106"/>
      <c r="F9" s="133" t="s">
        <v>141</v>
      </c>
      <c r="G9" s="106"/>
      <c r="H9" s="106"/>
      <c r="I9" s="106"/>
      <c r="J9" s="106"/>
      <c r="K9" s="106"/>
      <c r="L9" s="131"/>
      <c r="N9" s="2"/>
      <c r="O9" s="2"/>
    </row>
    <row r="10" spans="1:15" ht="24" customHeight="1">
      <c r="A10" s="90" t="str">
        <f>IF('Client Needs Tracker'!F20="","",'Client Needs Tracker'!F20)</f>
        <v/>
      </c>
      <c r="B10" s="134"/>
      <c r="C10" s="134"/>
      <c r="D10" s="134"/>
      <c r="E10" s="134"/>
      <c r="F10" s="89" t="str">
        <f>IF('Client Status Board'!G20="","",'Client Status Board'!G20)</f>
        <v/>
      </c>
      <c r="G10" s="134"/>
      <c r="H10" s="134"/>
      <c r="I10" s="134"/>
      <c r="J10" s="134"/>
      <c r="K10" s="134"/>
      <c r="L10" s="135"/>
      <c r="N10" s="2"/>
      <c r="O10" s="2"/>
    </row>
    <row r="11" spans="1:15" ht="15" customHeight="1">
      <c r="A11" s="132" t="s">
        <v>145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31"/>
      <c r="N11" s="2"/>
      <c r="O11" s="2"/>
    </row>
    <row r="12" spans="1:15" ht="24" customHeight="1">
      <c r="A12" s="90" t="str">
        <f>IF('Client Status Board'!L20="","",'Client Status Board'!L20)</f>
        <v/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  <c r="N12" s="2"/>
      <c r="O12" s="2"/>
    </row>
    <row r="13" spans="1:15" ht="15" customHeight="1">
      <c r="A13" s="132" t="s">
        <v>224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31"/>
      <c r="N13" s="2"/>
      <c r="O13" s="2"/>
    </row>
    <row r="14" spans="1:15" ht="24" customHeight="1">
      <c r="A14" s="9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7"/>
      <c r="N14" s="2"/>
      <c r="O14" s="2"/>
    </row>
    <row r="15" spans="1:15" ht="25.5" customHeight="1">
      <c r="A15" s="45" t="s">
        <v>196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201</v>
      </c>
      <c r="G15" s="6" t="s">
        <v>202</v>
      </c>
      <c r="H15" s="6" t="s">
        <v>203</v>
      </c>
      <c r="I15" s="6" t="s">
        <v>204</v>
      </c>
      <c r="J15" s="6" t="s">
        <v>205</v>
      </c>
      <c r="K15" s="6" t="s">
        <v>206</v>
      </c>
      <c r="L15" s="46" t="s">
        <v>207</v>
      </c>
      <c r="N15" s="2"/>
      <c r="O15" s="2"/>
    </row>
    <row r="16" spans="1:15" ht="15" customHeight="1">
      <c r="A16" s="47"/>
      <c r="B16" s="14"/>
      <c r="C16" s="7"/>
      <c r="D16" s="7"/>
      <c r="E16" s="7"/>
      <c r="F16" s="48"/>
      <c r="G16" s="7"/>
      <c r="H16" s="7" t="str">
        <f t="shared" ref="H16:H27" si="0">IF(OR($E16="",$F16="",$G16=""),"",IF($E16=1,TEXT($F16+0*$G16/24,"h:mm AM/PM"),IF($E16=2,TEXT($F16+0*$G16/24,"h:mm AM/PM") &amp; " / " &amp; TEXT($F16+1*$G16/24,"h:mm AM/PM"),IF($E16=3,TEXT($F16+0*$G16/24,"h:mm AM/PM") &amp; " / " &amp; TEXT($F16+1*$G16/24,"h:mm AM/PM") &amp; " / " &amp; TEXT($F16+2*$G16/24,"h:mm AM/PM"),IF($E16=4,TEXT($F16+0*$G16/24,"h:mm AM/PM") &amp; " / " &amp; TEXT($F16+1*$G16/24,"h:mm AM/PM") &amp; " / " &amp; TEXT($F16+2*$G16/24,"h:mm AM/PM") &amp; " / " &amp; TEXT($F16+3*$G16/24,"h:mm AM/PM"),IF($E16=5,TEXT($F16+0*$G16/24,"h:mm AM/PM") &amp; " / " &amp; TEXT($F16+1*$G16/24,"h:mm AM/PM") &amp; " / " &amp; TEXT($F16+2*$G16/24,"h:mm AM/PM") &amp; " / " &amp; TEXT($F16+3*$G16/24,"h:mm AM/PM") &amp; " / " &amp; TEXT($F16+4*$G16/24,"h:mm AM/PM"),IF($E16=6,TEXT($F16+0*$G16/24,"h:mm AM/PM") &amp; " / " &amp; TEXT($F16+1*$G16/24,"h:mm AM/PM") &amp; " / " &amp; TEXT($F16+2*$G16/24,"h:mm AM/PM") &amp; " / " &amp; TEXT($F16+3*$G16/24,"h:mm AM/PM") &amp; " / " &amp; TEXT($F16+4*$G16/24,"h:mm AM/PM") &amp; " / " &amp; TEXT($F16+5*$G16/24,"h:mm AM/PM"),"—")))))))</f>
        <v/>
      </c>
      <c r="I16" s="7"/>
      <c r="J16" s="7"/>
      <c r="K16" s="7"/>
      <c r="L16" s="50" t="str">
        <f>IF($K16="","",$K16-SUMPRODUCT(('MAR - P16'!$B$10:$B$61=1)*(('MAR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  <c r="N16" s="2"/>
      <c r="O16" s="2"/>
    </row>
    <row r="17" spans="1:12" ht="15" customHeight="1">
      <c r="A17" s="47"/>
      <c r="B17" s="14"/>
      <c r="C17" s="7"/>
      <c r="D17" s="7"/>
      <c r="E17" s="7"/>
      <c r="F17" s="48"/>
      <c r="G17" s="7"/>
      <c r="H17" s="7" t="str">
        <f t="shared" si="0"/>
        <v/>
      </c>
      <c r="I17" s="7"/>
      <c r="J17" s="7"/>
      <c r="K17" s="7"/>
      <c r="L17" s="50" t="str">
        <f>IF($K17="","",$K17-SUMPRODUCT(('MAR - P16'!$B$10:$B$61=2)*(('MAR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18" spans="1:12" ht="15" customHeight="1">
      <c r="A18" s="47"/>
      <c r="B18" s="14"/>
      <c r="C18" s="7"/>
      <c r="D18" s="7"/>
      <c r="E18" s="7"/>
      <c r="F18" s="48"/>
      <c r="G18" s="7"/>
      <c r="H18" s="7" t="str">
        <f t="shared" si="0"/>
        <v/>
      </c>
      <c r="I18" s="7"/>
      <c r="J18" s="7"/>
      <c r="K18" s="7"/>
      <c r="L18" s="50" t="str">
        <f>IF($K18="","",$K18-SUMPRODUCT(('MAR - P16'!$B$10:$B$61=3)*(('MAR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19" spans="1:12" ht="15" customHeight="1">
      <c r="A19" s="47"/>
      <c r="B19" s="14"/>
      <c r="C19" s="7"/>
      <c r="D19" s="7"/>
      <c r="E19" s="7"/>
      <c r="F19" s="48"/>
      <c r="G19" s="7"/>
      <c r="H19" s="7" t="str">
        <f t="shared" si="0"/>
        <v/>
      </c>
      <c r="I19" s="7"/>
      <c r="J19" s="7"/>
      <c r="K19" s="7"/>
      <c r="L19" s="50" t="str">
        <f>IF($K19="","",$K19-SUMPRODUCT(('MAR - P16'!$B$10:$B$61=4)*(('MAR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0" spans="1:12" ht="15" customHeight="1">
      <c r="A20" s="47"/>
      <c r="B20" s="14"/>
      <c r="C20" s="7"/>
      <c r="D20" s="7"/>
      <c r="E20" s="7"/>
      <c r="F20" s="48"/>
      <c r="G20" s="7"/>
      <c r="H20" s="7" t="str">
        <f t="shared" si="0"/>
        <v/>
      </c>
      <c r="I20" s="7"/>
      <c r="J20" s="7"/>
      <c r="K20" s="7"/>
      <c r="L20" s="50" t="str">
        <f>IF($K20="","",$K20-SUMPRODUCT(('MAR - P16'!$B$10:$B$61=5)*(('MAR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1" spans="1:12" ht="15" customHeight="1">
      <c r="A21" s="47"/>
      <c r="B21" s="14"/>
      <c r="C21" s="7"/>
      <c r="D21" s="7"/>
      <c r="E21" s="7"/>
      <c r="F21" s="48"/>
      <c r="G21" s="7"/>
      <c r="H21" s="7" t="str">
        <f t="shared" si="0"/>
        <v/>
      </c>
      <c r="I21" s="7"/>
      <c r="J21" s="7"/>
      <c r="K21" s="7"/>
      <c r="L21" s="50" t="str">
        <f>IF($K21="","",$K21-SUMPRODUCT(('MAR - P16'!$B$10:$B$61=6)*(('MAR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2" spans="1:12" ht="15" customHeight="1">
      <c r="A22" s="47"/>
      <c r="B22" s="14"/>
      <c r="C22" s="7"/>
      <c r="D22" s="7"/>
      <c r="E22" s="7"/>
      <c r="F22" s="48"/>
      <c r="G22" s="7"/>
      <c r="H22" s="7" t="str">
        <f t="shared" si="0"/>
        <v/>
      </c>
      <c r="I22" s="7"/>
      <c r="J22" s="7"/>
      <c r="K22" s="7"/>
      <c r="L22" s="50" t="str">
        <f>IF($K22="","",$K22-SUMPRODUCT(('MAR - P16'!$B$10:$B$61=7)*(('MAR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3" spans="1:12" ht="15" customHeight="1">
      <c r="A23" s="47"/>
      <c r="B23" s="14"/>
      <c r="C23" s="7"/>
      <c r="D23" s="7"/>
      <c r="E23" s="7"/>
      <c r="F23" s="48"/>
      <c r="G23" s="7"/>
      <c r="H23" s="7" t="str">
        <f t="shared" si="0"/>
        <v/>
      </c>
      <c r="I23" s="7"/>
      <c r="J23" s="7"/>
      <c r="K23" s="7"/>
      <c r="L23" s="50" t="str">
        <f>IF($K23="","",$K23-SUMPRODUCT(('MAR - P16'!$B$10:$B$61=8)*(('MAR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4" spans="1:12" ht="15" customHeight="1">
      <c r="A24" s="47"/>
      <c r="B24" s="14"/>
      <c r="C24" s="7"/>
      <c r="D24" s="7"/>
      <c r="E24" s="7"/>
      <c r="F24" s="48"/>
      <c r="G24" s="7"/>
      <c r="H24" s="7" t="str">
        <f t="shared" si="0"/>
        <v/>
      </c>
      <c r="I24" s="7"/>
      <c r="J24" s="7"/>
      <c r="K24" s="7"/>
      <c r="L24" s="50" t="str">
        <f>IF($K24="","",$K24-SUMPRODUCT(('MAR - P16'!$B$10:$B$61=9)*(('MAR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5" spans="1:12" ht="15" customHeight="1">
      <c r="A25" s="47"/>
      <c r="B25" s="14"/>
      <c r="C25" s="7"/>
      <c r="D25" s="7"/>
      <c r="E25" s="7"/>
      <c r="F25" s="48"/>
      <c r="G25" s="7"/>
      <c r="H25" s="7" t="str">
        <f t="shared" si="0"/>
        <v/>
      </c>
      <c r="I25" s="7"/>
      <c r="J25" s="7"/>
      <c r="K25" s="7"/>
      <c r="L25" s="50" t="str">
        <f>IF($K25="","",$K25-SUMPRODUCT(('MAR - P16'!$B$10:$B$61=10)*(('MAR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6" spans="1:12" ht="15" customHeight="1">
      <c r="A26" s="47"/>
      <c r="B26" s="14"/>
      <c r="C26" s="7"/>
      <c r="D26" s="7"/>
      <c r="E26" s="7"/>
      <c r="F26" s="48"/>
      <c r="G26" s="7"/>
      <c r="H26" s="7" t="str">
        <f t="shared" si="0"/>
        <v/>
      </c>
      <c r="I26" s="7"/>
      <c r="J26" s="7"/>
      <c r="K26" s="7"/>
      <c r="L26" s="50" t="str">
        <f>IF($K26="","",$K26-SUMPRODUCT(('MAR - P16'!$B$10:$B$61=11)*(('MAR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7" spans="1:12" ht="15" customHeight="1">
      <c r="A27" s="47"/>
      <c r="B27" s="14"/>
      <c r="C27" s="7"/>
      <c r="D27" s="7"/>
      <c r="E27" s="7"/>
      <c r="F27" s="48"/>
      <c r="G27" s="7"/>
      <c r="H27" s="7" t="str">
        <f t="shared" si="0"/>
        <v/>
      </c>
      <c r="I27" s="7"/>
      <c r="J27" s="7"/>
      <c r="K27" s="7"/>
      <c r="L27" s="50" t="str">
        <f>IF($K27="","",$K27-SUMPRODUCT(('MAR - P16'!$B$10:$B$61=12)*(('MAR - P16'!$I$10:$I$61&lt;&gt;"")+('MAR - P16'!$K$10:$K$61&lt;&gt;"")+('MAR - P16'!$M$10:$M$61&lt;&gt;"")+('MAR - P16'!$O$10:$O$61&lt;&gt;"")+('MAR - P16'!$Q$10:$Q$61&lt;&gt;"")+('MAR - P16'!$S$10:$S$61&lt;&gt;"")+('MAR - P16'!$U$10:$U$61&lt;&gt;""))))</f>
        <v/>
      </c>
    </row>
    <row r="28" spans="1:12" ht="15" customHeight="1">
      <c r="A28" s="42"/>
      <c r="B28" s="2"/>
      <c r="C28" s="2"/>
      <c r="D28" s="2"/>
      <c r="E28" s="2"/>
      <c r="F28" s="2"/>
      <c r="G28" s="2"/>
      <c r="H28" s="2"/>
      <c r="I28" s="2"/>
      <c r="J28" s="2"/>
      <c r="K28" s="43"/>
      <c r="L28" s="43"/>
    </row>
    <row r="29" spans="1:12" ht="15" customHeight="1">
      <c r="A29" s="138" t="s">
        <v>210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31"/>
    </row>
    <row r="30" spans="1:12" ht="15" customHeight="1">
      <c r="A30" s="42"/>
      <c r="B30" s="2"/>
      <c r="C30" s="2"/>
      <c r="D30" s="2"/>
      <c r="E30" s="2"/>
      <c r="F30" s="2"/>
      <c r="G30" s="2"/>
      <c r="H30" s="2"/>
      <c r="I30" s="2"/>
      <c r="J30" s="2"/>
      <c r="K30" s="43"/>
      <c r="L30" s="43"/>
    </row>
    <row r="31" spans="1:12" ht="15" customHeight="1">
      <c r="A31" s="139" t="s">
        <v>211</v>
      </c>
      <c r="B31" s="106"/>
      <c r="C31" s="106"/>
      <c r="D31" s="106"/>
      <c r="E31" s="106"/>
      <c r="F31" s="106"/>
      <c r="G31" s="140" t="s">
        <v>212</v>
      </c>
      <c r="H31" s="106"/>
      <c r="I31" s="106"/>
      <c r="J31" s="106"/>
      <c r="K31" s="106"/>
      <c r="L31" s="131"/>
    </row>
    <row r="33" spans="1:12" ht="15" customHeight="1">
      <c r="A33" s="139" t="s">
        <v>213</v>
      </c>
      <c r="B33" s="106"/>
      <c r="C33" s="106"/>
      <c r="D33" s="106"/>
      <c r="E33" s="106"/>
      <c r="F33" s="106"/>
      <c r="G33" s="140" t="s">
        <v>212</v>
      </c>
      <c r="H33" s="106"/>
      <c r="I33" s="106"/>
      <c r="J33" s="106"/>
      <c r="K33" s="106"/>
      <c r="L33" s="131"/>
    </row>
    <row r="34" spans="1:12" ht="15" customHeight="1">
      <c r="A34" s="42"/>
      <c r="B34" s="2"/>
      <c r="C34" s="2"/>
      <c r="D34" s="2"/>
      <c r="E34" s="2"/>
      <c r="F34" s="2"/>
      <c r="G34" s="2"/>
      <c r="H34" s="2"/>
      <c r="I34" s="2"/>
      <c r="J34" s="2"/>
      <c r="K34" s="43"/>
      <c r="L34" s="43"/>
    </row>
    <row r="35" spans="1:12" ht="15" customHeight="1">
      <c r="A35" s="141" t="s">
        <v>214</v>
      </c>
      <c r="B35" s="142"/>
      <c r="C35" s="142"/>
      <c r="D35" s="142"/>
      <c r="E35" s="142"/>
      <c r="F35" s="142"/>
      <c r="G35" s="143" t="s">
        <v>212</v>
      </c>
      <c r="H35" s="142"/>
      <c r="I35" s="142"/>
      <c r="J35" s="142"/>
      <c r="K35" s="142"/>
      <c r="L35" s="144"/>
    </row>
  </sheetData>
  <mergeCells count="26">
    <mergeCell ref="A1:L1"/>
    <mergeCell ref="A2:L2"/>
    <mergeCell ref="A3:L3"/>
    <mergeCell ref="A5:E5"/>
    <mergeCell ref="F5:L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A31:F31"/>
    <mergeCell ref="A33:F33"/>
    <mergeCell ref="G33:L33"/>
    <mergeCell ref="A35:F35"/>
    <mergeCell ref="G35:L35"/>
    <mergeCell ref="F10:L10"/>
    <mergeCell ref="A11:L11"/>
    <mergeCell ref="A12:L12"/>
    <mergeCell ref="A13:L13"/>
    <mergeCell ref="A14:L14"/>
    <mergeCell ref="A29:L29"/>
    <mergeCell ref="G31:L31"/>
  </mergeCells>
  <conditionalFormatting sqref="J16:J27">
    <cfRule type="cellIs" dxfId="65" priority="1" operator="equal">
      <formula>"Physical"</formula>
    </cfRule>
  </conditionalFormatting>
  <conditionalFormatting sqref="J16:J27">
    <cfRule type="cellIs" dxfId="64" priority="2" operator="equal">
      <formula>"Psychological"</formula>
    </cfRule>
  </conditionalFormatting>
  <conditionalFormatting sqref="I16:I27">
    <cfRule type="cellIs" dxfId="63" priority="3" operator="equal">
      <formula>"Y"</formula>
    </cfRule>
  </conditionalFormatting>
  <conditionalFormatting sqref="I16:I27">
    <cfRule type="cellIs" dxfId="62" priority="4" operator="equal">
      <formula>"N"</formula>
    </cfRule>
  </conditionalFormatting>
  <dataValidations count="5">
    <dataValidation type="list" allowBlank="1" sqref="I16:I27" xr:uid="{00000000-0002-0000-2300-000001000000}">
      <formula1>"Y,N"</formula1>
    </dataValidation>
    <dataValidation type="list" allowBlank="1" sqref="J16:J27" xr:uid="{00000000-0002-0000-2300-000002000000}">
      <formula1>"Physical,Psychological"</formula1>
    </dataValidation>
    <dataValidation type="list" allowBlank="1" sqref="C16:C27" xr:uid="{00000000-0002-0000-2300-000003000000}">
      <formula1>INDIRECT("MG_"&amp;SUBSTITUTE(SUBSTITUTE(SUBSTITUTE(SUBSTITUTE(LEFT($B16,IFERROR(FIND(" (",$B16)-1,LEN($B16)))," ","_"),"/","_"),".","_"),"-","_"))</formula1>
    </dataValidation>
    <dataValidation type="list" allowBlank="1" sqref="D16:D27" xr:uid="{00000000-0002-0000-2300-000004000000}">
      <formula1>"PO,IM,IV,SubQ,Topical,Inhaled,Sublingual,Rectal,Other"</formula1>
    </dataValidation>
    <dataValidation type="list" allowBlank="1" sqref="G16:G27" xr:uid="{00000000-0002-0000-2300-000005000000}">
      <formula1>"4,6,8,12,24"</formula1>
    </dataValidation>
  </dataValidations>
  <pageMargins left="0.5" right="0.5" top="0.6" bottom="0.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2300-000000000000}">
          <x14:formula1>
            <xm:f>'Med Reference'!$D$4:$D$26</xm:f>
          </x14:formula1>
          <xm:sqref>B16:B27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14"/>
  <sheetViews>
    <sheetView workbookViewId="0">
      <pane xSplit="1" ySplit="9" topLeftCell="B10" activePane="bottomRight" state="frozen"/>
      <selection pane="bottomRight" activeCell="B10" sqref="B10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2" customWidth="1"/>
    <col min="2" max="2" width="6" customWidth="1"/>
    <col min="3" max="3" width="18" customWidth="1"/>
    <col min="4" max="4" width="10" customWidth="1"/>
    <col min="5" max="5" width="9" customWidth="1"/>
    <col min="6" max="6" width="8" customWidth="1"/>
    <col min="7" max="7" width="6" customWidth="1"/>
    <col min="8" max="8" width="12" customWidth="1"/>
    <col min="9" max="22" width="6" customWidth="1"/>
    <col min="23" max="29" width="13" style="2" hidden="1" customWidth="1"/>
    <col min="30" max="31" width="8.7109375" customWidth="1"/>
    <col min="32" max="32" width="20" style="2" customWidth="1"/>
    <col min="33" max="33" width="14" style="2" customWidth="1"/>
  </cols>
  <sheetData>
    <row r="1" spans="1:33" ht="19.5" customHeight="1">
      <c r="A1" s="82" t="s">
        <v>215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AF1" s="39" t="s">
        <v>189</v>
      </c>
    </row>
    <row r="2" spans="1:3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F2" s="40" t="s">
        <v>191</v>
      </c>
      <c r="AG2" s="41" t="str">
        <f>IF('Client Needs Tracker'!B20="","",UPPER(LEFT(TRIM('Client Needs Tracker'!B20),1))&amp;UPPER(MID('Client Needs Tracker'!B20,FIND("@",SUBSTITUTE('Client Needs Tracker'!B20," ","@",LEN('Client Needs Tracker'!B20)-LEN(SUBSTITUTE('Client Needs Tracker'!B20," ",""))))+1,1))&amp;"-"&amp;SUBSTITUTE('Client Needs Tracker'!S20," ",""))</f>
        <v/>
      </c>
    </row>
    <row r="3" spans="1:33" ht="15" customHeight="1">
      <c r="A3" s="103" t="str">
        <f>IF('Inventory - P16'!A6="","(Enter name in Inventory - P16)",'Inventory - P16'!A6)</f>
        <v>(Add client on Client Needs Tracker, row 20)</v>
      </c>
      <c r="B3" s="145"/>
      <c r="C3" s="145"/>
      <c r="D3" s="145"/>
      <c r="E3" s="145"/>
      <c r="F3" s="104" t="str">
        <f>IF('Inventory - P16'!F6="","(Enter ID in Inventory - P16)","Member ID: "&amp;'Inventory - P16'!F6)</f>
        <v>Member ID: 0</v>
      </c>
      <c r="G3" s="145"/>
      <c r="H3" s="145"/>
      <c r="I3" s="145"/>
      <c r="J3" s="145"/>
      <c r="K3" s="14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AF3" s="40" t="s">
        <v>193</v>
      </c>
      <c r="AG3" s="41" t="str">
        <f>IF('Client Needs Tracker'!S20="","","INV-"&amp;SUBSTITUTE('Client Needs Tracker'!S20," ",""))</f>
        <v>INV-F-4B</v>
      </c>
    </row>
    <row r="4" spans="1:33" ht="15" customHeight="1">
      <c r="A4" s="146"/>
      <c r="B4" s="106"/>
      <c r="C4" s="106"/>
      <c r="D4" s="106"/>
      <c r="E4" s="106"/>
      <c r="F4" s="146"/>
      <c r="G4" s="106"/>
      <c r="H4" s="106"/>
      <c r="I4" s="106"/>
      <c r="J4" s="106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3" ht="15.75" customHeight="1">
      <c r="A5" s="102" t="str">
        <f>"LOC: "&amp;IF('Inventory - P16'!F8="","-",'Inventory - P16'!F8)</f>
        <v>LOC: 0</v>
      </c>
      <c r="B5" s="106"/>
      <c r="C5" s="2"/>
      <c r="D5" s="102" t="str">
        <f>"Case Manager: "&amp;IF('Inventory - P16'!A10="","-",'Inventory - P16'!A10)</f>
        <v>Case Manager: -</v>
      </c>
      <c r="E5" s="106"/>
      <c r="F5" s="2"/>
      <c r="G5" s="102" t="str">
        <f>"Doctor: "&amp;IF('Inventory - P16'!F10="","-",'Inventory - P16'!F10)</f>
        <v>Doctor: -</v>
      </c>
      <c r="H5" s="106"/>
      <c r="I5" s="2"/>
      <c r="J5" s="102" t="str">
        <f>"Pharmacy: "&amp;IF('Inventory - P16'!A12="","-",'Inventory - P16'!A12)</f>
        <v>Pharmacy: -</v>
      </c>
      <c r="K5" s="106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3" ht="15" customHeight="1">
      <c r="A6" s="51" t="s">
        <v>216</v>
      </c>
      <c r="B6" s="2"/>
      <c r="C6" s="2"/>
      <c r="D6" s="2"/>
      <c r="E6" s="147" t="str">
        <f>IF('Inventory - P16'!A14="","",'Inventory - P16'!A14)</f>
        <v/>
      </c>
      <c r="F6" s="13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33" ht="19.5" customHeight="1">
      <c r="A8" s="100" t="s">
        <v>217</v>
      </c>
      <c r="B8" s="100" t="s">
        <v>196</v>
      </c>
      <c r="C8" s="100" t="s">
        <v>197</v>
      </c>
      <c r="D8" s="100" t="s">
        <v>207</v>
      </c>
      <c r="E8" s="100" t="s">
        <v>199</v>
      </c>
      <c r="F8" s="100" t="s">
        <v>200</v>
      </c>
      <c r="G8" s="100" t="s">
        <v>204</v>
      </c>
      <c r="H8" s="100" t="s">
        <v>205</v>
      </c>
      <c r="I8" s="101" t="str">
        <f>IF('Inventory - P16'!A14="","",'Inventory - P16'!A14+0)</f>
        <v/>
      </c>
      <c r="J8" s="134"/>
      <c r="K8" s="101" t="str">
        <f>IF('Inventory - P16'!A14="","",'Inventory - P16'!A14+1)</f>
        <v/>
      </c>
      <c r="L8" s="134"/>
      <c r="M8" s="101" t="str">
        <f>IF('Inventory - P16'!A14="","",'Inventory - P16'!A14+2)</f>
        <v/>
      </c>
      <c r="N8" s="134"/>
      <c r="O8" s="101" t="str">
        <f>IF('Inventory - P16'!A14="","",'Inventory - P16'!A14+3)</f>
        <v/>
      </c>
      <c r="P8" s="134"/>
      <c r="Q8" s="101" t="str">
        <f>IF('Inventory - P16'!A14="","",'Inventory - P16'!A14+4)</f>
        <v/>
      </c>
      <c r="R8" s="134"/>
      <c r="S8" s="101" t="str">
        <f>IF('Inventory - P16'!A14="","",'Inventory - P16'!A14+5)</f>
        <v/>
      </c>
      <c r="T8" s="134"/>
      <c r="U8" s="101" t="str">
        <f>IF('Inventory - P16'!A14="","",'Inventory - P16'!A14+6)</f>
        <v/>
      </c>
      <c r="V8" s="134"/>
    </row>
    <row r="9" spans="1:33" ht="13.5" customHeight="1">
      <c r="A9" s="148"/>
      <c r="B9" s="148"/>
      <c r="C9" s="148"/>
      <c r="D9" s="148"/>
      <c r="E9" s="148"/>
      <c r="F9" s="148"/>
      <c r="G9" s="148"/>
      <c r="H9" s="148"/>
      <c r="I9" s="52" t="s">
        <v>218</v>
      </c>
      <c r="J9" s="52" t="s">
        <v>219</v>
      </c>
      <c r="K9" s="52" t="s">
        <v>218</v>
      </c>
      <c r="L9" s="52" t="s">
        <v>219</v>
      </c>
      <c r="M9" s="52" t="s">
        <v>218</v>
      </c>
      <c r="N9" s="52" t="s">
        <v>219</v>
      </c>
      <c r="O9" s="52" t="s">
        <v>218</v>
      </c>
      <c r="P9" s="52" t="s">
        <v>219</v>
      </c>
      <c r="Q9" s="52" t="s">
        <v>218</v>
      </c>
      <c r="R9" s="52" t="s">
        <v>219</v>
      </c>
      <c r="S9" s="52" t="s">
        <v>218</v>
      </c>
      <c r="T9" s="52" t="s">
        <v>219</v>
      </c>
      <c r="U9" s="52" t="s">
        <v>218</v>
      </c>
      <c r="V9" s="52" t="s">
        <v>219</v>
      </c>
    </row>
    <row r="10" spans="1:33" ht="15.75" customHeight="1">
      <c r="A10" s="99" t="s">
        <v>220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spans="1:33" ht="15" customHeight="1">
      <c r="A11" s="7" t="str">
        <f t="shared" ref="A11:A22" si="0">IF(W11&lt;9,TEXT(W11,"h:mm AM/PM"),"")</f>
        <v/>
      </c>
      <c r="B11" s="7" t="str">
        <f t="shared" ref="B11:B22" si="1">IF(X11="","",(INT((X11-1)/4)+1))</f>
        <v/>
      </c>
      <c r="C11" s="14" t="str">
        <f t="array" ref="C11">IF(X11="","",INDEX('Inventory - P16'!$B$16:$B$27,(INT((X11-1)/4)+1))&amp;IF(INDEX('Inventory - P16'!$C$16:$C$27,(INT((X11-1)/4)+1))="",""," ("&amp;INDEX('Inventory - P16'!$C$16:$C$27,(INT((X11-1)/4)+1))&amp;" mg)"))</f>
        <v/>
      </c>
      <c r="D11" s="7" t="str">
        <f t="array" ref="D11">IF(X11="","",INDEX('Inventory - P16'!$K$16:$K$27,(INT((X11-1)/4)+1))-SUMPRODUCT(($B$10:$B$61=B11)*(($I$10:$I$61&lt;&gt;"")+($K$10:$K$61&lt;&gt;"")+($M$10:$M$61&lt;&gt;"")+($O$10:$O$61&lt;&gt;"")+($Q$10:$Q$61&lt;&gt;"")+($S$10:$S$61&lt;&gt;"")+($U$10:$U$61&lt;&gt;""))))</f>
        <v/>
      </c>
      <c r="E11" s="7" t="str">
        <f t="array" ref="E11">IF(X11="","",INDEX('Inventory - P16'!$D$16:$D$27,(INT((X11-1)/4)+1)))</f>
        <v/>
      </c>
      <c r="F11" s="7" t="str">
        <f t="array" ref="F11">IF(X11="","",INDEX('Inventory - P16'!$E$16:$E$27,(INT((X11-1)/4)+1)))</f>
        <v/>
      </c>
      <c r="G11" s="7" t="str">
        <f t="array" ref="G11">IF(X11="","",INDEX('Inventory - P16'!$I$16:$I$27,(INT((X11-1)/4)+1)))</f>
        <v/>
      </c>
      <c r="H11" s="7" t="str">
        <f t="array" ref="H11">IF(X11="","",INDEX('Inventory - P16'!$J$16:$J$27,(INT((X11-1)/4)+1)))</f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2">
        <f>SMALL($Z$67:$Z$114,1)</f>
        <v>9</v>
      </c>
      <c r="X11" s="2" t="str">
        <f t="shared" ref="X11:X22" si="2">IF(W11&lt;9,MATCH(W11,$Z$67:$Z$114,0),"")</f>
        <v/>
      </c>
    </row>
    <row r="12" spans="1:33" ht="15" customHeight="1">
      <c r="A12" s="7" t="str">
        <f t="shared" si="0"/>
        <v/>
      </c>
      <c r="B12" s="7" t="str">
        <f t="shared" si="1"/>
        <v/>
      </c>
      <c r="C12" s="14" t="str">
        <f t="array" ref="C12">IF(X12="","",INDEX('Inventory - P16'!$B$16:$B$27,(INT((X12-1)/4)+1))&amp;IF(INDEX('Inventory - P16'!$C$16:$C$27,(INT((X12-1)/4)+1))="",""," ("&amp;INDEX('Inventory - P16'!$C$16:$C$27,(INT((X12-1)/4)+1))&amp;" mg)"))</f>
        <v/>
      </c>
      <c r="D12" s="7" t="str">
        <f t="array" ref="D12">IF(X12="","",INDEX('Inventory - P16'!$K$16:$K$27,(INT((X12-1)/4)+1))-SUMPRODUCT(($B$10:$B$61=B12)*(($I$10:$I$61&lt;&gt;"")+($K$10:$K$61&lt;&gt;"")+($M$10:$M$61&lt;&gt;"")+($O$10:$O$61&lt;&gt;"")+($Q$10:$Q$61&lt;&gt;"")+($S$10:$S$61&lt;&gt;"")+($U$10:$U$61&lt;&gt;""))))</f>
        <v/>
      </c>
      <c r="E12" s="7" t="str">
        <f t="array" ref="E12">IF(X12="","",INDEX('Inventory - P16'!$D$16:$D$27,(INT((X12-1)/4)+1)))</f>
        <v/>
      </c>
      <c r="F12" s="7" t="str">
        <f t="array" ref="F12">IF(X12="","",INDEX('Inventory - P16'!$E$16:$E$27,(INT((X12-1)/4)+1)))</f>
        <v/>
      </c>
      <c r="G12" s="7" t="str">
        <f t="array" ref="G12">IF(X12="","",INDEX('Inventory - P16'!$I$16:$I$27,(INT((X12-1)/4)+1)))</f>
        <v/>
      </c>
      <c r="H12" s="7" t="str">
        <f t="array" ref="H12">IF(X12="","",INDEX('Inventory - P16'!$J$16:$J$27,(INT((X12-1)/4)+1)))</f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2">
        <f>SMALL($Z$67:$Z$114,2)</f>
        <v>9</v>
      </c>
      <c r="X12" s="2" t="str">
        <f t="shared" si="2"/>
        <v/>
      </c>
    </row>
    <row r="13" spans="1:33" ht="15" customHeight="1">
      <c r="A13" s="7" t="str">
        <f t="shared" si="0"/>
        <v/>
      </c>
      <c r="B13" s="7" t="str">
        <f t="shared" si="1"/>
        <v/>
      </c>
      <c r="C13" s="14" t="str">
        <f t="array" ref="C13">IF(X13="","",INDEX('Inventory - P16'!$B$16:$B$27,(INT((X13-1)/4)+1))&amp;IF(INDEX('Inventory - P16'!$C$16:$C$27,(INT((X13-1)/4)+1))="",""," ("&amp;INDEX('Inventory - P16'!$C$16:$C$27,(INT((X13-1)/4)+1))&amp;" mg)"))</f>
        <v/>
      </c>
      <c r="D13" s="7" t="str">
        <f t="array" ref="D13">IF(X13="","",INDEX('Inventory - P16'!$K$16:$K$27,(INT((X13-1)/4)+1))-SUMPRODUCT(($B$10:$B$61=B13)*(($I$10:$I$61&lt;&gt;"")+($K$10:$K$61&lt;&gt;"")+($M$10:$M$61&lt;&gt;"")+($O$10:$O$61&lt;&gt;"")+($Q$10:$Q$61&lt;&gt;"")+($S$10:$S$61&lt;&gt;"")+($U$10:$U$61&lt;&gt;""))))</f>
        <v/>
      </c>
      <c r="E13" s="7" t="str">
        <f t="array" ref="E13">IF(X13="","",INDEX('Inventory - P16'!$D$16:$D$27,(INT((X13-1)/4)+1)))</f>
        <v/>
      </c>
      <c r="F13" s="7" t="str">
        <f t="array" ref="F13">IF(X13="","",INDEX('Inventory - P16'!$E$16:$E$27,(INT((X13-1)/4)+1)))</f>
        <v/>
      </c>
      <c r="G13" s="7" t="str">
        <f t="array" ref="G13">IF(X13="","",INDEX('Inventory - P16'!$I$16:$I$27,(INT((X13-1)/4)+1)))</f>
        <v/>
      </c>
      <c r="H13" s="7" t="str">
        <f t="array" ref="H13">IF(X13="","",INDEX('Inventory - P16'!$J$16:$J$27,(INT((X13-1)/4)+1)))</f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2">
        <f>SMALL($Z$67:$Z$114,3)</f>
        <v>9</v>
      </c>
      <c r="X13" s="2" t="str">
        <f t="shared" si="2"/>
        <v/>
      </c>
    </row>
    <row r="14" spans="1:33" ht="15" customHeight="1">
      <c r="A14" s="7" t="str">
        <f t="shared" si="0"/>
        <v/>
      </c>
      <c r="B14" s="7" t="str">
        <f t="shared" si="1"/>
        <v/>
      </c>
      <c r="C14" s="14" t="str">
        <f t="array" ref="C14">IF(X14="","",INDEX('Inventory - P16'!$B$16:$B$27,(INT((X14-1)/4)+1))&amp;IF(INDEX('Inventory - P16'!$C$16:$C$27,(INT((X14-1)/4)+1))="",""," ("&amp;INDEX('Inventory - P16'!$C$16:$C$27,(INT((X14-1)/4)+1))&amp;" mg)"))</f>
        <v/>
      </c>
      <c r="D14" s="7" t="str">
        <f t="array" ref="D14">IF(X14="","",INDEX('Inventory - P16'!$K$16:$K$27,(INT((X14-1)/4)+1))-SUMPRODUCT(($B$10:$B$61=B14)*(($I$10:$I$61&lt;&gt;"")+($K$10:$K$61&lt;&gt;"")+($M$10:$M$61&lt;&gt;"")+($O$10:$O$61&lt;&gt;"")+($Q$10:$Q$61&lt;&gt;"")+($S$10:$S$61&lt;&gt;"")+($U$10:$U$61&lt;&gt;""))))</f>
        <v/>
      </c>
      <c r="E14" s="7" t="str">
        <f t="array" ref="E14">IF(X14="","",INDEX('Inventory - P16'!$D$16:$D$27,(INT((X14-1)/4)+1)))</f>
        <v/>
      </c>
      <c r="F14" s="7" t="str">
        <f t="array" ref="F14">IF(X14="","",INDEX('Inventory - P16'!$E$16:$E$27,(INT((X14-1)/4)+1)))</f>
        <v/>
      </c>
      <c r="G14" s="7" t="str">
        <f t="array" ref="G14">IF(X14="","",INDEX('Inventory - P16'!$I$16:$I$27,(INT((X14-1)/4)+1)))</f>
        <v/>
      </c>
      <c r="H14" s="7" t="str">
        <f t="array" ref="H14">IF(X14="","",INDEX('Inventory - P16'!$J$16:$J$27,(INT((X14-1)/4)+1)))</f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2">
        <f>SMALL($Z$67:$Z$114,4)</f>
        <v>9</v>
      </c>
      <c r="X14" s="2" t="str">
        <f t="shared" si="2"/>
        <v/>
      </c>
    </row>
    <row r="15" spans="1:33" ht="15" customHeight="1">
      <c r="A15" s="7" t="str">
        <f t="shared" si="0"/>
        <v/>
      </c>
      <c r="B15" s="7" t="str">
        <f t="shared" si="1"/>
        <v/>
      </c>
      <c r="C15" s="14" t="str">
        <f t="array" ref="C15">IF(X15="","",INDEX('Inventory - P16'!$B$16:$B$27,(INT((X15-1)/4)+1))&amp;IF(INDEX('Inventory - P16'!$C$16:$C$27,(INT((X15-1)/4)+1))="",""," ("&amp;INDEX('Inventory - P16'!$C$16:$C$27,(INT((X15-1)/4)+1))&amp;" mg)"))</f>
        <v/>
      </c>
      <c r="D15" s="7" t="str">
        <f t="array" ref="D15">IF(X15="","",INDEX('Inventory - P16'!$K$16:$K$27,(INT((X15-1)/4)+1))-SUMPRODUCT(($B$10:$B$61=B15)*(($I$10:$I$61&lt;&gt;"")+($K$10:$K$61&lt;&gt;"")+($M$10:$M$61&lt;&gt;"")+($O$10:$O$61&lt;&gt;"")+($Q$10:$Q$61&lt;&gt;"")+($S$10:$S$61&lt;&gt;"")+($U$10:$U$61&lt;&gt;""))))</f>
        <v/>
      </c>
      <c r="E15" s="7" t="str">
        <f t="array" ref="E15">IF(X15="","",INDEX('Inventory - P16'!$D$16:$D$27,(INT((X15-1)/4)+1)))</f>
        <v/>
      </c>
      <c r="F15" s="7" t="str">
        <f t="array" ref="F15">IF(X15="","",INDEX('Inventory - P16'!$E$16:$E$27,(INT((X15-1)/4)+1)))</f>
        <v/>
      </c>
      <c r="G15" s="7" t="str">
        <f t="array" ref="G15">IF(X15="","",INDEX('Inventory - P16'!$I$16:$I$27,(INT((X15-1)/4)+1)))</f>
        <v/>
      </c>
      <c r="H15" s="7" t="str">
        <f t="array" ref="H15">IF(X15="","",INDEX('Inventory - P16'!$J$16:$J$27,(INT((X15-1)/4)+1)))</f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">
        <f>SMALL($Z$67:$Z$114,5)</f>
        <v>9</v>
      </c>
      <c r="X15" s="2" t="str">
        <f t="shared" si="2"/>
        <v/>
      </c>
    </row>
    <row r="16" spans="1:33" ht="15" customHeight="1">
      <c r="A16" s="7" t="str">
        <f t="shared" si="0"/>
        <v/>
      </c>
      <c r="B16" s="7" t="str">
        <f t="shared" si="1"/>
        <v/>
      </c>
      <c r="C16" s="14" t="str">
        <f t="array" ref="C16">IF(X16="","",INDEX('Inventory - P16'!$B$16:$B$27,(INT((X16-1)/4)+1))&amp;IF(INDEX('Inventory - P16'!$C$16:$C$27,(INT((X16-1)/4)+1))="",""," ("&amp;INDEX('Inventory - P16'!$C$16:$C$27,(INT((X16-1)/4)+1))&amp;" mg)"))</f>
        <v/>
      </c>
      <c r="D16" s="7" t="str">
        <f t="array" ref="D16">IF(X16="","",INDEX('Inventory - P16'!$K$16:$K$27,(INT((X16-1)/4)+1))-SUMPRODUCT(($B$10:$B$61=B16)*(($I$10:$I$61&lt;&gt;"")+($K$10:$K$61&lt;&gt;"")+($M$10:$M$61&lt;&gt;"")+($O$10:$O$61&lt;&gt;"")+($Q$10:$Q$61&lt;&gt;"")+($S$10:$S$61&lt;&gt;"")+($U$10:$U$61&lt;&gt;""))))</f>
        <v/>
      </c>
      <c r="E16" s="7" t="str">
        <f t="array" ref="E16">IF(X16="","",INDEX('Inventory - P16'!$D$16:$D$27,(INT((X16-1)/4)+1)))</f>
        <v/>
      </c>
      <c r="F16" s="7" t="str">
        <f t="array" ref="F16">IF(X16="","",INDEX('Inventory - P16'!$E$16:$E$27,(INT((X16-1)/4)+1)))</f>
        <v/>
      </c>
      <c r="G16" s="7" t="str">
        <f t="array" ref="G16">IF(X16="","",INDEX('Inventory - P16'!$I$16:$I$27,(INT((X16-1)/4)+1)))</f>
        <v/>
      </c>
      <c r="H16" s="7" t="str">
        <f t="array" ref="H16">IF(X16="","",INDEX('Inventory - P16'!$J$16:$J$27,(INT((X16-1)/4)+1)))</f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">
        <f>SMALL($Z$67:$Z$114,6)</f>
        <v>9</v>
      </c>
      <c r="X16" s="2" t="str">
        <f t="shared" si="2"/>
        <v/>
      </c>
    </row>
    <row r="17" spans="1:24" ht="15" customHeight="1">
      <c r="A17" s="7" t="str">
        <f t="shared" si="0"/>
        <v/>
      </c>
      <c r="B17" s="7" t="str">
        <f t="shared" si="1"/>
        <v/>
      </c>
      <c r="C17" s="14" t="str">
        <f t="array" ref="C17">IF(X17="","",INDEX('Inventory - P16'!$B$16:$B$27,(INT((X17-1)/4)+1))&amp;IF(INDEX('Inventory - P16'!$C$16:$C$27,(INT((X17-1)/4)+1))="",""," ("&amp;INDEX('Inventory - P16'!$C$16:$C$27,(INT((X17-1)/4)+1))&amp;" mg)"))</f>
        <v/>
      </c>
      <c r="D17" s="7" t="str">
        <f t="array" ref="D17">IF(X17="","",INDEX('Inventory - P16'!$K$16:$K$27,(INT((X17-1)/4)+1))-SUMPRODUCT(($B$10:$B$61=B17)*(($I$10:$I$61&lt;&gt;"")+($K$10:$K$61&lt;&gt;"")+($M$10:$M$61&lt;&gt;"")+($O$10:$O$61&lt;&gt;"")+($Q$10:$Q$61&lt;&gt;"")+($S$10:$S$61&lt;&gt;"")+($U$10:$U$61&lt;&gt;""))))</f>
        <v/>
      </c>
      <c r="E17" s="7" t="str">
        <f t="array" ref="E17">IF(X17="","",INDEX('Inventory - P16'!$D$16:$D$27,(INT((X17-1)/4)+1)))</f>
        <v/>
      </c>
      <c r="F17" s="7" t="str">
        <f t="array" ref="F17">IF(X17="","",INDEX('Inventory - P16'!$E$16:$E$27,(INT((X17-1)/4)+1)))</f>
        <v/>
      </c>
      <c r="G17" s="7" t="str">
        <f t="array" ref="G17">IF(X17="","",INDEX('Inventory - P16'!$I$16:$I$27,(INT((X17-1)/4)+1)))</f>
        <v/>
      </c>
      <c r="H17" s="7" t="str">
        <f t="array" ref="H17">IF(X17="","",INDEX('Inventory - P16'!$J$16:$J$27,(INT((X17-1)/4)+1)))</f>
        <v/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">
        <f>SMALL($Z$67:$Z$114,7)</f>
        <v>9</v>
      </c>
      <c r="X17" s="2" t="str">
        <f t="shared" si="2"/>
        <v/>
      </c>
    </row>
    <row r="18" spans="1:24" ht="15" customHeight="1">
      <c r="A18" s="7" t="str">
        <f t="shared" si="0"/>
        <v/>
      </c>
      <c r="B18" s="7" t="str">
        <f t="shared" si="1"/>
        <v/>
      </c>
      <c r="C18" s="14" t="str">
        <f t="array" ref="C18">IF(X18="","",INDEX('Inventory - P16'!$B$16:$B$27,(INT((X18-1)/4)+1))&amp;IF(INDEX('Inventory - P16'!$C$16:$C$27,(INT((X18-1)/4)+1))="",""," ("&amp;INDEX('Inventory - P16'!$C$16:$C$27,(INT((X18-1)/4)+1))&amp;" mg)"))</f>
        <v/>
      </c>
      <c r="D18" s="7" t="str">
        <f t="array" ref="D18">IF(X18="","",INDEX('Inventory - P16'!$K$16:$K$27,(INT((X18-1)/4)+1))-SUMPRODUCT(($B$10:$B$61=B18)*(($I$10:$I$61&lt;&gt;"")+($K$10:$K$61&lt;&gt;"")+($M$10:$M$61&lt;&gt;"")+($O$10:$O$61&lt;&gt;"")+($Q$10:$Q$61&lt;&gt;"")+($S$10:$S$61&lt;&gt;"")+($U$10:$U$61&lt;&gt;""))))</f>
        <v/>
      </c>
      <c r="E18" s="7" t="str">
        <f t="array" ref="E18">IF(X18="","",INDEX('Inventory - P16'!$D$16:$D$27,(INT((X18-1)/4)+1)))</f>
        <v/>
      </c>
      <c r="F18" s="7" t="str">
        <f t="array" ref="F18">IF(X18="","",INDEX('Inventory - P16'!$E$16:$E$27,(INT((X18-1)/4)+1)))</f>
        <v/>
      </c>
      <c r="G18" s="7" t="str">
        <f t="array" ref="G18">IF(X18="","",INDEX('Inventory - P16'!$I$16:$I$27,(INT((X18-1)/4)+1)))</f>
        <v/>
      </c>
      <c r="H18" s="7" t="str">
        <f t="array" ref="H18">IF(X18="","",INDEX('Inventory - P16'!$J$16:$J$27,(INT((X18-1)/4)+1)))</f>
        <v/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">
        <f>SMALL($Z$67:$Z$114,8)</f>
        <v>9</v>
      </c>
      <c r="X18" s="2" t="str">
        <f t="shared" si="2"/>
        <v/>
      </c>
    </row>
    <row r="19" spans="1:24" ht="15" customHeight="1">
      <c r="A19" s="7" t="str">
        <f t="shared" si="0"/>
        <v/>
      </c>
      <c r="B19" s="7" t="str">
        <f t="shared" si="1"/>
        <v/>
      </c>
      <c r="C19" s="14" t="str">
        <f t="array" ref="C19">IF(X19="","",INDEX('Inventory - P16'!$B$16:$B$27,(INT((X19-1)/4)+1))&amp;IF(INDEX('Inventory - P16'!$C$16:$C$27,(INT((X19-1)/4)+1))="",""," ("&amp;INDEX('Inventory - P16'!$C$16:$C$27,(INT((X19-1)/4)+1))&amp;" mg)"))</f>
        <v/>
      </c>
      <c r="D19" s="7" t="str">
        <f t="array" ref="D19">IF(X19="","",INDEX('Inventory - P16'!$K$16:$K$27,(INT((X19-1)/4)+1))-SUMPRODUCT(($B$10:$B$61=B19)*(($I$10:$I$61&lt;&gt;"")+($K$10:$K$61&lt;&gt;"")+($M$10:$M$61&lt;&gt;"")+($O$10:$O$61&lt;&gt;"")+($Q$10:$Q$61&lt;&gt;"")+($S$10:$S$61&lt;&gt;"")+($U$10:$U$61&lt;&gt;""))))</f>
        <v/>
      </c>
      <c r="E19" s="7" t="str">
        <f t="array" ref="E19">IF(X19="","",INDEX('Inventory - P16'!$D$16:$D$27,(INT((X19-1)/4)+1)))</f>
        <v/>
      </c>
      <c r="F19" s="7" t="str">
        <f t="array" ref="F19">IF(X19="","",INDEX('Inventory - P16'!$E$16:$E$27,(INT((X19-1)/4)+1)))</f>
        <v/>
      </c>
      <c r="G19" s="7" t="str">
        <f t="array" ref="G19">IF(X19="","",INDEX('Inventory - P16'!$I$16:$I$27,(INT((X19-1)/4)+1)))</f>
        <v/>
      </c>
      <c r="H19" s="7" t="str">
        <f t="array" ref="H19">IF(X19="","",INDEX('Inventory - P16'!$J$16:$J$27,(INT((X19-1)/4)+1)))</f>
        <v/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>
        <f>SMALL($Z$67:$Z$114,9)</f>
        <v>9</v>
      </c>
      <c r="X19" s="2" t="str">
        <f t="shared" si="2"/>
        <v/>
      </c>
    </row>
    <row r="20" spans="1:24" ht="15" customHeight="1">
      <c r="A20" s="7" t="str">
        <f t="shared" si="0"/>
        <v/>
      </c>
      <c r="B20" s="7" t="str">
        <f t="shared" si="1"/>
        <v/>
      </c>
      <c r="C20" s="14" t="str">
        <f t="array" ref="C20">IF(X20="","",INDEX('Inventory - P16'!$B$16:$B$27,(INT((X20-1)/4)+1))&amp;IF(INDEX('Inventory - P16'!$C$16:$C$27,(INT((X20-1)/4)+1))="",""," ("&amp;INDEX('Inventory - P16'!$C$16:$C$27,(INT((X20-1)/4)+1))&amp;" mg)"))</f>
        <v/>
      </c>
      <c r="D20" s="7" t="str">
        <f t="array" ref="D20">IF(X20="","",INDEX('Inventory - P16'!$K$16:$K$27,(INT((X20-1)/4)+1))-SUMPRODUCT(($B$10:$B$61=B20)*(($I$10:$I$61&lt;&gt;"")+($K$10:$K$61&lt;&gt;"")+($M$10:$M$61&lt;&gt;"")+($O$10:$O$61&lt;&gt;"")+($Q$10:$Q$61&lt;&gt;"")+($S$10:$S$61&lt;&gt;"")+($U$10:$U$61&lt;&gt;""))))</f>
        <v/>
      </c>
      <c r="E20" s="7" t="str">
        <f t="array" ref="E20">IF(X20="","",INDEX('Inventory - P16'!$D$16:$D$27,(INT((X20-1)/4)+1)))</f>
        <v/>
      </c>
      <c r="F20" s="7" t="str">
        <f t="array" ref="F20">IF(X20="","",INDEX('Inventory - P16'!$E$16:$E$27,(INT((X20-1)/4)+1)))</f>
        <v/>
      </c>
      <c r="G20" s="7" t="str">
        <f t="array" ref="G20">IF(X20="","",INDEX('Inventory - P16'!$I$16:$I$27,(INT((X20-1)/4)+1)))</f>
        <v/>
      </c>
      <c r="H20" s="7" t="str">
        <f t="array" ref="H20">IF(X20="","",INDEX('Inventory - P16'!$J$16:$J$27,(INT((X20-1)/4)+1)))</f>
        <v/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">
        <f>SMALL($Z$67:$Z$114,10)</f>
        <v>9</v>
      </c>
      <c r="X20" s="2" t="str">
        <f t="shared" si="2"/>
        <v/>
      </c>
    </row>
    <row r="21" spans="1:24" ht="15" customHeight="1">
      <c r="A21" s="7" t="str">
        <f t="shared" si="0"/>
        <v/>
      </c>
      <c r="B21" s="7" t="str">
        <f t="shared" si="1"/>
        <v/>
      </c>
      <c r="C21" s="14" t="str">
        <f t="array" ref="C21">IF(X21="","",INDEX('Inventory - P16'!$B$16:$B$27,(INT((X21-1)/4)+1))&amp;IF(INDEX('Inventory - P16'!$C$16:$C$27,(INT((X21-1)/4)+1))="",""," ("&amp;INDEX('Inventory - P16'!$C$16:$C$27,(INT((X21-1)/4)+1))&amp;" mg)"))</f>
        <v/>
      </c>
      <c r="D21" s="7" t="str">
        <f t="array" ref="D21">IF(X21="","",INDEX('Inventory - P16'!$K$16:$K$27,(INT((X21-1)/4)+1))-SUMPRODUCT(($B$10:$B$61=B21)*(($I$10:$I$61&lt;&gt;"")+($K$10:$K$61&lt;&gt;"")+($M$10:$M$61&lt;&gt;"")+($O$10:$O$61&lt;&gt;"")+($Q$10:$Q$61&lt;&gt;"")+($S$10:$S$61&lt;&gt;"")+($U$10:$U$61&lt;&gt;""))))</f>
        <v/>
      </c>
      <c r="E21" s="7" t="str">
        <f t="array" ref="E21">IF(X21="","",INDEX('Inventory - P16'!$D$16:$D$27,(INT((X21-1)/4)+1)))</f>
        <v/>
      </c>
      <c r="F21" s="7" t="str">
        <f t="array" ref="F21">IF(X21="","",INDEX('Inventory - P16'!$E$16:$E$27,(INT((X21-1)/4)+1)))</f>
        <v/>
      </c>
      <c r="G21" s="7" t="str">
        <f t="array" ref="G21">IF(X21="","",INDEX('Inventory - P16'!$I$16:$I$27,(INT((X21-1)/4)+1)))</f>
        <v/>
      </c>
      <c r="H21" s="7" t="str">
        <f t="array" ref="H21">IF(X21="","",INDEX('Inventory - P16'!$J$16:$J$27,(INT((X21-1)/4)+1)))</f>
        <v/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">
        <f>SMALL($Z$67:$Z$114,11)</f>
        <v>9</v>
      </c>
      <c r="X21" s="2" t="str">
        <f t="shared" si="2"/>
        <v/>
      </c>
    </row>
    <row r="22" spans="1:24" ht="15" customHeight="1">
      <c r="A22" s="7" t="str">
        <f t="shared" si="0"/>
        <v/>
      </c>
      <c r="B22" s="7" t="str">
        <f t="shared" si="1"/>
        <v/>
      </c>
      <c r="C22" s="14" t="str">
        <f t="array" ref="C22">IF(X22="","",INDEX('Inventory - P16'!$B$16:$B$27,(INT((X22-1)/4)+1))&amp;IF(INDEX('Inventory - P16'!$C$16:$C$27,(INT((X22-1)/4)+1))="",""," ("&amp;INDEX('Inventory - P16'!$C$16:$C$27,(INT((X22-1)/4)+1))&amp;" mg)"))</f>
        <v/>
      </c>
      <c r="D22" s="7" t="str">
        <f t="array" ref="D22">IF(X22="","",INDEX('Inventory - P16'!$K$16:$K$27,(INT((X22-1)/4)+1))-SUMPRODUCT(($B$10:$B$61=B22)*(($I$10:$I$61&lt;&gt;"")+($K$10:$K$61&lt;&gt;"")+($M$10:$M$61&lt;&gt;"")+($O$10:$O$61&lt;&gt;"")+($Q$10:$Q$61&lt;&gt;"")+($S$10:$S$61&lt;&gt;"")+($U$10:$U$61&lt;&gt;""))))</f>
        <v/>
      </c>
      <c r="E22" s="7" t="str">
        <f t="array" ref="E22">IF(X22="","",INDEX('Inventory - P16'!$D$16:$D$27,(INT((X22-1)/4)+1)))</f>
        <v/>
      </c>
      <c r="F22" s="7" t="str">
        <f t="array" ref="F22">IF(X22="","",INDEX('Inventory - P16'!$E$16:$E$27,(INT((X22-1)/4)+1)))</f>
        <v/>
      </c>
      <c r="G22" s="7" t="str">
        <f t="array" ref="G22">IF(X22="","",INDEX('Inventory - P16'!$I$16:$I$27,(INT((X22-1)/4)+1)))</f>
        <v/>
      </c>
      <c r="H22" s="7" t="str">
        <f t="array" ref="H22">IF(X22="","",INDEX('Inventory - P16'!$J$16:$J$27,(INT((X22-1)/4)+1)))</f>
        <v/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">
        <f>SMALL($Z$67:$Z$114,12)</f>
        <v>9</v>
      </c>
      <c r="X22" s="2" t="str">
        <f t="shared" si="2"/>
        <v/>
      </c>
    </row>
    <row r="23" spans="1:24" ht="15.75" customHeight="1">
      <c r="A23" s="99" t="s">
        <v>221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</row>
    <row r="24" spans="1:24" ht="15" customHeight="1">
      <c r="A24" s="7" t="str">
        <f t="shared" ref="A24:A35" si="3">IF(W24&lt;9,TEXT(W24,"h:mm AM/PM"),"")</f>
        <v/>
      </c>
      <c r="B24" s="7" t="str">
        <f t="shared" ref="B24:B35" si="4">IF(X24="","",(INT((X24-1)/4)+1))</f>
        <v/>
      </c>
      <c r="C24" s="14" t="str">
        <f t="array" ref="C24">IF(X24="","",INDEX('Inventory - P16'!$B$16:$B$27,(INT((X24-1)/4)+1))&amp;IF(INDEX('Inventory - P16'!$C$16:$C$27,(INT((X24-1)/4)+1))="",""," ("&amp;INDEX('Inventory - P16'!$C$16:$C$27,(INT((X24-1)/4)+1))&amp;" mg)"))</f>
        <v/>
      </c>
      <c r="D24" s="7" t="str">
        <f t="array" ref="D24">IF(X24="","",INDEX('Inventory - P16'!$K$16:$K$27,(INT((X24-1)/4)+1))-SUMPRODUCT(($B$10:$B$61=B24)*(($I$10:$I$61&lt;&gt;"")+($K$10:$K$61&lt;&gt;"")+($M$10:$M$61&lt;&gt;"")+($O$10:$O$61&lt;&gt;"")+($Q$10:$Q$61&lt;&gt;"")+($S$10:$S$61&lt;&gt;"")+($U$10:$U$61&lt;&gt;""))))</f>
        <v/>
      </c>
      <c r="E24" s="7" t="str">
        <f t="array" ref="E24">IF(X24="","",INDEX('Inventory - P16'!$D$16:$D$27,(INT((X24-1)/4)+1)))</f>
        <v/>
      </c>
      <c r="F24" s="7" t="str">
        <f t="array" ref="F24">IF(X24="","",INDEX('Inventory - P16'!$E$16:$E$27,(INT((X24-1)/4)+1)))</f>
        <v/>
      </c>
      <c r="G24" s="7" t="str">
        <f t="array" ref="G24">IF(X24="","",INDEX('Inventory - P16'!$I$16:$I$27,(INT((X24-1)/4)+1)))</f>
        <v/>
      </c>
      <c r="H24" s="7" t="str">
        <f t="array" ref="H24">IF(X24="","",INDEX('Inventory - P16'!$J$16:$J$27,(INT((X24-1)/4)+1)))</f>
        <v/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">
        <f>SMALL($AA$67:$AA$114,1)</f>
        <v>9</v>
      </c>
      <c r="X24" s="2" t="str">
        <f t="shared" ref="X24:X35" si="5">IF(W24&lt;9,MATCH(W24,$AA$67:$AA$114,0),"")</f>
        <v/>
      </c>
    </row>
    <row r="25" spans="1:24" ht="15" customHeight="1">
      <c r="A25" s="7" t="str">
        <f t="shared" si="3"/>
        <v/>
      </c>
      <c r="B25" s="7" t="str">
        <f t="shared" si="4"/>
        <v/>
      </c>
      <c r="C25" s="14" t="str">
        <f t="array" ref="C25">IF(X25="","",INDEX('Inventory - P16'!$B$16:$B$27,(INT((X25-1)/4)+1))&amp;IF(INDEX('Inventory - P16'!$C$16:$C$27,(INT((X25-1)/4)+1))="",""," ("&amp;INDEX('Inventory - P16'!$C$16:$C$27,(INT((X25-1)/4)+1))&amp;" mg)"))</f>
        <v/>
      </c>
      <c r="D25" s="7" t="str">
        <f t="array" ref="D25">IF(X25="","",INDEX('Inventory - P16'!$K$16:$K$27,(INT((X25-1)/4)+1))-SUMPRODUCT(($B$10:$B$61=B25)*(($I$10:$I$61&lt;&gt;"")+($K$10:$K$61&lt;&gt;"")+($M$10:$M$61&lt;&gt;"")+($O$10:$O$61&lt;&gt;"")+($Q$10:$Q$61&lt;&gt;"")+($S$10:$S$61&lt;&gt;"")+($U$10:$U$61&lt;&gt;""))))</f>
        <v/>
      </c>
      <c r="E25" s="7" t="str">
        <f t="array" ref="E25">IF(X25="","",INDEX('Inventory - P16'!$D$16:$D$27,(INT((X25-1)/4)+1)))</f>
        <v/>
      </c>
      <c r="F25" s="7" t="str">
        <f t="array" ref="F25">IF(X25="","",INDEX('Inventory - P16'!$E$16:$E$27,(INT((X25-1)/4)+1)))</f>
        <v/>
      </c>
      <c r="G25" s="7" t="str">
        <f t="array" ref="G25">IF(X25="","",INDEX('Inventory - P16'!$I$16:$I$27,(INT((X25-1)/4)+1)))</f>
        <v/>
      </c>
      <c r="H25" s="7" t="str">
        <f t="array" ref="H25">IF(X25="","",INDEX('Inventory - P16'!$J$16:$J$27,(INT((X25-1)/4)+1)))</f>
        <v/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">
        <f>SMALL($AA$67:$AA$114,2)</f>
        <v>9</v>
      </c>
      <c r="X25" s="2" t="str">
        <f t="shared" si="5"/>
        <v/>
      </c>
    </row>
    <row r="26" spans="1:24" ht="15" customHeight="1">
      <c r="A26" s="7" t="str">
        <f t="shared" si="3"/>
        <v/>
      </c>
      <c r="B26" s="7" t="str">
        <f t="shared" si="4"/>
        <v/>
      </c>
      <c r="C26" s="14" t="str">
        <f t="array" ref="C26">IF(X26="","",INDEX('Inventory - P16'!$B$16:$B$27,(INT((X26-1)/4)+1))&amp;IF(INDEX('Inventory - P16'!$C$16:$C$27,(INT((X26-1)/4)+1))="",""," ("&amp;INDEX('Inventory - P16'!$C$16:$C$27,(INT((X26-1)/4)+1))&amp;" mg)"))</f>
        <v/>
      </c>
      <c r="D26" s="7" t="str">
        <f t="array" ref="D26">IF(X26="","",INDEX('Inventory - P16'!$K$16:$K$27,(INT((X26-1)/4)+1))-SUMPRODUCT(($B$10:$B$61=B26)*(($I$10:$I$61&lt;&gt;"")+($K$10:$K$61&lt;&gt;"")+($M$10:$M$61&lt;&gt;"")+($O$10:$O$61&lt;&gt;"")+($Q$10:$Q$61&lt;&gt;"")+($S$10:$S$61&lt;&gt;"")+($U$10:$U$61&lt;&gt;""))))</f>
        <v/>
      </c>
      <c r="E26" s="7" t="str">
        <f t="array" ref="E26">IF(X26="","",INDEX('Inventory - P16'!$D$16:$D$27,(INT((X26-1)/4)+1)))</f>
        <v/>
      </c>
      <c r="F26" s="7" t="str">
        <f t="array" ref="F26">IF(X26="","",INDEX('Inventory - P16'!$E$16:$E$27,(INT((X26-1)/4)+1)))</f>
        <v/>
      </c>
      <c r="G26" s="7" t="str">
        <f t="array" ref="G26">IF(X26="","",INDEX('Inventory - P16'!$I$16:$I$27,(INT((X26-1)/4)+1)))</f>
        <v/>
      </c>
      <c r="H26" s="7" t="str">
        <f t="array" ref="H26">IF(X26="","",INDEX('Inventory - P16'!$J$16:$J$27,(INT((X26-1)/4)+1)))</f>
        <v/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">
        <f>SMALL($AA$67:$AA$114,3)</f>
        <v>9</v>
      </c>
      <c r="X26" s="2" t="str">
        <f t="shared" si="5"/>
        <v/>
      </c>
    </row>
    <row r="27" spans="1:24" ht="15" customHeight="1">
      <c r="A27" s="7" t="str">
        <f t="shared" si="3"/>
        <v/>
      </c>
      <c r="B27" s="7" t="str">
        <f t="shared" si="4"/>
        <v/>
      </c>
      <c r="C27" s="14" t="str">
        <f t="array" ref="C27">IF(X27="","",INDEX('Inventory - P16'!$B$16:$B$27,(INT((X27-1)/4)+1))&amp;IF(INDEX('Inventory - P16'!$C$16:$C$27,(INT((X27-1)/4)+1))="",""," ("&amp;INDEX('Inventory - P16'!$C$16:$C$27,(INT((X27-1)/4)+1))&amp;" mg)"))</f>
        <v/>
      </c>
      <c r="D27" s="7" t="str">
        <f t="array" ref="D27">IF(X27="","",INDEX('Inventory - P16'!$K$16:$K$27,(INT((X27-1)/4)+1))-SUMPRODUCT(($B$10:$B$61=B27)*(($I$10:$I$61&lt;&gt;"")+($K$10:$K$61&lt;&gt;"")+($M$10:$M$61&lt;&gt;"")+($O$10:$O$61&lt;&gt;"")+($Q$10:$Q$61&lt;&gt;"")+($S$10:$S$61&lt;&gt;"")+($U$10:$U$61&lt;&gt;""))))</f>
        <v/>
      </c>
      <c r="E27" s="7" t="str">
        <f t="array" ref="E27">IF(X27="","",INDEX('Inventory - P16'!$D$16:$D$27,(INT((X27-1)/4)+1)))</f>
        <v/>
      </c>
      <c r="F27" s="7" t="str">
        <f t="array" ref="F27">IF(X27="","",INDEX('Inventory - P16'!$E$16:$E$27,(INT((X27-1)/4)+1)))</f>
        <v/>
      </c>
      <c r="G27" s="7" t="str">
        <f t="array" ref="G27">IF(X27="","",INDEX('Inventory - P16'!$I$16:$I$27,(INT((X27-1)/4)+1)))</f>
        <v/>
      </c>
      <c r="H27" s="7" t="str">
        <f t="array" ref="H27">IF(X27="","",INDEX('Inventory - P16'!$J$16:$J$27,(INT((X27-1)/4)+1)))</f>
        <v/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">
        <f>SMALL($AA$67:$AA$114,4)</f>
        <v>9</v>
      </c>
      <c r="X27" s="2" t="str">
        <f t="shared" si="5"/>
        <v/>
      </c>
    </row>
    <row r="28" spans="1:24" ht="15" customHeight="1">
      <c r="A28" s="7" t="str">
        <f t="shared" si="3"/>
        <v/>
      </c>
      <c r="B28" s="7" t="str">
        <f t="shared" si="4"/>
        <v/>
      </c>
      <c r="C28" s="14" t="str">
        <f t="array" ref="C28">IF(X28="","",INDEX('Inventory - P16'!$B$16:$B$27,(INT((X28-1)/4)+1))&amp;IF(INDEX('Inventory - P16'!$C$16:$C$27,(INT((X28-1)/4)+1))="",""," ("&amp;INDEX('Inventory - P16'!$C$16:$C$27,(INT((X28-1)/4)+1))&amp;" mg)"))</f>
        <v/>
      </c>
      <c r="D28" s="7" t="str">
        <f t="array" ref="D28">IF(X28="","",INDEX('Inventory - P16'!$K$16:$K$27,(INT((X28-1)/4)+1))-SUMPRODUCT(($B$10:$B$61=B28)*(($I$10:$I$61&lt;&gt;"")+($K$10:$K$61&lt;&gt;"")+($M$10:$M$61&lt;&gt;"")+($O$10:$O$61&lt;&gt;"")+($Q$10:$Q$61&lt;&gt;"")+($S$10:$S$61&lt;&gt;"")+($U$10:$U$61&lt;&gt;""))))</f>
        <v/>
      </c>
      <c r="E28" s="7" t="str">
        <f t="array" ref="E28">IF(X28="","",INDEX('Inventory - P16'!$D$16:$D$27,(INT((X28-1)/4)+1)))</f>
        <v/>
      </c>
      <c r="F28" s="7" t="str">
        <f t="array" ref="F28">IF(X28="","",INDEX('Inventory - P16'!$E$16:$E$27,(INT((X28-1)/4)+1)))</f>
        <v/>
      </c>
      <c r="G28" s="7" t="str">
        <f t="array" ref="G28">IF(X28="","",INDEX('Inventory - P16'!$I$16:$I$27,(INT((X28-1)/4)+1)))</f>
        <v/>
      </c>
      <c r="H28" s="7" t="str">
        <f t="array" ref="H28">IF(X28="","",INDEX('Inventory - P16'!$J$16:$J$27,(INT((X28-1)/4)+1)))</f>
        <v/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">
        <f>SMALL($AA$67:$AA$114,5)</f>
        <v>9</v>
      </c>
      <c r="X28" s="2" t="str">
        <f t="shared" si="5"/>
        <v/>
      </c>
    </row>
    <row r="29" spans="1:24" ht="15" customHeight="1">
      <c r="A29" s="7" t="str">
        <f t="shared" si="3"/>
        <v/>
      </c>
      <c r="B29" s="7" t="str">
        <f t="shared" si="4"/>
        <v/>
      </c>
      <c r="C29" s="14" t="str">
        <f t="array" ref="C29">IF(X29="","",INDEX('Inventory - P16'!$B$16:$B$27,(INT((X29-1)/4)+1))&amp;IF(INDEX('Inventory - P16'!$C$16:$C$27,(INT((X29-1)/4)+1))="",""," ("&amp;INDEX('Inventory - P16'!$C$16:$C$27,(INT((X29-1)/4)+1))&amp;" mg)"))</f>
        <v/>
      </c>
      <c r="D29" s="7" t="str">
        <f t="array" ref="D29">IF(X29="","",INDEX('Inventory - P16'!$K$16:$K$27,(INT((X29-1)/4)+1))-SUMPRODUCT(($B$10:$B$61=B29)*(($I$10:$I$61&lt;&gt;"")+($K$10:$K$61&lt;&gt;"")+($M$10:$M$61&lt;&gt;"")+($O$10:$O$61&lt;&gt;"")+($Q$10:$Q$61&lt;&gt;"")+($S$10:$S$61&lt;&gt;"")+($U$10:$U$61&lt;&gt;""))))</f>
        <v/>
      </c>
      <c r="E29" s="7" t="str">
        <f t="array" ref="E29">IF(X29="","",INDEX('Inventory - P16'!$D$16:$D$27,(INT((X29-1)/4)+1)))</f>
        <v/>
      </c>
      <c r="F29" s="7" t="str">
        <f t="array" ref="F29">IF(X29="","",INDEX('Inventory - P16'!$E$16:$E$27,(INT((X29-1)/4)+1)))</f>
        <v/>
      </c>
      <c r="G29" s="7" t="str">
        <f t="array" ref="G29">IF(X29="","",INDEX('Inventory - P16'!$I$16:$I$27,(INT((X29-1)/4)+1)))</f>
        <v/>
      </c>
      <c r="H29" s="7" t="str">
        <f t="array" ref="H29">IF(X29="","",INDEX('Inventory - P16'!$J$16:$J$27,(INT((X29-1)/4)+1)))</f>
        <v/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">
        <f>SMALL($AA$67:$AA$114,6)</f>
        <v>9</v>
      </c>
      <c r="X29" s="2" t="str">
        <f t="shared" si="5"/>
        <v/>
      </c>
    </row>
    <row r="30" spans="1:24" ht="15" customHeight="1">
      <c r="A30" s="7" t="str">
        <f t="shared" si="3"/>
        <v/>
      </c>
      <c r="B30" s="7" t="str">
        <f t="shared" si="4"/>
        <v/>
      </c>
      <c r="C30" s="14" t="str">
        <f t="array" ref="C30">IF(X30="","",INDEX('Inventory - P16'!$B$16:$B$27,(INT((X30-1)/4)+1))&amp;IF(INDEX('Inventory - P16'!$C$16:$C$27,(INT((X30-1)/4)+1))="",""," ("&amp;INDEX('Inventory - P16'!$C$16:$C$27,(INT((X30-1)/4)+1))&amp;" mg)"))</f>
        <v/>
      </c>
      <c r="D30" s="7" t="str">
        <f t="array" ref="D30">IF(X30="","",INDEX('Inventory - P16'!$K$16:$K$27,(INT((X30-1)/4)+1))-SUMPRODUCT(($B$10:$B$61=B30)*(($I$10:$I$61&lt;&gt;"")+($K$10:$K$61&lt;&gt;"")+($M$10:$M$61&lt;&gt;"")+($O$10:$O$61&lt;&gt;"")+($Q$10:$Q$61&lt;&gt;"")+($S$10:$S$61&lt;&gt;"")+($U$10:$U$61&lt;&gt;""))))</f>
        <v/>
      </c>
      <c r="E30" s="7" t="str">
        <f t="array" ref="E30">IF(X30="","",INDEX('Inventory - P16'!$D$16:$D$27,(INT((X30-1)/4)+1)))</f>
        <v/>
      </c>
      <c r="F30" s="7" t="str">
        <f t="array" ref="F30">IF(X30="","",INDEX('Inventory - P16'!$E$16:$E$27,(INT((X30-1)/4)+1)))</f>
        <v/>
      </c>
      <c r="G30" s="7" t="str">
        <f t="array" ref="G30">IF(X30="","",INDEX('Inventory - P16'!$I$16:$I$27,(INT((X30-1)/4)+1)))</f>
        <v/>
      </c>
      <c r="H30" s="7" t="str">
        <f t="array" ref="H30">IF(X30="","",INDEX('Inventory - P16'!$J$16:$J$27,(INT((X30-1)/4)+1)))</f>
        <v/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">
        <f>SMALL($AA$67:$AA$114,7)</f>
        <v>9</v>
      </c>
      <c r="X30" s="2" t="str">
        <f t="shared" si="5"/>
        <v/>
      </c>
    </row>
    <row r="31" spans="1:24" ht="15" customHeight="1">
      <c r="A31" s="7" t="str">
        <f t="shared" si="3"/>
        <v/>
      </c>
      <c r="B31" s="7" t="str">
        <f t="shared" si="4"/>
        <v/>
      </c>
      <c r="C31" s="14" t="str">
        <f t="array" ref="C31">IF(X31="","",INDEX('Inventory - P16'!$B$16:$B$27,(INT((X31-1)/4)+1))&amp;IF(INDEX('Inventory - P16'!$C$16:$C$27,(INT((X31-1)/4)+1))="",""," ("&amp;INDEX('Inventory - P16'!$C$16:$C$27,(INT((X31-1)/4)+1))&amp;" mg)"))</f>
        <v/>
      </c>
      <c r="D31" s="7" t="str">
        <f t="array" ref="D31">IF(X31="","",INDEX('Inventory - P16'!$K$16:$K$27,(INT((X31-1)/4)+1))-SUMPRODUCT(($B$10:$B$61=B31)*(($I$10:$I$61&lt;&gt;"")+($K$10:$K$61&lt;&gt;"")+($M$10:$M$61&lt;&gt;"")+($O$10:$O$61&lt;&gt;"")+($Q$10:$Q$61&lt;&gt;"")+($S$10:$S$61&lt;&gt;"")+($U$10:$U$61&lt;&gt;""))))</f>
        <v/>
      </c>
      <c r="E31" s="7" t="str">
        <f t="array" ref="E31">IF(X31="","",INDEX('Inventory - P16'!$D$16:$D$27,(INT((X31-1)/4)+1)))</f>
        <v/>
      </c>
      <c r="F31" s="7" t="str">
        <f t="array" ref="F31">IF(X31="","",INDEX('Inventory - P16'!$E$16:$E$27,(INT((X31-1)/4)+1)))</f>
        <v/>
      </c>
      <c r="G31" s="7" t="str">
        <f t="array" ref="G31">IF(X31="","",INDEX('Inventory - P16'!$I$16:$I$27,(INT((X31-1)/4)+1)))</f>
        <v/>
      </c>
      <c r="H31" s="7" t="str">
        <f t="array" ref="H31">IF(X31="","",INDEX('Inventory - P16'!$J$16:$J$27,(INT((X31-1)/4)+1)))</f>
        <v/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">
        <f>SMALL($AA$67:$AA$114,8)</f>
        <v>9</v>
      </c>
      <c r="X31" s="2" t="str">
        <f t="shared" si="5"/>
        <v/>
      </c>
    </row>
    <row r="32" spans="1:24" ht="15" customHeight="1">
      <c r="A32" s="7" t="str">
        <f t="shared" si="3"/>
        <v/>
      </c>
      <c r="B32" s="7" t="str">
        <f t="shared" si="4"/>
        <v/>
      </c>
      <c r="C32" s="14" t="str">
        <f t="array" ref="C32">IF(X32="","",INDEX('Inventory - P16'!$B$16:$B$27,(INT((X32-1)/4)+1))&amp;IF(INDEX('Inventory - P16'!$C$16:$C$27,(INT((X32-1)/4)+1))="",""," ("&amp;INDEX('Inventory - P16'!$C$16:$C$27,(INT((X32-1)/4)+1))&amp;" mg)"))</f>
        <v/>
      </c>
      <c r="D32" s="7" t="str">
        <f t="array" ref="D32">IF(X32="","",INDEX('Inventory - P16'!$K$16:$K$27,(INT((X32-1)/4)+1))-SUMPRODUCT(($B$10:$B$61=B32)*(($I$10:$I$61&lt;&gt;"")+($K$10:$K$61&lt;&gt;"")+($M$10:$M$61&lt;&gt;"")+($O$10:$O$61&lt;&gt;"")+($Q$10:$Q$61&lt;&gt;"")+($S$10:$S$61&lt;&gt;"")+($U$10:$U$61&lt;&gt;""))))</f>
        <v/>
      </c>
      <c r="E32" s="7" t="str">
        <f t="array" ref="E32">IF(X32="","",INDEX('Inventory - P16'!$D$16:$D$27,(INT((X32-1)/4)+1)))</f>
        <v/>
      </c>
      <c r="F32" s="7" t="str">
        <f t="array" ref="F32">IF(X32="","",INDEX('Inventory - P16'!$E$16:$E$27,(INT((X32-1)/4)+1)))</f>
        <v/>
      </c>
      <c r="G32" s="7" t="str">
        <f t="array" ref="G32">IF(X32="","",INDEX('Inventory - P16'!$I$16:$I$27,(INT((X32-1)/4)+1)))</f>
        <v/>
      </c>
      <c r="H32" s="7" t="str">
        <f t="array" ref="H32">IF(X32="","",INDEX('Inventory - P16'!$J$16:$J$27,(INT((X32-1)/4)+1)))</f>
        <v/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">
        <f>SMALL($AA$67:$AA$114,9)</f>
        <v>9</v>
      </c>
      <c r="X32" s="2" t="str">
        <f t="shared" si="5"/>
        <v/>
      </c>
    </row>
    <row r="33" spans="1:24" ht="15" customHeight="1">
      <c r="A33" s="7" t="str">
        <f t="shared" si="3"/>
        <v/>
      </c>
      <c r="B33" s="7" t="str">
        <f t="shared" si="4"/>
        <v/>
      </c>
      <c r="C33" s="14" t="str">
        <f t="array" ref="C33">IF(X33="","",INDEX('Inventory - P16'!$B$16:$B$27,(INT((X33-1)/4)+1))&amp;IF(INDEX('Inventory - P16'!$C$16:$C$27,(INT((X33-1)/4)+1))="",""," ("&amp;INDEX('Inventory - P16'!$C$16:$C$27,(INT((X33-1)/4)+1))&amp;" mg)"))</f>
        <v/>
      </c>
      <c r="D33" s="7" t="str">
        <f t="array" ref="D33">IF(X33="","",INDEX('Inventory - P16'!$K$16:$K$27,(INT((X33-1)/4)+1))-SUMPRODUCT(($B$10:$B$61=B33)*(($I$10:$I$61&lt;&gt;"")+($K$10:$K$61&lt;&gt;"")+($M$10:$M$61&lt;&gt;"")+($O$10:$O$61&lt;&gt;"")+($Q$10:$Q$61&lt;&gt;"")+($S$10:$S$61&lt;&gt;"")+($U$10:$U$61&lt;&gt;""))))</f>
        <v/>
      </c>
      <c r="E33" s="7" t="str">
        <f t="array" ref="E33">IF(X33="","",INDEX('Inventory - P16'!$D$16:$D$27,(INT((X33-1)/4)+1)))</f>
        <v/>
      </c>
      <c r="F33" s="7" t="str">
        <f t="array" ref="F33">IF(X33="","",INDEX('Inventory - P16'!$E$16:$E$27,(INT((X33-1)/4)+1)))</f>
        <v/>
      </c>
      <c r="G33" s="7" t="str">
        <f t="array" ref="G33">IF(X33="","",INDEX('Inventory - P16'!$I$16:$I$27,(INT((X33-1)/4)+1)))</f>
        <v/>
      </c>
      <c r="H33" s="7" t="str">
        <f t="array" ref="H33">IF(X33="","",INDEX('Inventory - P16'!$J$16:$J$27,(INT((X33-1)/4)+1)))</f>
        <v/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">
        <f>SMALL($AA$67:$AA$114,10)</f>
        <v>9</v>
      </c>
      <c r="X33" s="2" t="str">
        <f t="shared" si="5"/>
        <v/>
      </c>
    </row>
    <row r="34" spans="1:24" ht="15" customHeight="1">
      <c r="A34" s="7" t="str">
        <f t="shared" si="3"/>
        <v/>
      </c>
      <c r="B34" s="7" t="str">
        <f t="shared" si="4"/>
        <v/>
      </c>
      <c r="C34" s="14" t="str">
        <f t="array" ref="C34">IF(X34="","",INDEX('Inventory - P16'!$B$16:$B$27,(INT((X34-1)/4)+1))&amp;IF(INDEX('Inventory - P16'!$C$16:$C$27,(INT((X34-1)/4)+1))="",""," ("&amp;INDEX('Inventory - P16'!$C$16:$C$27,(INT((X34-1)/4)+1))&amp;" mg)"))</f>
        <v/>
      </c>
      <c r="D34" s="7" t="str">
        <f t="array" ref="D34">IF(X34="","",INDEX('Inventory - P16'!$K$16:$K$27,(INT((X34-1)/4)+1))-SUMPRODUCT(($B$10:$B$61=B34)*(($I$10:$I$61&lt;&gt;"")+($K$10:$K$61&lt;&gt;"")+($M$10:$M$61&lt;&gt;"")+($O$10:$O$61&lt;&gt;"")+($Q$10:$Q$61&lt;&gt;"")+($S$10:$S$61&lt;&gt;"")+($U$10:$U$61&lt;&gt;""))))</f>
        <v/>
      </c>
      <c r="E34" s="7" t="str">
        <f t="array" ref="E34">IF(X34="","",INDEX('Inventory - P16'!$D$16:$D$27,(INT((X34-1)/4)+1)))</f>
        <v/>
      </c>
      <c r="F34" s="7" t="str">
        <f t="array" ref="F34">IF(X34="","",INDEX('Inventory - P16'!$E$16:$E$27,(INT((X34-1)/4)+1)))</f>
        <v/>
      </c>
      <c r="G34" s="7" t="str">
        <f t="array" ref="G34">IF(X34="","",INDEX('Inventory - P16'!$I$16:$I$27,(INT((X34-1)/4)+1)))</f>
        <v/>
      </c>
      <c r="H34" s="7" t="str">
        <f t="array" ref="H34">IF(X34="","",INDEX('Inventory - P16'!$J$16:$J$27,(INT((X34-1)/4)+1)))</f>
        <v/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">
        <f>SMALL($AA$67:$AA$114,11)</f>
        <v>9</v>
      </c>
      <c r="X34" s="2" t="str">
        <f t="shared" si="5"/>
        <v/>
      </c>
    </row>
    <row r="35" spans="1:24" ht="15" customHeight="1">
      <c r="A35" s="7" t="str">
        <f t="shared" si="3"/>
        <v/>
      </c>
      <c r="B35" s="7" t="str">
        <f t="shared" si="4"/>
        <v/>
      </c>
      <c r="C35" s="14" t="str">
        <f t="array" ref="C35">IF(X35="","",INDEX('Inventory - P16'!$B$16:$B$27,(INT((X35-1)/4)+1))&amp;IF(INDEX('Inventory - P16'!$C$16:$C$27,(INT((X35-1)/4)+1))="",""," ("&amp;INDEX('Inventory - P16'!$C$16:$C$27,(INT((X35-1)/4)+1))&amp;" mg)"))</f>
        <v/>
      </c>
      <c r="D35" s="7" t="str">
        <f t="array" ref="D35">IF(X35="","",INDEX('Inventory - P16'!$K$16:$K$27,(INT((X35-1)/4)+1))-SUMPRODUCT(($B$10:$B$61=B35)*(($I$10:$I$61&lt;&gt;"")+($K$10:$K$61&lt;&gt;"")+($M$10:$M$61&lt;&gt;"")+($O$10:$O$61&lt;&gt;"")+($Q$10:$Q$61&lt;&gt;"")+($S$10:$S$61&lt;&gt;"")+($U$10:$U$61&lt;&gt;""))))</f>
        <v/>
      </c>
      <c r="E35" s="7" t="str">
        <f t="array" ref="E35">IF(X35="","",INDEX('Inventory - P16'!$D$16:$D$27,(INT((X35-1)/4)+1)))</f>
        <v/>
      </c>
      <c r="F35" s="7" t="str">
        <f t="array" ref="F35">IF(X35="","",INDEX('Inventory - P16'!$E$16:$E$27,(INT((X35-1)/4)+1)))</f>
        <v/>
      </c>
      <c r="G35" s="7" t="str">
        <f t="array" ref="G35">IF(X35="","",INDEX('Inventory - P16'!$I$16:$I$27,(INT((X35-1)/4)+1)))</f>
        <v/>
      </c>
      <c r="H35" s="7" t="str">
        <f t="array" ref="H35">IF(X35="","",INDEX('Inventory - P16'!$J$16:$J$27,(INT((X35-1)/4)+1)))</f>
        <v/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">
        <f>SMALL($AA$67:$AA$114,12)</f>
        <v>9</v>
      </c>
      <c r="X35" s="2" t="str">
        <f t="shared" si="5"/>
        <v/>
      </c>
    </row>
    <row r="36" spans="1:24" ht="15.75" customHeight="1">
      <c r="A36" s="99" t="s">
        <v>222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</row>
    <row r="37" spans="1:24" ht="15" customHeight="1">
      <c r="A37" s="7" t="str">
        <f t="shared" ref="A37:A48" si="6">IF(W37&lt;9,TEXT(W37,"h:mm AM/PM"),"")</f>
        <v/>
      </c>
      <c r="B37" s="7" t="str">
        <f t="shared" ref="B37:B48" si="7">IF(X37="","",(INT((X37-1)/4)+1))</f>
        <v/>
      </c>
      <c r="C37" s="14" t="str">
        <f t="array" ref="C37">IF(X37="","",INDEX('Inventory - P16'!$B$16:$B$27,(INT((X37-1)/4)+1))&amp;IF(INDEX('Inventory - P16'!$C$16:$C$27,(INT((X37-1)/4)+1))="",""," ("&amp;INDEX('Inventory - P16'!$C$16:$C$27,(INT((X37-1)/4)+1))&amp;" mg)"))</f>
        <v/>
      </c>
      <c r="D37" s="7" t="str">
        <f t="array" ref="D37">IF(X37="","",INDEX('Inventory - P16'!$K$16:$K$27,(INT((X37-1)/4)+1))-SUMPRODUCT(($B$10:$B$61=B37)*(($I$10:$I$61&lt;&gt;"")+($K$10:$K$61&lt;&gt;"")+($M$10:$M$61&lt;&gt;"")+($O$10:$O$61&lt;&gt;"")+($Q$10:$Q$61&lt;&gt;"")+($S$10:$S$61&lt;&gt;"")+($U$10:$U$61&lt;&gt;""))))</f>
        <v/>
      </c>
      <c r="E37" s="7" t="str">
        <f t="array" ref="E37">IF(X37="","",INDEX('Inventory - P16'!$D$16:$D$27,(INT((X37-1)/4)+1)))</f>
        <v/>
      </c>
      <c r="F37" s="7" t="str">
        <f t="array" ref="F37">IF(X37="","",INDEX('Inventory - P16'!$E$16:$E$27,(INT((X37-1)/4)+1)))</f>
        <v/>
      </c>
      <c r="G37" s="7" t="str">
        <f t="array" ref="G37">IF(X37="","",INDEX('Inventory - P16'!$I$16:$I$27,(INT((X37-1)/4)+1)))</f>
        <v/>
      </c>
      <c r="H37" s="7" t="str">
        <f t="array" ref="H37">IF(X37="","",INDEX('Inventory - P16'!$J$16:$J$27,(INT((X37-1)/4)+1)))</f>
        <v/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">
        <f>SMALL($AB$67:$AB$114,1)</f>
        <v>9</v>
      </c>
      <c r="X37" s="2" t="str">
        <f t="shared" ref="X37:X48" si="8">IF(W37&lt;9,MATCH(W37,$AB$67:$AB$114,0),"")</f>
        <v/>
      </c>
    </row>
    <row r="38" spans="1:24" ht="15" customHeight="1">
      <c r="A38" s="7" t="str">
        <f t="shared" si="6"/>
        <v/>
      </c>
      <c r="B38" s="7" t="str">
        <f t="shared" si="7"/>
        <v/>
      </c>
      <c r="C38" s="14" t="str">
        <f t="array" ref="C38">IF(X38="","",INDEX('Inventory - P16'!$B$16:$B$27,(INT((X38-1)/4)+1))&amp;IF(INDEX('Inventory - P16'!$C$16:$C$27,(INT((X38-1)/4)+1))="",""," ("&amp;INDEX('Inventory - P16'!$C$16:$C$27,(INT((X38-1)/4)+1))&amp;" mg)"))</f>
        <v/>
      </c>
      <c r="D38" s="7" t="str">
        <f t="array" ref="D38">IF(X38="","",INDEX('Inventory - P16'!$K$16:$K$27,(INT((X38-1)/4)+1))-SUMPRODUCT(($B$10:$B$61=B38)*(($I$10:$I$61&lt;&gt;"")+($K$10:$K$61&lt;&gt;"")+($M$10:$M$61&lt;&gt;"")+($O$10:$O$61&lt;&gt;"")+($Q$10:$Q$61&lt;&gt;"")+($S$10:$S$61&lt;&gt;"")+($U$10:$U$61&lt;&gt;""))))</f>
        <v/>
      </c>
      <c r="E38" s="7" t="str">
        <f t="array" ref="E38">IF(X38="","",INDEX('Inventory - P16'!$D$16:$D$27,(INT((X38-1)/4)+1)))</f>
        <v/>
      </c>
      <c r="F38" s="7" t="str">
        <f t="array" ref="F38">IF(X38="","",INDEX('Inventory - P16'!$E$16:$E$27,(INT((X38-1)/4)+1)))</f>
        <v/>
      </c>
      <c r="G38" s="7" t="str">
        <f t="array" ref="G38">IF(X38="","",INDEX('Inventory - P16'!$I$16:$I$27,(INT((X38-1)/4)+1)))</f>
        <v/>
      </c>
      <c r="H38" s="7" t="str">
        <f t="array" ref="H38">IF(X38="","",INDEX('Inventory - P16'!$J$16:$J$27,(INT((X38-1)/4)+1)))</f>
        <v/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">
        <f>SMALL($AB$67:$AB$114,2)</f>
        <v>9</v>
      </c>
      <c r="X38" s="2" t="str">
        <f t="shared" si="8"/>
        <v/>
      </c>
    </row>
    <row r="39" spans="1:24" ht="15" customHeight="1">
      <c r="A39" s="7" t="str">
        <f t="shared" si="6"/>
        <v/>
      </c>
      <c r="B39" s="7" t="str">
        <f t="shared" si="7"/>
        <v/>
      </c>
      <c r="C39" s="14" t="str">
        <f t="array" ref="C39">IF(X39="","",INDEX('Inventory - P16'!$B$16:$B$27,(INT((X39-1)/4)+1))&amp;IF(INDEX('Inventory - P16'!$C$16:$C$27,(INT((X39-1)/4)+1))="",""," ("&amp;INDEX('Inventory - P16'!$C$16:$C$27,(INT((X39-1)/4)+1))&amp;" mg)"))</f>
        <v/>
      </c>
      <c r="D39" s="7" t="str">
        <f t="array" ref="D39">IF(X39="","",INDEX('Inventory - P16'!$K$16:$K$27,(INT((X39-1)/4)+1))-SUMPRODUCT(($B$10:$B$61=B39)*(($I$10:$I$61&lt;&gt;"")+($K$10:$K$61&lt;&gt;"")+($M$10:$M$61&lt;&gt;"")+($O$10:$O$61&lt;&gt;"")+($Q$10:$Q$61&lt;&gt;"")+($S$10:$S$61&lt;&gt;"")+($U$10:$U$61&lt;&gt;""))))</f>
        <v/>
      </c>
      <c r="E39" s="7" t="str">
        <f t="array" ref="E39">IF(X39="","",INDEX('Inventory - P16'!$D$16:$D$27,(INT((X39-1)/4)+1)))</f>
        <v/>
      </c>
      <c r="F39" s="7" t="str">
        <f t="array" ref="F39">IF(X39="","",INDEX('Inventory - P16'!$E$16:$E$27,(INT((X39-1)/4)+1)))</f>
        <v/>
      </c>
      <c r="G39" s="7" t="str">
        <f t="array" ref="G39">IF(X39="","",INDEX('Inventory - P16'!$I$16:$I$27,(INT((X39-1)/4)+1)))</f>
        <v/>
      </c>
      <c r="H39" s="7" t="str">
        <f t="array" ref="H39">IF(X39="","",INDEX('Inventory - P16'!$J$16:$J$27,(INT((X39-1)/4)+1)))</f>
        <v/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">
        <f>SMALL($AB$67:$AB$114,3)</f>
        <v>9</v>
      </c>
      <c r="X39" s="2" t="str">
        <f t="shared" si="8"/>
        <v/>
      </c>
    </row>
    <row r="40" spans="1:24" ht="15" customHeight="1">
      <c r="A40" s="7" t="str">
        <f t="shared" si="6"/>
        <v/>
      </c>
      <c r="B40" s="7" t="str">
        <f t="shared" si="7"/>
        <v/>
      </c>
      <c r="C40" s="14" t="str">
        <f t="array" ref="C40">IF(X40="","",INDEX('Inventory - P16'!$B$16:$B$27,(INT((X40-1)/4)+1))&amp;IF(INDEX('Inventory - P16'!$C$16:$C$27,(INT((X40-1)/4)+1))="",""," ("&amp;INDEX('Inventory - P16'!$C$16:$C$27,(INT((X40-1)/4)+1))&amp;" mg)"))</f>
        <v/>
      </c>
      <c r="D40" s="7" t="str">
        <f t="array" ref="D40">IF(X40="","",INDEX('Inventory - P16'!$K$16:$K$27,(INT((X40-1)/4)+1))-SUMPRODUCT(($B$10:$B$61=B40)*(($I$10:$I$61&lt;&gt;"")+($K$10:$K$61&lt;&gt;"")+($M$10:$M$61&lt;&gt;"")+($O$10:$O$61&lt;&gt;"")+($Q$10:$Q$61&lt;&gt;"")+($S$10:$S$61&lt;&gt;"")+($U$10:$U$61&lt;&gt;""))))</f>
        <v/>
      </c>
      <c r="E40" s="7" t="str">
        <f t="array" ref="E40">IF(X40="","",INDEX('Inventory - P16'!$D$16:$D$27,(INT((X40-1)/4)+1)))</f>
        <v/>
      </c>
      <c r="F40" s="7" t="str">
        <f t="array" ref="F40">IF(X40="","",INDEX('Inventory - P16'!$E$16:$E$27,(INT((X40-1)/4)+1)))</f>
        <v/>
      </c>
      <c r="G40" s="7" t="str">
        <f t="array" ref="G40">IF(X40="","",INDEX('Inventory - P16'!$I$16:$I$27,(INT((X40-1)/4)+1)))</f>
        <v/>
      </c>
      <c r="H40" s="7" t="str">
        <f t="array" ref="H40">IF(X40="","",INDEX('Inventory - P16'!$J$16:$J$27,(INT((X40-1)/4)+1)))</f>
        <v/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">
        <f>SMALL($AB$67:$AB$114,4)</f>
        <v>9</v>
      </c>
      <c r="X40" s="2" t="str">
        <f t="shared" si="8"/>
        <v/>
      </c>
    </row>
    <row r="41" spans="1:24" ht="15" customHeight="1">
      <c r="A41" s="7" t="str">
        <f t="shared" si="6"/>
        <v/>
      </c>
      <c r="B41" s="7" t="str">
        <f t="shared" si="7"/>
        <v/>
      </c>
      <c r="C41" s="14" t="str">
        <f t="array" ref="C41">IF(X41="","",INDEX('Inventory - P16'!$B$16:$B$27,(INT((X41-1)/4)+1))&amp;IF(INDEX('Inventory - P16'!$C$16:$C$27,(INT((X41-1)/4)+1))="",""," ("&amp;INDEX('Inventory - P16'!$C$16:$C$27,(INT((X41-1)/4)+1))&amp;" mg)"))</f>
        <v/>
      </c>
      <c r="D41" s="7" t="str">
        <f t="array" ref="D41">IF(X41="","",INDEX('Inventory - P16'!$K$16:$K$27,(INT((X41-1)/4)+1))-SUMPRODUCT(($B$10:$B$61=B41)*(($I$10:$I$61&lt;&gt;"")+($K$10:$K$61&lt;&gt;"")+($M$10:$M$61&lt;&gt;"")+($O$10:$O$61&lt;&gt;"")+($Q$10:$Q$61&lt;&gt;"")+($S$10:$S$61&lt;&gt;"")+($U$10:$U$61&lt;&gt;""))))</f>
        <v/>
      </c>
      <c r="E41" s="7" t="str">
        <f t="array" ref="E41">IF(X41="","",INDEX('Inventory - P16'!$D$16:$D$27,(INT((X41-1)/4)+1)))</f>
        <v/>
      </c>
      <c r="F41" s="7" t="str">
        <f t="array" ref="F41">IF(X41="","",INDEX('Inventory - P16'!$E$16:$E$27,(INT((X41-1)/4)+1)))</f>
        <v/>
      </c>
      <c r="G41" s="7" t="str">
        <f t="array" ref="G41">IF(X41="","",INDEX('Inventory - P16'!$I$16:$I$27,(INT((X41-1)/4)+1)))</f>
        <v/>
      </c>
      <c r="H41" s="7" t="str">
        <f t="array" ref="H41">IF(X41="","",INDEX('Inventory - P16'!$J$16:$J$27,(INT((X41-1)/4)+1)))</f>
        <v/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">
        <f>SMALL($AB$67:$AB$114,5)</f>
        <v>9</v>
      </c>
      <c r="X41" s="2" t="str">
        <f t="shared" si="8"/>
        <v/>
      </c>
    </row>
    <row r="42" spans="1:24" ht="15" customHeight="1">
      <c r="A42" s="7" t="str">
        <f t="shared" si="6"/>
        <v/>
      </c>
      <c r="B42" s="7" t="str">
        <f t="shared" si="7"/>
        <v/>
      </c>
      <c r="C42" s="14" t="str">
        <f t="array" ref="C42">IF(X42="","",INDEX('Inventory - P16'!$B$16:$B$27,(INT((X42-1)/4)+1))&amp;IF(INDEX('Inventory - P16'!$C$16:$C$27,(INT((X42-1)/4)+1))="",""," ("&amp;INDEX('Inventory - P16'!$C$16:$C$27,(INT((X42-1)/4)+1))&amp;" mg)"))</f>
        <v/>
      </c>
      <c r="D42" s="7" t="str">
        <f t="array" ref="D42">IF(X42="","",INDEX('Inventory - P16'!$K$16:$K$27,(INT((X42-1)/4)+1))-SUMPRODUCT(($B$10:$B$61=B42)*(($I$10:$I$61&lt;&gt;"")+($K$10:$K$61&lt;&gt;"")+($M$10:$M$61&lt;&gt;"")+($O$10:$O$61&lt;&gt;"")+($Q$10:$Q$61&lt;&gt;"")+($S$10:$S$61&lt;&gt;"")+($U$10:$U$61&lt;&gt;""))))</f>
        <v/>
      </c>
      <c r="E42" s="7" t="str">
        <f t="array" ref="E42">IF(X42="","",INDEX('Inventory - P16'!$D$16:$D$27,(INT((X42-1)/4)+1)))</f>
        <v/>
      </c>
      <c r="F42" s="7" t="str">
        <f t="array" ref="F42">IF(X42="","",INDEX('Inventory - P16'!$E$16:$E$27,(INT((X42-1)/4)+1)))</f>
        <v/>
      </c>
      <c r="G42" s="7" t="str">
        <f t="array" ref="G42">IF(X42="","",INDEX('Inventory - P16'!$I$16:$I$27,(INT((X42-1)/4)+1)))</f>
        <v/>
      </c>
      <c r="H42" s="7" t="str">
        <f t="array" ref="H42">IF(X42="","",INDEX('Inventory - P16'!$J$16:$J$27,(INT((X42-1)/4)+1)))</f>
        <v/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">
        <f>SMALL($AB$67:$AB$114,6)</f>
        <v>9</v>
      </c>
      <c r="X42" s="2" t="str">
        <f t="shared" si="8"/>
        <v/>
      </c>
    </row>
    <row r="43" spans="1:24" ht="15" customHeight="1">
      <c r="A43" s="7" t="str">
        <f t="shared" si="6"/>
        <v/>
      </c>
      <c r="B43" s="7" t="str">
        <f t="shared" si="7"/>
        <v/>
      </c>
      <c r="C43" s="14" t="str">
        <f t="array" ref="C43">IF(X43="","",INDEX('Inventory - P16'!$B$16:$B$27,(INT((X43-1)/4)+1))&amp;IF(INDEX('Inventory - P16'!$C$16:$C$27,(INT((X43-1)/4)+1))="",""," ("&amp;INDEX('Inventory - P16'!$C$16:$C$27,(INT((X43-1)/4)+1))&amp;" mg)"))</f>
        <v/>
      </c>
      <c r="D43" s="7" t="str">
        <f t="array" ref="D43">IF(X43="","",INDEX('Inventory - P16'!$K$16:$K$27,(INT((X43-1)/4)+1))-SUMPRODUCT(($B$10:$B$61=B43)*(($I$10:$I$61&lt;&gt;"")+($K$10:$K$61&lt;&gt;"")+($M$10:$M$61&lt;&gt;"")+($O$10:$O$61&lt;&gt;"")+($Q$10:$Q$61&lt;&gt;"")+($S$10:$S$61&lt;&gt;"")+($U$10:$U$61&lt;&gt;""))))</f>
        <v/>
      </c>
      <c r="E43" s="7" t="str">
        <f t="array" ref="E43">IF(X43="","",INDEX('Inventory - P16'!$D$16:$D$27,(INT((X43-1)/4)+1)))</f>
        <v/>
      </c>
      <c r="F43" s="7" t="str">
        <f t="array" ref="F43">IF(X43="","",INDEX('Inventory - P16'!$E$16:$E$27,(INT((X43-1)/4)+1)))</f>
        <v/>
      </c>
      <c r="G43" s="7" t="str">
        <f t="array" ref="G43">IF(X43="","",INDEX('Inventory - P16'!$I$16:$I$27,(INT((X43-1)/4)+1)))</f>
        <v/>
      </c>
      <c r="H43" s="7" t="str">
        <f t="array" ref="H43">IF(X43="","",INDEX('Inventory - P16'!$J$16:$J$27,(INT((X43-1)/4)+1)))</f>
        <v/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">
        <f>SMALL($AB$67:$AB$114,7)</f>
        <v>9</v>
      </c>
      <c r="X43" s="2" t="str">
        <f t="shared" si="8"/>
        <v/>
      </c>
    </row>
    <row r="44" spans="1:24" ht="15" customHeight="1">
      <c r="A44" s="7" t="str">
        <f t="shared" si="6"/>
        <v/>
      </c>
      <c r="B44" s="7" t="str">
        <f t="shared" si="7"/>
        <v/>
      </c>
      <c r="C44" s="14" t="str">
        <f t="array" ref="C44">IF(X44="","",INDEX('Inventory - P16'!$B$16:$B$27,(INT((X44-1)/4)+1))&amp;IF(INDEX('Inventory - P16'!$C$16:$C$27,(INT((X44-1)/4)+1))="",""," ("&amp;INDEX('Inventory - P16'!$C$16:$C$27,(INT((X44-1)/4)+1))&amp;" mg)"))</f>
        <v/>
      </c>
      <c r="D44" s="7" t="str">
        <f t="array" ref="D44">IF(X44="","",INDEX('Inventory - P16'!$K$16:$K$27,(INT((X44-1)/4)+1))-SUMPRODUCT(($B$10:$B$61=B44)*(($I$10:$I$61&lt;&gt;"")+($K$10:$K$61&lt;&gt;"")+($M$10:$M$61&lt;&gt;"")+($O$10:$O$61&lt;&gt;"")+($Q$10:$Q$61&lt;&gt;"")+($S$10:$S$61&lt;&gt;"")+($U$10:$U$61&lt;&gt;""))))</f>
        <v/>
      </c>
      <c r="E44" s="7" t="str">
        <f t="array" ref="E44">IF(X44="","",INDEX('Inventory - P16'!$D$16:$D$27,(INT((X44-1)/4)+1)))</f>
        <v/>
      </c>
      <c r="F44" s="7" t="str">
        <f t="array" ref="F44">IF(X44="","",INDEX('Inventory - P16'!$E$16:$E$27,(INT((X44-1)/4)+1)))</f>
        <v/>
      </c>
      <c r="G44" s="7" t="str">
        <f t="array" ref="G44">IF(X44="","",INDEX('Inventory - P16'!$I$16:$I$27,(INT((X44-1)/4)+1)))</f>
        <v/>
      </c>
      <c r="H44" s="7" t="str">
        <f t="array" ref="H44">IF(X44="","",INDEX('Inventory - P16'!$J$16:$J$27,(INT((X44-1)/4)+1)))</f>
        <v/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">
        <f>SMALL($AB$67:$AB$114,8)</f>
        <v>9</v>
      </c>
      <c r="X44" s="2" t="str">
        <f t="shared" si="8"/>
        <v/>
      </c>
    </row>
    <row r="45" spans="1:24" ht="15" customHeight="1">
      <c r="A45" s="7" t="str">
        <f t="shared" si="6"/>
        <v/>
      </c>
      <c r="B45" s="7" t="str">
        <f t="shared" si="7"/>
        <v/>
      </c>
      <c r="C45" s="14" t="str">
        <f t="array" ref="C45">IF(X45="","",INDEX('Inventory - P16'!$B$16:$B$27,(INT((X45-1)/4)+1))&amp;IF(INDEX('Inventory - P16'!$C$16:$C$27,(INT((X45-1)/4)+1))="",""," ("&amp;INDEX('Inventory - P16'!$C$16:$C$27,(INT((X45-1)/4)+1))&amp;" mg)"))</f>
        <v/>
      </c>
      <c r="D45" s="7" t="str">
        <f t="array" ref="D45">IF(X45="","",INDEX('Inventory - P16'!$K$16:$K$27,(INT((X45-1)/4)+1))-SUMPRODUCT(($B$10:$B$61=B45)*(($I$10:$I$61&lt;&gt;"")+($K$10:$K$61&lt;&gt;"")+($M$10:$M$61&lt;&gt;"")+($O$10:$O$61&lt;&gt;"")+($Q$10:$Q$61&lt;&gt;"")+($S$10:$S$61&lt;&gt;"")+($U$10:$U$61&lt;&gt;""))))</f>
        <v/>
      </c>
      <c r="E45" s="7" t="str">
        <f t="array" ref="E45">IF(X45="","",INDEX('Inventory - P16'!$D$16:$D$27,(INT((X45-1)/4)+1)))</f>
        <v/>
      </c>
      <c r="F45" s="7" t="str">
        <f t="array" ref="F45">IF(X45="","",INDEX('Inventory - P16'!$E$16:$E$27,(INT((X45-1)/4)+1)))</f>
        <v/>
      </c>
      <c r="G45" s="7" t="str">
        <f t="array" ref="G45">IF(X45="","",INDEX('Inventory - P16'!$I$16:$I$27,(INT((X45-1)/4)+1)))</f>
        <v/>
      </c>
      <c r="H45" s="7" t="str">
        <f t="array" ref="H45">IF(X45="","",INDEX('Inventory - P16'!$J$16:$J$27,(INT((X45-1)/4)+1)))</f>
        <v/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">
        <f>SMALL($AB$67:$AB$114,9)</f>
        <v>9</v>
      </c>
      <c r="X45" s="2" t="str">
        <f t="shared" si="8"/>
        <v/>
      </c>
    </row>
    <row r="46" spans="1:24" ht="15" customHeight="1">
      <c r="A46" s="7" t="str">
        <f t="shared" si="6"/>
        <v/>
      </c>
      <c r="B46" s="7" t="str">
        <f t="shared" si="7"/>
        <v/>
      </c>
      <c r="C46" s="14" t="str">
        <f t="array" ref="C46">IF(X46="","",INDEX('Inventory - P16'!$B$16:$B$27,(INT((X46-1)/4)+1))&amp;IF(INDEX('Inventory - P16'!$C$16:$C$27,(INT((X46-1)/4)+1))="",""," ("&amp;INDEX('Inventory - P16'!$C$16:$C$27,(INT((X46-1)/4)+1))&amp;" mg)"))</f>
        <v/>
      </c>
      <c r="D46" s="7" t="str">
        <f t="array" ref="D46">IF(X46="","",INDEX('Inventory - P16'!$K$16:$K$27,(INT((X46-1)/4)+1))-SUMPRODUCT(($B$10:$B$61=B46)*(($I$10:$I$61&lt;&gt;"")+($K$10:$K$61&lt;&gt;"")+($M$10:$M$61&lt;&gt;"")+($O$10:$O$61&lt;&gt;"")+($Q$10:$Q$61&lt;&gt;"")+($S$10:$S$61&lt;&gt;"")+($U$10:$U$61&lt;&gt;""))))</f>
        <v/>
      </c>
      <c r="E46" s="7" t="str">
        <f t="array" ref="E46">IF(X46="","",INDEX('Inventory - P16'!$D$16:$D$27,(INT((X46-1)/4)+1)))</f>
        <v/>
      </c>
      <c r="F46" s="7" t="str">
        <f t="array" ref="F46">IF(X46="","",INDEX('Inventory - P16'!$E$16:$E$27,(INT((X46-1)/4)+1)))</f>
        <v/>
      </c>
      <c r="G46" s="7" t="str">
        <f t="array" ref="G46">IF(X46="","",INDEX('Inventory - P16'!$I$16:$I$27,(INT((X46-1)/4)+1)))</f>
        <v/>
      </c>
      <c r="H46" s="7" t="str">
        <f t="array" ref="H46">IF(X46="","",INDEX('Inventory - P16'!$J$16:$J$27,(INT((X46-1)/4)+1)))</f>
        <v/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">
        <f>SMALL($AB$67:$AB$114,10)</f>
        <v>9</v>
      </c>
      <c r="X46" s="2" t="str">
        <f t="shared" si="8"/>
        <v/>
      </c>
    </row>
    <row r="47" spans="1:24" ht="15" customHeight="1">
      <c r="A47" s="7" t="str">
        <f t="shared" si="6"/>
        <v/>
      </c>
      <c r="B47" s="7" t="str">
        <f t="shared" si="7"/>
        <v/>
      </c>
      <c r="C47" s="14" t="str">
        <f t="array" ref="C47">IF(X47="","",INDEX('Inventory - P16'!$B$16:$B$27,(INT((X47-1)/4)+1))&amp;IF(INDEX('Inventory - P16'!$C$16:$C$27,(INT((X47-1)/4)+1))="",""," ("&amp;INDEX('Inventory - P16'!$C$16:$C$27,(INT((X47-1)/4)+1))&amp;" mg)"))</f>
        <v/>
      </c>
      <c r="D47" s="7" t="str">
        <f t="array" ref="D47">IF(X47="","",INDEX('Inventory - P16'!$K$16:$K$27,(INT((X47-1)/4)+1))-SUMPRODUCT(($B$10:$B$61=B47)*(($I$10:$I$61&lt;&gt;"")+($K$10:$K$61&lt;&gt;"")+($M$10:$M$61&lt;&gt;"")+($O$10:$O$61&lt;&gt;"")+($Q$10:$Q$61&lt;&gt;"")+($S$10:$S$61&lt;&gt;"")+($U$10:$U$61&lt;&gt;""))))</f>
        <v/>
      </c>
      <c r="E47" s="7" t="str">
        <f t="array" ref="E47">IF(X47="","",INDEX('Inventory - P16'!$D$16:$D$27,(INT((X47-1)/4)+1)))</f>
        <v/>
      </c>
      <c r="F47" s="7" t="str">
        <f t="array" ref="F47">IF(X47="","",INDEX('Inventory - P16'!$E$16:$E$27,(INT((X47-1)/4)+1)))</f>
        <v/>
      </c>
      <c r="G47" s="7" t="str">
        <f t="array" ref="G47">IF(X47="","",INDEX('Inventory - P16'!$I$16:$I$27,(INT((X47-1)/4)+1)))</f>
        <v/>
      </c>
      <c r="H47" s="7" t="str">
        <f t="array" ref="H47">IF(X47="","",INDEX('Inventory - P16'!$J$16:$J$27,(INT((X47-1)/4)+1)))</f>
        <v/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">
        <f>SMALL($AB$67:$AB$114,11)</f>
        <v>9</v>
      </c>
      <c r="X47" s="2" t="str">
        <f t="shared" si="8"/>
        <v/>
      </c>
    </row>
    <row r="48" spans="1:24" ht="15" customHeight="1">
      <c r="A48" s="7" t="str">
        <f t="shared" si="6"/>
        <v/>
      </c>
      <c r="B48" s="7" t="str">
        <f t="shared" si="7"/>
        <v/>
      </c>
      <c r="C48" s="14" t="str">
        <f t="array" ref="C48">IF(X48="","",INDEX('Inventory - P16'!$B$16:$B$27,(INT((X48-1)/4)+1))&amp;IF(INDEX('Inventory - P16'!$C$16:$C$27,(INT((X48-1)/4)+1))="",""," ("&amp;INDEX('Inventory - P16'!$C$16:$C$27,(INT((X48-1)/4)+1))&amp;" mg)"))</f>
        <v/>
      </c>
      <c r="D48" s="7" t="str">
        <f t="array" ref="D48">IF(X48="","",INDEX('Inventory - P16'!$K$16:$K$27,(INT((X48-1)/4)+1))-SUMPRODUCT(($B$10:$B$61=B48)*(($I$10:$I$61&lt;&gt;"")+($K$10:$K$61&lt;&gt;"")+($M$10:$M$61&lt;&gt;"")+($O$10:$O$61&lt;&gt;"")+($Q$10:$Q$61&lt;&gt;"")+($S$10:$S$61&lt;&gt;"")+($U$10:$U$61&lt;&gt;""))))</f>
        <v/>
      </c>
      <c r="E48" s="7" t="str">
        <f t="array" ref="E48">IF(X48="","",INDEX('Inventory - P16'!$D$16:$D$27,(INT((X48-1)/4)+1)))</f>
        <v/>
      </c>
      <c r="F48" s="7" t="str">
        <f t="array" ref="F48">IF(X48="","",INDEX('Inventory - P16'!$E$16:$E$27,(INT((X48-1)/4)+1)))</f>
        <v/>
      </c>
      <c r="G48" s="7" t="str">
        <f t="array" ref="G48">IF(X48="","",INDEX('Inventory - P16'!$I$16:$I$27,(INT((X48-1)/4)+1)))</f>
        <v/>
      </c>
      <c r="H48" s="7" t="str">
        <f t="array" ref="H48">IF(X48="","",INDEX('Inventory - P16'!$J$16:$J$27,(INT((X48-1)/4)+1)))</f>
        <v/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">
        <f>SMALL($AB$67:$AB$114,12)</f>
        <v>9</v>
      </c>
      <c r="X48" s="2" t="str">
        <f t="shared" si="8"/>
        <v/>
      </c>
    </row>
    <row r="49" spans="1:24" ht="15.75" customHeight="1">
      <c r="A49" s="99" t="s">
        <v>223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</row>
    <row r="50" spans="1:24" ht="15" customHeight="1">
      <c r="A50" s="7" t="str">
        <f t="shared" ref="A50:A61" si="9">IF(W50&lt;9,TEXT(W50,"h:mm AM/PM"),"")</f>
        <v/>
      </c>
      <c r="B50" s="7" t="str">
        <f t="shared" ref="B50:B61" si="10">IF(X50="","",(INT((X50-1)/4)+1))</f>
        <v/>
      </c>
      <c r="C50" s="14" t="str">
        <f t="array" ref="C50">IF(X50="","",INDEX('Inventory - P16'!$B$16:$B$27,(INT((X50-1)/4)+1))&amp;IF(INDEX('Inventory - P16'!$C$16:$C$27,(INT((X50-1)/4)+1))="",""," ("&amp;INDEX('Inventory - P16'!$C$16:$C$27,(INT((X50-1)/4)+1))&amp;" mg)"))</f>
        <v/>
      </c>
      <c r="D50" s="7" t="str">
        <f t="array" ref="D50">IF(X50="","",INDEX('Inventory - P16'!$K$16:$K$27,(INT((X50-1)/4)+1))-SUMPRODUCT(($B$10:$B$61=B50)*(($I$10:$I$61&lt;&gt;"")+($K$10:$K$61&lt;&gt;"")+($M$10:$M$61&lt;&gt;"")+($O$10:$O$61&lt;&gt;"")+($Q$10:$Q$61&lt;&gt;"")+($S$10:$S$61&lt;&gt;"")+($U$10:$U$61&lt;&gt;""))))</f>
        <v/>
      </c>
      <c r="E50" s="7" t="str">
        <f t="array" ref="E50">IF(X50="","",INDEX('Inventory - P16'!$D$16:$D$27,(INT((X50-1)/4)+1)))</f>
        <v/>
      </c>
      <c r="F50" s="7" t="str">
        <f t="array" ref="F50">IF(X50="","",INDEX('Inventory - P16'!$E$16:$E$27,(INT((X50-1)/4)+1)))</f>
        <v/>
      </c>
      <c r="G50" s="7" t="str">
        <f t="array" ref="G50">IF(X50="","",INDEX('Inventory - P16'!$I$16:$I$27,(INT((X50-1)/4)+1)))</f>
        <v/>
      </c>
      <c r="H50" s="7" t="str">
        <f t="array" ref="H50">IF(X50="","",INDEX('Inventory - P16'!$J$16:$J$27,(INT((X50-1)/4)+1)))</f>
        <v/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">
        <f>SMALL($AC$67:$AC$114,1)</f>
        <v>9</v>
      </c>
      <c r="X50" s="2" t="str">
        <f t="shared" ref="X50:X61" si="11">IF(W50&lt;9,MATCH(W50,$AC$67:$AC$114,0),"")</f>
        <v/>
      </c>
    </row>
    <row r="51" spans="1:24" ht="15" customHeight="1">
      <c r="A51" s="7" t="str">
        <f t="shared" si="9"/>
        <v/>
      </c>
      <c r="B51" s="7" t="str">
        <f t="shared" si="10"/>
        <v/>
      </c>
      <c r="C51" s="14" t="str">
        <f t="array" ref="C51">IF(X51="","",INDEX('Inventory - P16'!$B$16:$B$27,(INT((X51-1)/4)+1))&amp;IF(INDEX('Inventory - P16'!$C$16:$C$27,(INT((X51-1)/4)+1))="",""," ("&amp;INDEX('Inventory - P16'!$C$16:$C$27,(INT((X51-1)/4)+1))&amp;" mg)"))</f>
        <v/>
      </c>
      <c r="D51" s="7" t="str">
        <f t="array" ref="D51">IF(X51="","",INDEX('Inventory - P16'!$K$16:$K$27,(INT((X51-1)/4)+1))-SUMPRODUCT(($B$10:$B$61=B51)*(($I$10:$I$61&lt;&gt;"")+($K$10:$K$61&lt;&gt;"")+($M$10:$M$61&lt;&gt;"")+($O$10:$O$61&lt;&gt;"")+($Q$10:$Q$61&lt;&gt;"")+($S$10:$S$61&lt;&gt;"")+($U$10:$U$61&lt;&gt;""))))</f>
        <v/>
      </c>
      <c r="E51" s="7" t="str">
        <f t="array" ref="E51">IF(X51="","",INDEX('Inventory - P16'!$D$16:$D$27,(INT((X51-1)/4)+1)))</f>
        <v/>
      </c>
      <c r="F51" s="7" t="str">
        <f t="array" ref="F51">IF(X51="","",INDEX('Inventory - P16'!$E$16:$E$27,(INT((X51-1)/4)+1)))</f>
        <v/>
      </c>
      <c r="G51" s="7" t="str">
        <f t="array" ref="G51">IF(X51="","",INDEX('Inventory - P16'!$I$16:$I$27,(INT((X51-1)/4)+1)))</f>
        <v/>
      </c>
      <c r="H51" s="7" t="str">
        <f t="array" ref="H51">IF(X51="","",INDEX('Inventory - P16'!$J$16:$J$27,(INT((X51-1)/4)+1)))</f>
        <v/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">
        <f>SMALL($AC$67:$AC$114,2)</f>
        <v>9</v>
      </c>
      <c r="X51" s="2" t="str">
        <f t="shared" si="11"/>
        <v/>
      </c>
    </row>
    <row r="52" spans="1:24" ht="15" customHeight="1">
      <c r="A52" s="7" t="str">
        <f t="shared" si="9"/>
        <v/>
      </c>
      <c r="B52" s="7" t="str">
        <f t="shared" si="10"/>
        <v/>
      </c>
      <c r="C52" s="14" t="str">
        <f t="array" ref="C52">IF(X52="","",INDEX('Inventory - P16'!$B$16:$B$27,(INT((X52-1)/4)+1))&amp;IF(INDEX('Inventory - P16'!$C$16:$C$27,(INT((X52-1)/4)+1))="",""," ("&amp;INDEX('Inventory - P16'!$C$16:$C$27,(INT((X52-1)/4)+1))&amp;" mg)"))</f>
        <v/>
      </c>
      <c r="D52" s="7" t="str">
        <f t="array" ref="D52">IF(X52="","",INDEX('Inventory - P16'!$K$16:$K$27,(INT((X52-1)/4)+1))-SUMPRODUCT(($B$10:$B$61=B52)*(($I$10:$I$61&lt;&gt;"")+($K$10:$K$61&lt;&gt;"")+($M$10:$M$61&lt;&gt;"")+($O$10:$O$61&lt;&gt;"")+($Q$10:$Q$61&lt;&gt;"")+($S$10:$S$61&lt;&gt;"")+($U$10:$U$61&lt;&gt;""))))</f>
        <v/>
      </c>
      <c r="E52" s="7" t="str">
        <f t="array" ref="E52">IF(X52="","",INDEX('Inventory - P16'!$D$16:$D$27,(INT((X52-1)/4)+1)))</f>
        <v/>
      </c>
      <c r="F52" s="7" t="str">
        <f t="array" ref="F52">IF(X52="","",INDEX('Inventory - P16'!$E$16:$E$27,(INT((X52-1)/4)+1)))</f>
        <v/>
      </c>
      <c r="G52" s="7" t="str">
        <f t="array" ref="G52">IF(X52="","",INDEX('Inventory - P16'!$I$16:$I$27,(INT((X52-1)/4)+1)))</f>
        <v/>
      </c>
      <c r="H52" s="7" t="str">
        <f t="array" ref="H52">IF(X52="","",INDEX('Inventory - P16'!$J$16:$J$27,(INT((X52-1)/4)+1)))</f>
        <v/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">
        <f>SMALL($AC$67:$AC$114,3)</f>
        <v>9</v>
      </c>
      <c r="X52" s="2" t="str">
        <f t="shared" si="11"/>
        <v/>
      </c>
    </row>
    <row r="53" spans="1:24" ht="15" customHeight="1">
      <c r="A53" s="7" t="str">
        <f t="shared" si="9"/>
        <v/>
      </c>
      <c r="B53" s="7" t="str">
        <f t="shared" si="10"/>
        <v/>
      </c>
      <c r="C53" s="14" t="str">
        <f t="array" ref="C53">IF(X53="","",INDEX('Inventory - P16'!$B$16:$B$27,(INT((X53-1)/4)+1))&amp;IF(INDEX('Inventory - P16'!$C$16:$C$27,(INT((X53-1)/4)+1))="",""," ("&amp;INDEX('Inventory - P16'!$C$16:$C$27,(INT((X53-1)/4)+1))&amp;" mg)"))</f>
        <v/>
      </c>
      <c r="D53" s="7" t="str">
        <f t="array" ref="D53">IF(X53="","",INDEX('Inventory - P16'!$K$16:$K$27,(INT((X53-1)/4)+1))-SUMPRODUCT(($B$10:$B$61=B53)*(($I$10:$I$61&lt;&gt;"")+($K$10:$K$61&lt;&gt;"")+($M$10:$M$61&lt;&gt;"")+($O$10:$O$61&lt;&gt;"")+($Q$10:$Q$61&lt;&gt;"")+($S$10:$S$61&lt;&gt;"")+($U$10:$U$61&lt;&gt;""))))</f>
        <v/>
      </c>
      <c r="E53" s="7" t="str">
        <f t="array" ref="E53">IF(X53="","",INDEX('Inventory - P16'!$D$16:$D$27,(INT((X53-1)/4)+1)))</f>
        <v/>
      </c>
      <c r="F53" s="7" t="str">
        <f t="array" ref="F53">IF(X53="","",INDEX('Inventory - P16'!$E$16:$E$27,(INT((X53-1)/4)+1)))</f>
        <v/>
      </c>
      <c r="G53" s="7" t="str">
        <f t="array" ref="G53">IF(X53="","",INDEX('Inventory - P16'!$I$16:$I$27,(INT((X53-1)/4)+1)))</f>
        <v/>
      </c>
      <c r="H53" s="7" t="str">
        <f t="array" ref="H53">IF(X53="","",INDEX('Inventory - P16'!$J$16:$J$27,(INT((X53-1)/4)+1)))</f>
        <v/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">
        <f>SMALL($AC$67:$AC$114,4)</f>
        <v>9</v>
      </c>
      <c r="X53" s="2" t="str">
        <f t="shared" si="11"/>
        <v/>
      </c>
    </row>
    <row r="54" spans="1:24" ht="15" customHeight="1">
      <c r="A54" s="7" t="str">
        <f t="shared" si="9"/>
        <v/>
      </c>
      <c r="B54" s="7" t="str">
        <f t="shared" si="10"/>
        <v/>
      </c>
      <c r="C54" s="14" t="str">
        <f t="array" ref="C54">IF(X54="","",INDEX('Inventory - P16'!$B$16:$B$27,(INT((X54-1)/4)+1))&amp;IF(INDEX('Inventory - P16'!$C$16:$C$27,(INT((X54-1)/4)+1))="",""," ("&amp;INDEX('Inventory - P16'!$C$16:$C$27,(INT((X54-1)/4)+1))&amp;" mg)"))</f>
        <v/>
      </c>
      <c r="D54" s="7" t="str">
        <f t="array" ref="D54">IF(X54="","",INDEX('Inventory - P16'!$K$16:$K$27,(INT((X54-1)/4)+1))-SUMPRODUCT(($B$10:$B$61=B54)*(($I$10:$I$61&lt;&gt;"")+($K$10:$K$61&lt;&gt;"")+($M$10:$M$61&lt;&gt;"")+($O$10:$O$61&lt;&gt;"")+($Q$10:$Q$61&lt;&gt;"")+($S$10:$S$61&lt;&gt;"")+($U$10:$U$61&lt;&gt;""))))</f>
        <v/>
      </c>
      <c r="E54" s="7" t="str">
        <f t="array" ref="E54">IF(X54="","",INDEX('Inventory - P16'!$D$16:$D$27,(INT((X54-1)/4)+1)))</f>
        <v/>
      </c>
      <c r="F54" s="7" t="str">
        <f t="array" ref="F54">IF(X54="","",INDEX('Inventory - P16'!$E$16:$E$27,(INT((X54-1)/4)+1)))</f>
        <v/>
      </c>
      <c r="G54" s="7" t="str">
        <f t="array" ref="G54">IF(X54="","",INDEX('Inventory - P16'!$I$16:$I$27,(INT((X54-1)/4)+1)))</f>
        <v/>
      </c>
      <c r="H54" s="7" t="str">
        <f t="array" ref="H54">IF(X54="","",INDEX('Inventory - P16'!$J$16:$J$27,(INT((X54-1)/4)+1)))</f>
        <v/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2">
        <f>SMALL($AC$67:$AC$114,5)</f>
        <v>9</v>
      </c>
      <c r="X54" s="2" t="str">
        <f t="shared" si="11"/>
        <v/>
      </c>
    </row>
    <row r="55" spans="1:24" ht="15" customHeight="1">
      <c r="A55" s="7" t="str">
        <f t="shared" si="9"/>
        <v/>
      </c>
      <c r="B55" s="7" t="str">
        <f t="shared" si="10"/>
        <v/>
      </c>
      <c r="C55" s="14" t="str">
        <f t="array" ref="C55">IF(X55="","",INDEX('Inventory - P16'!$B$16:$B$27,(INT((X55-1)/4)+1))&amp;IF(INDEX('Inventory - P16'!$C$16:$C$27,(INT((X55-1)/4)+1))="",""," ("&amp;INDEX('Inventory - P16'!$C$16:$C$27,(INT((X55-1)/4)+1))&amp;" mg)"))</f>
        <v/>
      </c>
      <c r="D55" s="7" t="str">
        <f t="array" ref="D55">IF(X55="","",INDEX('Inventory - P16'!$K$16:$K$27,(INT((X55-1)/4)+1))-SUMPRODUCT(($B$10:$B$61=B55)*(($I$10:$I$61&lt;&gt;"")+($K$10:$K$61&lt;&gt;"")+($M$10:$M$61&lt;&gt;"")+($O$10:$O$61&lt;&gt;"")+($Q$10:$Q$61&lt;&gt;"")+($S$10:$S$61&lt;&gt;"")+($U$10:$U$61&lt;&gt;""))))</f>
        <v/>
      </c>
      <c r="E55" s="7" t="str">
        <f t="array" ref="E55">IF(X55="","",INDEX('Inventory - P16'!$D$16:$D$27,(INT((X55-1)/4)+1)))</f>
        <v/>
      </c>
      <c r="F55" s="7" t="str">
        <f t="array" ref="F55">IF(X55="","",INDEX('Inventory - P16'!$E$16:$E$27,(INT((X55-1)/4)+1)))</f>
        <v/>
      </c>
      <c r="G55" s="7" t="str">
        <f t="array" ref="G55">IF(X55="","",INDEX('Inventory - P16'!$I$16:$I$27,(INT((X55-1)/4)+1)))</f>
        <v/>
      </c>
      <c r="H55" s="7" t="str">
        <f t="array" ref="H55">IF(X55="","",INDEX('Inventory - P16'!$J$16:$J$27,(INT((X55-1)/4)+1)))</f>
        <v/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2">
        <f>SMALL($AC$67:$AC$114,6)</f>
        <v>9</v>
      </c>
      <c r="X55" s="2" t="str">
        <f t="shared" si="11"/>
        <v/>
      </c>
    </row>
    <row r="56" spans="1:24" ht="15" customHeight="1">
      <c r="A56" s="7" t="str">
        <f t="shared" si="9"/>
        <v/>
      </c>
      <c r="B56" s="7" t="str">
        <f t="shared" si="10"/>
        <v/>
      </c>
      <c r="C56" s="14" t="str">
        <f t="array" ref="C56">IF(X56="","",INDEX('Inventory - P16'!$B$16:$B$27,(INT((X56-1)/4)+1))&amp;IF(INDEX('Inventory - P16'!$C$16:$C$27,(INT((X56-1)/4)+1))="",""," ("&amp;INDEX('Inventory - P16'!$C$16:$C$27,(INT((X56-1)/4)+1))&amp;" mg)"))</f>
        <v/>
      </c>
      <c r="D56" s="7" t="str">
        <f t="array" ref="D56">IF(X56="","",INDEX('Inventory - P16'!$K$16:$K$27,(INT((X56-1)/4)+1))-SUMPRODUCT(($B$10:$B$61=B56)*(($I$10:$I$61&lt;&gt;"")+($K$10:$K$61&lt;&gt;"")+($M$10:$M$61&lt;&gt;"")+($O$10:$O$61&lt;&gt;"")+($Q$10:$Q$61&lt;&gt;"")+($S$10:$S$61&lt;&gt;"")+($U$10:$U$61&lt;&gt;""))))</f>
        <v/>
      </c>
      <c r="E56" s="7" t="str">
        <f t="array" ref="E56">IF(X56="","",INDEX('Inventory - P16'!$D$16:$D$27,(INT((X56-1)/4)+1)))</f>
        <v/>
      </c>
      <c r="F56" s="7" t="str">
        <f t="array" ref="F56">IF(X56="","",INDEX('Inventory - P16'!$E$16:$E$27,(INT((X56-1)/4)+1)))</f>
        <v/>
      </c>
      <c r="G56" s="7" t="str">
        <f t="array" ref="G56">IF(X56="","",INDEX('Inventory - P16'!$I$16:$I$27,(INT((X56-1)/4)+1)))</f>
        <v/>
      </c>
      <c r="H56" s="7" t="str">
        <f t="array" ref="H56">IF(X56="","",INDEX('Inventory - P16'!$J$16:$J$27,(INT((X56-1)/4)+1)))</f>
        <v/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2">
        <f>SMALL($AC$67:$AC$114,7)</f>
        <v>9</v>
      </c>
      <c r="X56" s="2" t="str">
        <f t="shared" si="11"/>
        <v/>
      </c>
    </row>
    <row r="57" spans="1:24" ht="15" customHeight="1">
      <c r="A57" s="7" t="str">
        <f t="shared" si="9"/>
        <v/>
      </c>
      <c r="B57" s="7" t="str">
        <f t="shared" si="10"/>
        <v/>
      </c>
      <c r="C57" s="14" t="str">
        <f t="array" ref="C57">IF(X57="","",INDEX('Inventory - P16'!$B$16:$B$27,(INT((X57-1)/4)+1))&amp;IF(INDEX('Inventory - P16'!$C$16:$C$27,(INT((X57-1)/4)+1))="",""," ("&amp;INDEX('Inventory - P16'!$C$16:$C$27,(INT((X57-1)/4)+1))&amp;" mg)"))</f>
        <v/>
      </c>
      <c r="D57" s="7" t="str">
        <f t="array" ref="D57">IF(X57="","",INDEX('Inventory - P16'!$K$16:$K$27,(INT((X57-1)/4)+1))-SUMPRODUCT(($B$10:$B$61=B57)*(($I$10:$I$61&lt;&gt;"")+($K$10:$K$61&lt;&gt;"")+($M$10:$M$61&lt;&gt;"")+($O$10:$O$61&lt;&gt;"")+($Q$10:$Q$61&lt;&gt;"")+($S$10:$S$61&lt;&gt;"")+($U$10:$U$61&lt;&gt;""))))</f>
        <v/>
      </c>
      <c r="E57" s="7" t="str">
        <f t="array" ref="E57">IF(X57="","",INDEX('Inventory - P16'!$D$16:$D$27,(INT((X57-1)/4)+1)))</f>
        <v/>
      </c>
      <c r="F57" s="7" t="str">
        <f t="array" ref="F57">IF(X57="","",INDEX('Inventory - P16'!$E$16:$E$27,(INT((X57-1)/4)+1)))</f>
        <v/>
      </c>
      <c r="G57" s="7" t="str">
        <f t="array" ref="G57">IF(X57="","",INDEX('Inventory - P16'!$I$16:$I$27,(INT((X57-1)/4)+1)))</f>
        <v/>
      </c>
      <c r="H57" s="7" t="str">
        <f t="array" ref="H57">IF(X57="","",INDEX('Inventory - P16'!$J$16:$J$27,(INT((X57-1)/4)+1)))</f>
        <v/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2">
        <f>SMALL($AC$67:$AC$114,8)</f>
        <v>9</v>
      </c>
      <c r="X57" s="2" t="str">
        <f t="shared" si="11"/>
        <v/>
      </c>
    </row>
    <row r="58" spans="1:24" ht="15" customHeight="1">
      <c r="A58" s="7" t="str">
        <f t="shared" si="9"/>
        <v/>
      </c>
      <c r="B58" s="7" t="str">
        <f t="shared" si="10"/>
        <v/>
      </c>
      <c r="C58" s="14" t="str">
        <f t="array" ref="C58">IF(X58="","",INDEX('Inventory - P16'!$B$16:$B$27,(INT((X58-1)/4)+1))&amp;IF(INDEX('Inventory - P16'!$C$16:$C$27,(INT((X58-1)/4)+1))="",""," ("&amp;INDEX('Inventory - P16'!$C$16:$C$27,(INT((X58-1)/4)+1))&amp;" mg)"))</f>
        <v/>
      </c>
      <c r="D58" s="7" t="str">
        <f t="array" ref="D58">IF(X58="","",INDEX('Inventory - P16'!$K$16:$K$27,(INT((X58-1)/4)+1))-SUMPRODUCT(($B$10:$B$61=B58)*(($I$10:$I$61&lt;&gt;"")+($K$10:$K$61&lt;&gt;"")+($M$10:$M$61&lt;&gt;"")+($O$10:$O$61&lt;&gt;"")+($Q$10:$Q$61&lt;&gt;"")+($S$10:$S$61&lt;&gt;"")+($U$10:$U$61&lt;&gt;""))))</f>
        <v/>
      </c>
      <c r="E58" s="7" t="str">
        <f t="array" ref="E58">IF(X58="","",INDEX('Inventory - P16'!$D$16:$D$27,(INT((X58-1)/4)+1)))</f>
        <v/>
      </c>
      <c r="F58" s="7" t="str">
        <f t="array" ref="F58">IF(X58="","",INDEX('Inventory - P16'!$E$16:$E$27,(INT((X58-1)/4)+1)))</f>
        <v/>
      </c>
      <c r="G58" s="7" t="str">
        <f t="array" ref="G58">IF(X58="","",INDEX('Inventory - P16'!$I$16:$I$27,(INT((X58-1)/4)+1)))</f>
        <v/>
      </c>
      <c r="H58" s="7" t="str">
        <f t="array" ref="H58">IF(X58="","",INDEX('Inventory - P16'!$J$16:$J$27,(INT((X58-1)/4)+1)))</f>
        <v/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2">
        <f>SMALL($AC$67:$AC$114,9)</f>
        <v>9</v>
      </c>
      <c r="X58" s="2" t="str">
        <f t="shared" si="11"/>
        <v/>
      </c>
    </row>
    <row r="59" spans="1:24" ht="15" customHeight="1">
      <c r="A59" s="7" t="str">
        <f t="shared" si="9"/>
        <v/>
      </c>
      <c r="B59" s="7" t="str">
        <f t="shared" si="10"/>
        <v/>
      </c>
      <c r="C59" s="14" t="str">
        <f t="array" ref="C59">IF(X59="","",INDEX('Inventory - P16'!$B$16:$B$27,(INT((X59-1)/4)+1))&amp;IF(INDEX('Inventory - P16'!$C$16:$C$27,(INT((X59-1)/4)+1))="",""," ("&amp;INDEX('Inventory - P16'!$C$16:$C$27,(INT((X59-1)/4)+1))&amp;" mg)"))</f>
        <v/>
      </c>
      <c r="D59" s="7" t="str">
        <f t="array" ref="D59">IF(X59="","",INDEX('Inventory - P16'!$K$16:$K$27,(INT((X59-1)/4)+1))-SUMPRODUCT(($B$10:$B$61=B59)*(($I$10:$I$61&lt;&gt;"")+($K$10:$K$61&lt;&gt;"")+($M$10:$M$61&lt;&gt;"")+($O$10:$O$61&lt;&gt;"")+($Q$10:$Q$61&lt;&gt;"")+($S$10:$S$61&lt;&gt;"")+($U$10:$U$61&lt;&gt;""))))</f>
        <v/>
      </c>
      <c r="E59" s="7" t="str">
        <f t="array" ref="E59">IF(X59="","",INDEX('Inventory - P16'!$D$16:$D$27,(INT((X59-1)/4)+1)))</f>
        <v/>
      </c>
      <c r="F59" s="7" t="str">
        <f t="array" ref="F59">IF(X59="","",INDEX('Inventory - P16'!$E$16:$E$27,(INT((X59-1)/4)+1)))</f>
        <v/>
      </c>
      <c r="G59" s="7" t="str">
        <f t="array" ref="G59">IF(X59="","",INDEX('Inventory - P16'!$I$16:$I$27,(INT((X59-1)/4)+1)))</f>
        <v/>
      </c>
      <c r="H59" s="7" t="str">
        <f t="array" ref="H59">IF(X59="","",INDEX('Inventory - P16'!$J$16:$J$27,(INT((X59-1)/4)+1)))</f>
        <v/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2">
        <f>SMALL($AC$67:$AC$114,10)</f>
        <v>9</v>
      </c>
      <c r="X59" s="2" t="str">
        <f t="shared" si="11"/>
        <v/>
      </c>
    </row>
    <row r="60" spans="1:24" ht="15" customHeight="1">
      <c r="A60" s="7" t="str">
        <f t="shared" si="9"/>
        <v/>
      </c>
      <c r="B60" s="7" t="str">
        <f t="shared" si="10"/>
        <v/>
      </c>
      <c r="C60" s="14" t="str">
        <f t="array" ref="C60">IF(X60="","",INDEX('Inventory - P16'!$B$16:$B$27,(INT((X60-1)/4)+1))&amp;IF(INDEX('Inventory - P16'!$C$16:$C$27,(INT((X60-1)/4)+1))="",""," ("&amp;INDEX('Inventory - P16'!$C$16:$C$27,(INT((X60-1)/4)+1))&amp;" mg)"))</f>
        <v/>
      </c>
      <c r="D60" s="7" t="str">
        <f t="array" ref="D60">IF(X60="","",INDEX('Inventory - P16'!$K$16:$K$27,(INT((X60-1)/4)+1))-SUMPRODUCT(($B$10:$B$61=B60)*(($I$10:$I$61&lt;&gt;"")+($K$10:$K$61&lt;&gt;"")+($M$10:$M$61&lt;&gt;"")+($O$10:$O$61&lt;&gt;"")+($Q$10:$Q$61&lt;&gt;"")+($S$10:$S$61&lt;&gt;"")+($U$10:$U$61&lt;&gt;""))))</f>
        <v/>
      </c>
      <c r="E60" s="7" t="str">
        <f t="array" ref="E60">IF(X60="","",INDEX('Inventory - P16'!$D$16:$D$27,(INT((X60-1)/4)+1)))</f>
        <v/>
      </c>
      <c r="F60" s="7" t="str">
        <f t="array" ref="F60">IF(X60="","",INDEX('Inventory - P16'!$E$16:$E$27,(INT((X60-1)/4)+1)))</f>
        <v/>
      </c>
      <c r="G60" s="7" t="str">
        <f t="array" ref="G60">IF(X60="","",INDEX('Inventory - P16'!$I$16:$I$27,(INT((X60-1)/4)+1)))</f>
        <v/>
      </c>
      <c r="H60" s="7" t="str">
        <f t="array" ref="H60">IF(X60="","",INDEX('Inventory - P16'!$J$16:$J$27,(INT((X60-1)/4)+1)))</f>
        <v/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2">
        <f>SMALL($AC$67:$AC$114,11)</f>
        <v>9</v>
      </c>
      <c r="X60" s="2" t="str">
        <f t="shared" si="11"/>
        <v/>
      </c>
    </row>
    <row r="61" spans="1:24" ht="15" customHeight="1">
      <c r="A61" s="7" t="str">
        <f t="shared" si="9"/>
        <v/>
      </c>
      <c r="B61" s="7" t="str">
        <f t="shared" si="10"/>
        <v/>
      </c>
      <c r="C61" s="14" t="str">
        <f t="array" ref="C61">IF(X61="","",INDEX('Inventory - P16'!$B$16:$B$27,(INT((X61-1)/4)+1))&amp;IF(INDEX('Inventory - P16'!$C$16:$C$27,(INT((X61-1)/4)+1))="",""," ("&amp;INDEX('Inventory - P16'!$C$16:$C$27,(INT((X61-1)/4)+1))&amp;" mg)"))</f>
        <v/>
      </c>
      <c r="D61" s="7" t="str">
        <f t="array" ref="D61">IF(X61="","",INDEX('Inventory - P16'!$K$16:$K$27,(INT((X61-1)/4)+1))-SUMPRODUCT(($B$10:$B$61=B61)*(($I$10:$I$61&lt;&gt;"")+($K$10:$K$61&lt;&gt;"")+($M$10:$M$61&lt;&gt;"")+($O$10:$O$61&lt;&gt;"")+($Q$10:$Q$61&lt;&gt;"")+($S$10:$S$61&lt;&gt;"")+($U$10:$U$61&lt;&gt;""))))</f>
        <v/>
      </c>
      <c r="E61" s="7" t="str">
        <f t="array" ref="E61">IF(X61="","",INDEX('Inventory - P16'!$D$16:$D$27,(INT((X61-1)/4)+1)))</f>
        <v/>
      </c>
      <c r="F61" s="7" t="str">
        <f t="array" ref="F61">IF(X61="","",INDEX('Inventory - P16'!$E$16:$E$27,(INT((X61-1)/4)+1)))</f>
        <v/>
      </c>
      <c r="G61" s="7" t="str">
        <f t="array" ref="G61">IF(X61="","",INDEX('Inventory - P16'!$I$16:$I$27,(INT((X61-1)/4)+1)))</f>
        <v/>
      </c>
      <c r="H61" s="7" t="str">
        <f t="array" ref="H61">IF(X61="","",INDEX('Inventory - P16'!$J$16:$J$27,(INT((X61-1)/4)+1)))</f>
        <v/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2">
        <f>SMALL($AC$67:$AC$114,12)</f>
        <v>9</v>
      </c>
      <c r="X61" s="2" t="str">
        <f t="shared" si="11"/>
        <v/>
      </c>
    </row>
    <row r="67" spans="25:29" ht="15" hidden="1" customHeight="1">
      <c r="Y67" s="2">
        <f>IF(OR('Inventory - P16'!E16&lt;1,'Inventory - P16'!F16="",'Inventory - P16'!G16=""),9,MOD('Inventory - P16'!F16+0*'Inventory - P16'!G16/24,1))</f>
        <v>9</v>
      </c>
      <c r="Z67" s="2">
        <f>IF(Y67=9,9,IF(AND(Y67&gt;=6/24,Y67&lt;12/24),Y67+0*0.000000001,9))</f>
        <v>9</v>
      </c>
      <c r="AA67" s="2">
        <f>IF(Y67=9,9,IF(AND(Y67&gt;=12/24,Y67&lt;17/24),Y67+0*0.000000001,9))</f>
        <v>9</v>
      </c>
      <c r="AB67" s="2">
        <f>IF(Y67=9,9,IF(AND(Y67&gt;=17/24,Y67&lt;20/24),Y67+0*0.000000001,9))</f>
        <v>9</v>
      </c>
      <c r="AC67" s="2">
        <f>IF(Y67=9,9,IF(OR(Y67&gt;=20/24,Y67&lt;6/24),Y67+0*0.000000001,9))</f>
        <v>9</v>
      </c>
    </row>
    <row r="68" spans="25:29" ht="15" hidden="1" customHeight="1">
      <c r="Y68" s="2">
        <f>IF(OR('Inventory - P16'!E16&lt;2,'Inventory - P16'!F16="",'Inventory - P16'!G16=""),9,MOD('Inventory - P16'!F16+1*'Inventory - P16'!G16/24,1))</f>
        <v>9</v>
      </c>
      <c r="Z68" s="2">
        <f>IF(Y68=9,9,IF(AND(Y68&gt;=6/24,Y68&lt;12/24),Y68+1*0.000000001,9))</f>
        <v>9</v>
      </c>
      <c r="AA68" s="2">
        <f>IF(Y68=9,9,IF(AND(Y68&gt;=12/24,Y68&lt;17/24),Y68+1*0.000000001,9))</f>
        <v>9</v>
      </c>
      <c r="AB68" s="2">
        <f>IF(Y68=9,9,IF(AND(Y68&gt;=17/24,Y68&lt;20/24),Y68+1*0.000000001,9))</f>
        <v>9</v>
      </c>
      <c r="AC68" s="2">
        <f>IF(Y68=9,9,IF(OR(Y68&gt;=20/24,Y68&lt;6/24),Y68+1*0.000000001,9))</f>
        <v>9</v>
      </c>
    </row>
    <row r="69" spans="25:29" ht="15" hidden="1" customHeight="1">
      <c r="Y69" s="2">
        <f>IF(OR('Inventory - P16'!E16&lt;3,'Inventory - P16'!F16="",'Inventory - P16'!G16=""),9,MOD('Inventory - P16'!F16+2*'Inventory - P16'!G16/24,1))</f>
        <v>9</v>
      </c>
      <c r="Z69" s="2">
        <f>IF(Y69=9,9,IF(AND(Y69&gt;=6/24,Y69&lt;12/24),Y69+2*0.000000001,9))</f>
        <v>9</v>
      </c>
      <c r="AA69" s="2">
        <f>IF(Y69=9,9,IF(AND(Y69&gt;=12/24,Y69&lt;17/24),Y69+2*0.000000001,9))</f>
        <v>9</v>
      </c>
      <c r="AB69" s="2">
        <f>IF(Y69=9,9,IF(AND(Y69&gt;=17/24,Y69&lt;20/24),Y69+2*0.000000001,9))</f>
        <v>9</v>
      </c>
      <c r="AC69" s="2">
        <f>IF(Y69=9,9,IF(OR(Y69&gt;=20/24,Y69&lt;6/24),Y69+2*0.000000001,9))</f>
        <v>9</v>
      </c>
    </row>
    <row r="70" spans="25:29" ht="15" hidden="1" customHeight="1">
      <c r="Y70" s="2">
        <f>IF(OR('Inventory - P16'!E16&lt;4,'Inventory - P16'!F16="",'Inventory - P16'!G16=""),9,MOD('Inventory - P16'!F16+3*'Inventory - P16'!G16/24,1))</f>
        <v>9</v>
      </c>
      <c r="Z70" s="2">
        <f>IF(Y70=9,9,IF(AND(Y70&gt;=6/24,Y70&lt;12/24),Y70+3*0.000000001,9))</f>
        <v>9</v>
      </c>
      <c r="AA70" s="2">
        <f>IF(Y70=9,9,IF(AND(Y70&gt;=12/24,Y70&lt;17/24),Y70+3*0.000000001,9))</f>
        <v>9</v>
      </c>
      <c r="AB70" s="2">
        <f>IF(Y70=9,9,IF(AND(Y70&gt;=17/24,Y70&lt;20/24),Y70+3*0.000000001,9))</f>
        <v>9</v>
      </c>
      <c r="AC70" s="2">
        <f>IF(Y70=9,9,IF(OR(Y70&gt;=20/24,Y70&lt;6/24),Y70+3*0.000000001,9))</f>
        <v>9</v>
      </c>
    </row>
    <row r="71" spans="25:29" ht="15" hidden="1" customHeight="1">
      <c r="Y71" s="2">
        <f>IF(OR('Inventory - P16'!E17&lt;1,'Inventory - P16'!F17="",'Inventory - P16'!G17=""),9,MOD('Inventory - P16'!F17+0*'Inventory - P16'!G17/24,1))</f>
        <v>9</v>
      </c>
      <c r="Z71" s="2">
        <f>IF(Y71=9,9,IF(AND(Y71&gt;=6/24,Y71&lt;12/24),Y71+4*0.000000001,9))</f>
        <v>9</v>
      </c>
      <c r="AA71" s="2">
        <f>IF(Y71=9,9,IF(AND(Y71&gt;=12/24,Y71&lt;17/24),Y71+4*0.000000001,9))</f>
        <v>9</v>
      </c>
      <c r="AB71" s="2">
        <f>IF(Y71=9,9,IF(AND(Y71&gt;=17/24,Y71&lt;20/24),Y71+4*0.000000001,9))</f>
        <v>9</v>
      </c>
      <c r="AC71" s="2">
        <f>IF(Y71=9,9,IF(OR(Y71&gt;=20/24,Y71&lt;6/24),Y71+4*0.000000001,9))</f>
        <v>9</v>
      </c>
    </row>
    <row r="72" spans="25:29" ht="15" hidden="1" customHeight="1">
      <c r="Y72" s="2">
        <f>IF(OR('Inventory - P16'!E17&lt;2,'Inventory - P16'!F17="",'Inventory - P16'!G17=""),9,MOD('Inventory - P16'!F17+1*'Inventory - P16'!G17/24,1))</f>
        <v>9</v>
      </c>
      <c r="Z72" s="2">
        <f>IF(Y72=9,9,IF(AND(Y72&gt;=6/24,Y72&lt;12/24),Y72+5*0.000000001,9))</f>
        <v>9</v>
      </c>
      <c r="AA72" s="2">
        <f>IF(Y72=9,9,IF(AND(Y72&gt;=12/24,Y72&lt;17/24),Y72+5*0.000000001,9))</f>
        <v>9</v>
      </c>
      <c r="AB72" s="2">
        <f>IF(Y72=9,9,IF(AND(Y72&gt;=17/24,Y72&lt;20/24),Y72+5*0.000000001,9))</f>
        <v>9</v>
      </c>
      <c r="AC72" s="2">
        <f>IF(Y72=9,9,IF(OR(Y72&gt;=20/24,Y72&lt;6/24),Y72+5*0.000000001,9))</f>
        <v>9</v>
      </c>
    </row>
    <row r="73" spans="25:29" ht="15" hidden="1" customHeight="1">
      <c r="Y73" s="2">
        <f>IF(OR('Inventory - P16'!E17&lt;3,'Inventory - P16'!F17="",'Inventory - P16'!G17=""),9,MOD('Inventory - P16'!F17+2*'Inventory - P16'!G17/24,1))</f>
        <v>9</v>
      </c>
      <c r="Z73" s="2">
        <f>IF(Y73=9,9,IF(AND(Y73&gt;=6/24,Y73&lt;12/24),Y73+6*0.000000001,9))</f>
        <v>9</v>
      </c>
      <c r="AA73" s="2">
        <f>IF(Y73=9,9,IF(AND(Y73&gt;=12/24,Y73&lt;17/24),Y73+6*0.000000001,9))</f>
        <v>9</v>
      </c>
      <c r="AB73" s="2">
        <f>IF(Y73=9,9,IF(AND(Y73&gt;=17/24,Y73&lt;20/24),Y73+6*0.000000001,9))</f>
        <v>9</v>
      </c>
      <c r="AC73" s="2">
        <f>IF(Y73=9,9,IF(OR(Y73&gt;=20/24,Y73&lt;6/24),Y73+6*0.000000001,9))</f>
        <v>9</v>
      </c>
    </row>
    <row r="74" spans="25:29" ht="15" hidden="1" customHeight="1">
      <c r="Y74" s="2">
        <f>IF(OR('Inventory - P16'!E17&lt;4,'Inventory - P16'!F17="",'Inventory - P16'!G17=""),9,MOD('Inventory - P16'!F17+3*'Inventory - P16'!G17/24,1))</f>
        <v>9</v>
      </c>
      <c r="Z74" s="2">
        <f>IF(Y74=9,9,IF(AND(Y74&gt;=6/24,Y74&lt;12/24),Y74+7*0.000000001,9))</f>
        <v>9</v>
      </c>
      <c r="AA74" s="2">
        <f>IF(Y74=9,9,IF(AND(Y74&gt;=12/24,Y74&lt;17/24),Y74+7*0.000000001,9))</f>
        <v>9</v>
      </c>
      <c r="AB74" s="2">
        <f>IF(Y74=9,9,IF(AND(Y74&gt;=17/24,Y74&lt;20/24),Y74+7*0.000000001,9))</f>
        <v>9</v>
      </c>
      <c r="AC74" s="2">
        <f>IF(Y74=9,9,IF(OR(Y74&gt;=20/24,Y74&lt;6/24),Y74+7*0.000000001,9))</f>
        <v>9</v>
      </c>
    </row>
    <row r="75" spans="25:29" ht="15" hidden="1" customHeight="1">
      <c r="Y75" s="2">
        <f>IF(OR('Inventory - P16'!E18&lt;1,'Inventory - P16'!F18="",'Inventory - P16'!G18=""),9,MOD('Inventory - P16'!F18+0*'Inventory - P16'!G18/24,1))</f>
        <v>9</v>
      </c>
      <c r="Z75" s="2">
        <f>IF(Y75=9,9,IF(AND(Y75&gt;=6/24,Y75&lt;12/24),Y75+8*0.000000001,9))</f>
        <v>9</v>
      </c>
      <c r="AA75" s="2">
        <f>IF(Y75=9,9,IF(AND(Y75&gt;=12/24,Y75&lt;17/24),Y75+8*0.000000001,9))</f>
        <v>9</v>
      </c>
      <c r="AB75" s="2">
        <f>IF(Y75=9,9,IF(AND(Y75&gt;=17/24,Y75&lt;20/24),Y75+8*0.000000001,9))</f>
        <v>9</v>
      </c>
      <c r="AC75" s="2">
        <f>IF(Y75=9,9,IF(OR(Y75&gt;=20/24,Y75&lt;6/24),Y75+8*0.000000001,9))</f>
        <v>9</v>
      </c>
    </row>
    <row r="76" spans="25:29" ht="15" hidden="1" customHeight="1">
      <c r="Y76" s="2">
        <f>IF(OR('Inventory - P16'!E18&lt;2,'Inventory - P16'!F18="",'Inventory - P16'!G18=""),9,MOD('Inventory - P16'!F18+1*'Inventory - P16'!G18/24,1))</f>
        <v>9</v>
      </c>
      <c r="Z76" s="2">
        <f>IF(Y76=9,9,IF(AND(Y76&gt;=6/24,Y76&lt;12/24),Y76+9*0.000000001,9))</f>
        <v>9</v>
      </c>
      <c r="AA76" s="2">
        <f>IF(Y76=9,9,IF(AND(Y76&gt;=12/24,Y76&lt;17/24),Y76+9*0.000000001,9))</f>
        <v>9</v>
      </c>
      <c r="AB76" s="2">
        <f>IF(Y76=9,9,IF(AND(Y76&gt;=17/24,Y76&lt;20/24),Y76+9*0.000000001,9))</f>
        <v>9</v>
      </c>
      <c r="AC76" s="2">
        <f>IF(Y76=9,9,IF(OR(Y76&gt;=20/24,Y76&lt;6/24),Y76+9*0.000000001,9))</f>
        <v>9</v>
      </c>
    </row>
    <row r="77" spans="25:29" ht="15" hidden="1" customHeight="1">
      <c r="Y77" s="2">
        <f>IF(OR('Inventory - P16'!E18&lt;3,'Inventory - P16'!F18="",'Inventory - P16'!G18=""),9,MOD('Inventory - P16'!F18+2*'Inventory - P16'!G18/24,1))</f>
        <v>9</v>
      </c>
      <c r="Z77" s="2">
        <f>IF(Y77=9,9,IF(AND(Y77&gt;=6/24,Y77&lt;12/24),Y77+10*0.000000001,9))</f>
        <v>9</v>
      </c>
      <c r="AA77" s="2">
        <f>IF(Y77=9,9,IF(AND(Y77&gt;=12/24,Y77&lt;17/24),Y77+10*0.000000001,9))</f>
        <v>9</v>
      </c>
      <c r="AB77" s="2">
        <f>IF(Y77=9,9,IF(AND(Y77&gt;=17/24,Y77&lt;20/24),Y77+10*0.000000001,9))</f>
        <v>9</v>
      </c>
      <c r="AC77" s="2">
        <f>IF(Y77=9,9,IF(OR(Y77&gt;=20/24,Y77&lt;6/24),Y77+10*0.000000001,9))</f>
        <v>9</v>
      </c>
    </row>
    <row r="78" spans="25:29" ht="15" hidden="1" customHeight="1">
      <c r="Y78" s="2">
        <f>IF(OR('Inventory - P16'!E18&lt;4,'Inventory - P16'!F18="",'Inventory - P16'!G18=""),9,MOD('Inventory - P16'!F18+3*'Inventory - P16'!G18/24,1))</f>
        <v>9</v>
      </c>
      <c r="Z78" s="2">
        <f>IF(Y78=9,9,IF(AND(Y78&gt;=6/24,Y78&lt;12/24),Y78+11*0.000000001,9))</f>
        <v>9</v>
      </c>
      <c r="AA78" s="2">
        <f>IF(Y78=9,9,IF(AND(Y78&gt;=12/24,Y78&lt;17/24),Y78+11*0.000000001,9))</f>
        <v>9</v>
      </c>
      <c r="AB78" s="2">
        <f>IF(Y78=9,9,IF(AND(Y78&gt;=17/24,Y78&lt;20/24),Y78+11*0.000000001,9))</f>
        <v>9</v>
      </c>
      <c r="AC78" s="2">
        <f>IF(Y78=9,9,IF(OR(Y78&gt;=20/24,Y78&lt;6/24),Y78+11*0.000000001,9))</f>
        <v>9</v>
      </c>
    </row>
    <row r="79" spans="25:29" ht="15" hidden="1" customHeight="1">
      <c r="Y79" s="2">
        <f>IF(OR('Inventory - P16'!E19&lt;1,'Inventory - P16'!F19="",'Inventory - P16'!G19=""),9,MOD('Inventory - P16'!F19+0*'Inventory - P16'!G19/24,1))</f>
        <v>9</v>
      </c>
      <c r="Z79" s="2">
        <f>IF(Y79=9,9,IF(AND(Y79&gt;=6/24,Y79&lt;12/24),Y79+12*0.000000001,9))</f>
        <v>9</v>
      </c>
      <c r="AA79" s="2">
        <f>IF(Y79=9,9,IF(AND(Y79&gt;=12/24,Y79&lt;17/24),Y79+12*0.000000001,9))</f>
        <v>9</v>
      </c>
      <c r="AB79" s="2">
        <f>IF(Y79=9,9,IF(AND(Y79&gt;=17/24,Y79&lt;20/24),Y79+12*0.000000001,9))</f>
        <v>9</v>
      </c>
      <c r="AC79" s="2">
        <f>IF(Y79=9,9,IF(OR(Y79&gt;=20/24,Y79&lt;6/24),Y79+12*0.000000001,9))</f>
        <v>9</v>
      </c>
    </row>
    <row r="80" spans="25:29" ht="15" hidden="1" customHeight="1">
      <c r="Y80" s="2">
        <f>IF(OR('Inventory - P16'!E19&lt;2,'Inventory - P16'!F19="",'Inventory - P16'!G19=""),9,MOD('Inventory - P16'!F19+1*'Inventory - P16'!G19/24,1))</f>
        <v>9</v>
      </c>
      <c r="Z80" s="2">
        <f>IF(Y80=9,9,IF(AND(Y80&gt;=6/24,Y80&lt;12/24),Y80+13*0.000000001,9))</f>
        <v>9</v>
      </c>
      <c r="AA80" s="2">
        <f>IF(Y80=9,9,IF(AND(Y80&gt;=12/24,Y80&lt;17/24),Y80+13*0.000000001,9))</f>
        <v>9</v>
      </c>
      <c r="AB80" s="2">
        <f>IF(Y80=9,9,IF(AND(Y80&gt;=17/24,Y80&lt;20/24),Y80+13*0.000000001,9))</f>
        <v>9</v>
      </c>
      <c r="AC80" s="2">
        <f>IF(Y80=9,9,IF(OR(Y80&gt;=20/24,Y80&lt;6/24),Y80+13*0.000000001,9))</f>
        <v>9</v>
      </c>
    </row>
    <row r="81" spans="25:29" ht="15" hidden="1" customHeight="1">
      <c r="Y81" s="2">
        <f>IF(OR('Inventory - P16'!E19&lt;3,'Inventory - P16'!F19="",'Inventory - P16'!G19=""),9,MOD('Inventory - P16'!F19+2*'Inventory - P16'!G19/24,1))</f>
        <v>9</v>
      </c>
      <c r="Z81" s="2">
        <f>IF(Y81=9,9,IF(AND(Y81&gt;=6/24,Y81&lt;12/24),Y81+14*0.000000001,9))</f>
        <v>9</v>
      </c>
      <c r="AA81" s="2">
        <f>IF(Y81=9,9,IF(AND(Y81&gt;=12/24,Y81&lt;17/24),Y81+14*0.000000001,9))</f>
        <v>9</v>
      </c>
      <c r="AB81" s="2">
        <f>IF(Y81=9,9,IF(AND(Y81&gt;=17/24,Y81&lt;20/24),Y81+14*0.000000001,9))</f>
        <v>9</v>
      </c>
      <c r="AC81" s="2">
        <f>IF(Y81=9,9,IF(OR(Y81&gt;=20/24,Y81&lt;6/24),Y81+14*0.000000001,9))</f>
        <v>9</v>
      </c>
    </row>
    <row r="82" spans="25:29" ht="15" hidden="1" customHeight="1">
      <c r="Y82" s="2">
        <f>IF(OR('Inventory - P16'!E19&lt;4,'Inventory - P16'!F19="",'Inventory - P16'!G19=""),9,MOD('Inventory - P16'!F19+3*'Inventory - P16'!G19/24,1))</f>
        <v>9</v>
      </c>
      <c r="Z82" s="2">
        <f>IF(Y82=9,9,IF(AND(Y82&gt;=6/24,Y82&lt;12/24),Y82+15*0.000000001,9))</f>
        <v>9</v>
      </c>
      <c r="AA82" s="2">
        <f>IF(Y82=9,9,IF(AND(Y82&gt;=12/24,Y82&lt;17/24),Y82+15*0.000000001,9))</f>
        <v>9</v>
      </c>
      <c r="AB82" s="2">
        <f>IF(Y82=9,9,IF(AND(Y82&gt;=17/24,Y82&lt;20/24),Y82+15*0.000000001,9))</f>
        <v>9</v>
      </c>
      <c r="AC82" s="2">
        <f>IF(Y82=9,9,IF(OR(Y82&gt;=20/24,Y82&lt;6/24),Y82+15*0.000000001,9))</f>
        <v>9</v>
      </c>
    </row>
    <row r="83" spans="25:29" ht="15" hidden="1" customHeight="1">
      <c r="Y83" s="2">
        <f>IF(OR('Inventory - P16'!E20&lt;1,'Inventory - P16'!F20="",'Inventory - P16'!G20=""),9,MOD('Inventory - P16'!F20+0*'Inventory - P16'!G20/24,1))</f>
        <v>9</v>
      </c>
      <c r="Z83" s="2">
        <f>IF(Y83=9,9,IF(AND(Y83&gt;=6/24,Y83&lt;12/24),Y83+16*0.000000001,9))</f>
        <v>9</v>
      </c>
      <c r="AA83" s="2">
        <f>IF(Y83=9,9,IF(AND(Y83&gt;=12/24,Y83&lt;17/24),Y83+16*0.000000001,9))</f>
        <v>9</v>
      </c>
      <c r="AB83" s="2">
        <f>IF(Y83=9,9,IF(AND(Y83&gt;=17/24,Y83&lt;20/24),Y83+16*0.000000001,9))</f>
        <v>9</v>
      </c>
      <c r="AC83" s="2">
        <f>IF(Y83=9,9,IF(OR(Y83&gt;=20/24,Y83&lt;6/24),Y83+16*0.000000001,9))</f>
        <v>9</v>
      </c>
    </row>
    <row r="84" spans="25:29" ht="15" hidden="1" customHeight="1">
      <c r="Y84" s="2">
        <f>IF(OR('Inventory - P16'!E20&lt;2,'Inventory - P16'!F20="",'Inventory - P16'!G20=""),9,MOD('Inventory - P16'!F20+1*'Inventory - P16'!G20/24,1))</f>
        <v>9</v>
      </c>
      <c r="Z84" s="2">
        <f>IF(Y84=9,9,IF(AND(Y84&gt;=6/24,Y84&lt;12/24),Y84+17*0.000000001,9))</f>
        <v>9</v>
      </c>
      <c r="AA84" s="2">
        <f>IF(Y84=9,9,IF(AND(Y84&gt;=12/24,Y84&lt;17/24),Y84+17*0.000000001,9))</f>
        <v>9</v>
      </c>
      <c r="AB84" s="2">
        <f>IF(Y84=9,9,IF(AND(Y84&gt;=17/24,Y84&lt;20/24),Y84+17*0.000000001,9))</f>
        <v>9</v>
      </c>
      <c r="AC84" s="2">
        <f>IF(Y84=9,9,IF(OR(Y84&gt;=20/24,Y84&lt;6/24),Y84+17*0.000000001,9))</f>
        <v>9</v>
      </c>
    </row>
    <row r="85" spans="25:29" ht="15" hidden="1" customHeight="1">
      <c r="Y85" s="2">
        <f>IF(OR('Inventory - P16'!E20&lt;3,'Inventory - P16'!F20="",'Inventory - P16'!G20=""),9,MOD('Inventory - P16'!F20+2*'Inventory - P16'!G20/24,1))</f>
        <v>9</v>
      </c>
      <c r="Z85" s="2">
        <f>IF(Y85=9,9,IF(AND(Y85&gt;=6/24,Y85&lt;12/24),Y85+18*0.000000001,9))</f>
        <v>9</v>
      </c>
      <c r="AA85" s="2">
        <f>IF(Y85=9,9,IF(AND(Y85&gt;=12/24,Y85&lt;17/24),Y85+18*0.000000001,9))</f>
        <v>9</v>
      </c>
      <c r="AB85" s="2">
        <f>IF(Y85=9,9,IF(AND(Y85&gt;=17/24,Y85&lt;20/24),Y85+18*0.000000001,9))</f>
        <v>9</v>
      </c>
      <c r="AC85" s="2">
        <f>IF(Y85=9,9,IF(OR(Y85&gt;=20/24,Y85&lt;6/24),Y85+18*0.000000001,9))</f>
        <v>9</v>
      </c>
    </row>
    <row r="86" spans="25:29" ht="15" hidden="1" customHeight="1">
      <c r="Y86" s="2">
        <f>IF(OR('Inventory - P16'!E20&lt;4,'Inventory - P16'!F20="",'Inventory - P16'!G20=""),9,MOD('Inventory - P16'!F20+3*'Inventory - P16'!G20/24,1))</f>
        <v>9</v>
      </c>
      <c r="Z86" s="2">
        <f>IF(Y86=9,9,IF(AND(Y86&gt;=6/24,Y86&lt;12/24),Y86+19*0.000000001,9))</f>
        <v>9</v>
      </c>
      <c r="AA86" s="2">
        <f>IF(Y86=9,9,IF(AND(Y86&gt;=12/24,Y86&lt;17/24),Y86+19*0.000000001,9))</f>
        <v>9</v>
      </c>
      <c r="AB86" s="2">
        <f>IF(Y86=9,9,IF(AND(Y86&gt;=17/24,Y86&lt;20/24),Y86+19*0.000000001,9))</f>
        <v>9</v>
      </c>
      <c r="AC86" s="2">
        <f>IF(Y86=9,9,IF(OR(Y86&gt;=20/24,Y86&lt;6/24),Y86+19*0.000000001,9))</f>
        <v>9</v>
      </c>
    </row>
    <row r="87" spans="25:29" ht="15" hidden="1" customHeight="1">
      <c r="Y87" s="2">
        <f>IF(OR('Inventory - P16'!E21&lt;1,'Inventory - P16'!F21="",'Inventory - P16'!G21=""),9,MOD('Inventory - P16'!F21+0*'Inventory - P16'!G21/24,1))</f>
        <v>9</v>
      </c>
      <c r="Z87" s="2">
        <f>IF(Y87=9,9,IF(AND(Y87&gt;=6/24,Y87&lt;12/24),Y87+20*0.000000001,9))</f>
        <v>9</v>
      </c>
      <c r="AA87" s="2">
        <f>IF(Y87=9,9,IF(AND(Y87&gt;=12/24,Y87&lt;17/24),Y87+20*0.000000001,9))</f>
        <v>9</v>
      </c>
      <c r="AB87" s="2">
        <f>IF(Y87=9,9,IF(AND(Y87&gt;=17/24,Y87&lt;20/24),Y87+20*0.000000001,9))</f>
        <v>9</v>
      </c>
      <c r="AC87" s="2">
        <f>IF(Y87=9,9,IF(OR(Y87&gt;=20/24,Y87&lt;6/24),Y87+20*0.000000001,9))</f>
        <v>9</v>
      </c>
    </row>
    <row r="88" spans="25:29" ht="15" hidden="1" customHeight="1">
      <c r="Y88" s="2">
        <f>IF(OR('Inventory - P16'!E21&lt;2,'Inventory - P16'!F21="",'Inventory - P16'!G21=""),9,MOD('Inventory - P16'!F21+1*'Inventory - P16'!G21/24,1))</f>
        <v>9</v>
      </c>
      <c r="Z88" s="2">
        <f>IF(Y88=9,9,IF(AND(Y88&gt;=6/24,Y88&lt;12/24),Y88+21*0.000000001,9))</f>
        <v>9</v>
      </c>
      <c r="AA88" s="2">
        <f>IF(Y88=9,9,IF(AND(Y88&gt;=12/24,Y88&lt;17/24),Y88+21*0.000000001,9))</f>
        <v>9</v>
      </c>
      <c r="AB88" s="2">
        <f>IF(Y88=9,9,IF(AND(Y88&gt;=17/24,Y88&lt;20/24),Y88+21*0.000000001,9))</f>
        <v>9</v>
      </c>
      <c r="AC88" s="2">
        <f>IF(Y88=9,9,IF(OR(Y88&gt;=20/24,Y88&lt;6/24),Y88+21*0.000000001,9))</f>
        <v>9</v>
      </c>
    </row>
    <row r="89" spans="25:29" ht="15" hidden="1" customHeight="1">
      <c r="Y89" s="2">
        <f>IF(OR('Inventory - P16'!E21&lt;3,'Inventory - P16'!F21="",'Inventory - P16'!G21=""),9,MOD('Inventory - P16'!F21+2*'Inventory - P16'!G21/24,1))</f>
        <v>9</v>
      </c>
      <c r="Z89" s="2">
        <f>IF(Y89=9,9,IF(AND(Y89&gt;=6/24,Y89&lt;12/24),Y89+22*0.000000001,9))</f>
        <v>9</v>
      </c>
      <c r="AA89" s="2">
        <f>IF(Y89=9,9,IF(AND(Y89&gt;=12/24,Y89&lt;17/24),Y89+22*0.000000001,9))</f>
        <v>9</v>
      </c>
      <c r="AB89" s="2">
        <f>IF(Y89=9,9,IF(AND(Y89&gt;=17/24,Y89&lt;20/24),Y89+22*0.000000001,9))</f>
        <v>9</v>
      </c>
      <c r="AC89" s="2">
        <f>IF(Y89=9,9,IF(OR(Y89&gt;=20/24,Y89&lt;6/24),Y89+22*0.000000001,9))</f>
        <v>9</v>
      </c>
    </row>
    <row r="90" spans="25:29" ht="15" hidden="1" customHeight="1">
      <c r="Y90" s="2">
        <f>IF(OR('Inventory - P16'!E21&lt;4,'Inventory - P16'!F21="",'Inventory - P16'!G21=""),9,MOD('Inventory - P16'!F21+3*'Inventory - P16'!G21/24,1))</f>
        <v>9</v>
      </c>
      <c r="Z90" s="2">
        <f>IF(Y90=9,9,IF(AND(Y90&gt;=6/24,Y90&lt;12/24),Y90+23*0.000000001,9))</f>
        <v>9</v>
      </c>
      <c r="AA90" s="2">
        <f>IF(Y90=9,9,IF(AND(Y90&gt;=12/24,Y90&lt;17/24),Y90+23*0.000000001,9))</f>
        <v>9</v>
      </c>
      <c r="AB90" s="2">
        <f>IF(Y90=9,9,IF(AND(Y90&gt;=17/24,Y90&lt;20/24),Y90+23*0.000000001,9))</f>
        <v>9</v>
      </c>
      <c r="AC90" s="2">
        <f>IF(Y90=9,9,IF(OR(Y90&gt;=20/24,Y90&lt;6/24),Y90+23*0.000000001,9))</f>
        <v>9</v>
      </c>
    </row>
    <row r="91" spans="25:29" ht="15" hidden="1" customHeight="1">
      <c r="Y91" s="2">
        <f>IF(OR('Inventory - P16'!E22&lt;1,'Inventory - P16'!F22="",'Inventory - P16'!G22=""),9,MOD('Inventory - P16'!F22+0*'Inventory - P16'!G22/24,1))</f>
        <v>9</v>
      </c>
      <c r="Z91" s="2">
        <f>IF(Y91=9,9,IF(AND(Y91&gt;=6/24,Y91&lt;12/24),Y91+24*0.000000001,9))</f>
        <v>9</v>
      </c>
      <c r="AA91" s="2">
        <f>IF(Y91=9,9,IF(AND(Y91&gt;=12/24,Y91&lt;17/24),Y91+24*0.000000001,9))</f>
        <v>9</v>
      </c>
      <c r="AB91" s="2">
        <f>IF(Y91=9,9,IF(AND(Y91&gt;=17/24,Y91&lt;20/24),Y91+24*0.000000001,9))</f>
        <v>9</v>
      </c>
      <c r="AC91" s="2">
        <f>IF(Y91=9,9,IF(OR(Y91&gt;=20/24,Y91&lt;6/24),Y91+24*0.000000001,9))</f>
        <v>9</v>
      </c>
    </row>
    <row r="92" spans="25:29" ht="15" hidden="1" customHeight="1">
      <c r="Y92" s="2">
        <f>IF(OR('Inventory - P16'!E22&lt;2,'Inventory - P16'!F22="",'Inventory - P16'!G22=""),9,MOD('Inventory - P16'!F22+1*'Inventory - P16'!G22/24,1))</f>
        <v>9</v>
      </c>
      <c r="Z92" s="2">
        <f>IF(Y92=9,9,IF(AND(Y92&gt;=6/24,Y92&lt;12/24),Y92+25*0.000000001,9))</f>
        <v>9</v>
      </c>
      <c r="AA92" s="2">
        <f>IF(Y92=9,9,IF(AND(Y92&gt;=12/24,Y92&lt;17/24),Y92+25*0.000000001,9))</f>
        <v>9</v>
      </c>
      <c r="AB92" s="2">
        <f>IF(Y92=9,9,IF(AND(Y92&gt;=17/24,Y92&lt;20/24),Y92+25*0.000000001,9))</f>
        <v>9</v>
      </c>
      <c r="AC92" s="2">
        <f>IF(Y92=9,9,IF(OR(Y92&gt;=20/24,Y92&lt;6/24),Y92+25*0.000000001,9))</f>
        <v>9</v>
      </c>
    </row>
    <row r="93" spans="25:29" ht="15" hidden="1" customHeight="1">
      <c r="Y93" s="2">
        <f>IF(OR('Inventory - P16'!E22&lt;3,'Inventory - P16'!F22="",'Inventory - P16'!G22=""),9,MOD('Inventory - P16'!F22+2*'Inventory - P16'!G22/24,1))</f>
        <v>9</v>
      </c>
      <c r="Z93" s="2">
        <f>IF(Y93=9,9,IF(AND(Y93&gt;=6/24,Y93&lt;12/24),Y93+26*0.000000001,9))</f>
        <v>9</v>
      </c>
      <c r="AA93" s="2">
        <f>IF(Y93=9,9,IF(AND(Y93&gt;=12/24,Y93&lt;17/24),Y93+26*0.000000001,9))</f>
        <v>9</v>
      </c>
      <c r="AB93" s="2">
        <f>IF(Y93=9,9,IF(AND(Y93&gt;=17/24,Y93&lt;20/24),Y93+26*0.000000001,9))</f>
        <v>9</v>
      </c>
      <c r="AC93" s="2">
        <f>IF(Y93=9,9,IF(OR(Y93&gt;=20/24,Y93&lt;6/24),Y93+26*0.000000001,9))</f>
        <v>9</v>
      </c>
    </row>
    <row r="94" spans="25:29" ht="15" hidden="1" customHeight="1">
      <c r="Y94" s="2">
        <f>IF(OR('Inventory - P16'!E22&lt;4,'Inventory - P16'!F22="",'Inventory - P16'!G22=""),9,MOD('Inventory - P16'!F22+3*'Inventory - P16'!G22/24,1))</f>
        <v>9</v>
      </c>
      <c r="Z94" s="2">
        <f>IF(Y94=9,9,IF(AND(Y94&gt;=6/24,Y94&lt;12/24),Y94+27*0.000000001,9))</f>
        <v>9</v>
      </c>
      <c r="AA94" s="2">
        <f>IF(Y94=9,9,IF(AND(Y94&gt;=12/24,Y94&lt;17/24),Y94+27*0.000000001,9))</f>
        <v>9</v>
      </c>
      <c r="AB94" s="2">
        <f>IF(Y94=9,9,IF(AND(Y94&gt;=17/24,Y94&lt;20/24),Y94+27*0.000000001,9))</f>
        <v>9</v>
      </c>
      <c r="AC94" s="2">
        <f>IF(Y94=9,9,IF(OR(Y94&gt;=20/24,Y94&lt;6/24),Y94+27*0.000000001,9))</f>
        <v>9</v>
      </c>
    </row>
    <row r="95" spans="25:29" ht="15" hidden="1" customHeight="1">
      <c r="Y95" s="2">
        <f>IF(OR('Inventory - P16'!E23&lt;1,'Inventory - P16'!F23="",'Inventory - P16'!G23=""),9,MOD('Inventory - P16'!F23+0*'Inventory - P16'!G23/24,1))</f>
        <v>9</v>
      </c>
      <c r="Z95" s="2">
        <f>IF(Y95=9,9,IF(AND(Y95&gt;=6/24,Y95&lt;12/24),Y95+28*0.000000001,9))</f>
        <v>9</v>
      </c>
      <c r="AA95" s="2">
        <f>IF(Y95=9,9,IF(AND(Y95&gt;=12/24,Y95&lt;17/24),Y95+28*0.000000001,9))</f>
        <v>9</v>
      </c>
      <c r="AB95" s="2">
        <f>IF(Y95=9,9,IF(AND(Y95&gt;=17/24,Y95&lt;20/24),Y95+28*0.000000001,9))</f>
        <v>9</v>
      </c>
      <c r="AC95" s="2">
        <f>IF(Y95=9,9,IF(OR(Y95&gt;=20/24,Y95&lt;6/24),Y95+28*0.000000001,9))</f>
        <v>9</v>
      </c>
    </row>
    <row r="96" spans="25:29" ht="15" hidden="1" customHeight="1">
      <c r="Y96" s="2">
        <f>IF(OR('Inventory - P16'!E23&lt;2,'Inventory - P16'!F23="",'Inventory - P16'!G23=""),9,MOD('Inventory - P16'!F23+1*'Inventory - P16'!G23/24,1))</f>
        <v>9</v>
      </c>
      <c r="Z96" s="2">
        <f>IF(Y96=9,9,IF(AND(Y96&gt;=6/24,Y96&lt;12/24),Y96+29*0.000000001,9))</f>
        <v>9</v>
      </c>
      <c r="AA96" s="2">
        <f>IF(Y96=9,9,IF(AND(Y96&gt;=12/24,Y96&lt;17/24),Y96+29*0.000000001,9))</f>
        <v>9</v>
      </c>
      <c r="AB96" s="2">
        <f>IF(Y96=9,9,IF(AND(Y96&gt;=17/24,Y96&lt;20/24),Y96+29*0.000000001,9))</f>
        <v>9</v>
      </c>
      <c r="AC96" s="2">
        <f>IF(Y96=9,9,IF(OR(Y96&gt;=20/24,Y96&lt;6/24),Y96+29*0.000000001,9))</f>
        <v>9</v>
      </c>
    </row>
    <row r="97" spans="25:29" ht="15" hidden="1" customHeight="1">
      <c r="Y97" s="2">
        <f>IF(OR('Inventory - P16'!E23&lt;3,'Inventory - P16'!F23="",'Inventory - P16'!G23=""),9,MOD('Inventory - P16'!F23+2*'Inventory - P16'!G23/24,1))</f>
        <v>9</v>
      </c>
      <c r="Z97" s="2">
        <f>IF(Y97=9,9,IF(AND(Y97&gt;=6/24,Y97&lt;12/24),Y97+30*0.000000001,9))</f>
        <v>9</v>
      </c>
      <c r="AA97" s="2">
        <f>IF(Y97=9,9,IF(AND(Y97&gt;=12/24,Y97&lt;17/24),Y97+30*0.000000001,9))</f>
        <v>9</v>
      </c>
      <c r="AB97" s="2">
        <f>IF(Y97=9,9,IF(AND(Y97&gt;=17/24,Y97&lt;20/24),Y97+30*0.000000001,9))</f>
        <v>9</v>
      </c>
      <c r="AC97" s="2">
        <f>IF(Y97=9,9,IF(OR(Y97&gt;=20/24,Y97&lt;6/24),Y97+30*0.000000001,9))</f>
        <v>9</v>
      </c>
    </row>
    <row r="98" spans="25:29" ht="15" hidden="1" customHeight="1">
      <c r="Y98" s="2">
        <f>IF(OR('Inventory - P16'!E23&lt;4,'Inventory - P16'!F23="",'Inventory - P16'!G23=""),9,MOD('Inventory - P16'!F23+3*'Inventory - P16'!G23/24,1))</f>
        <v>9</v>
      </c>
      <c r="Z98" s="2">
        <f>IF(Y98=9,9,IF(AND(Y98&gt;=6/24,Y98&lt;12/24),Y98+31*0.000000001,9))</f>
        <v>9</v>
      </c>
      <c r="AA98" s="2">
        <f>IF(Y98=9,9,IF(AND(Y98&gt;=12/24,Y98&lt;17/24),Y98+31*0.000000001,9))</f>
        <v>9</v>
      </c>
      <c r="AB98" s="2">
        <f>IF(Y98=9,9,IF(AND(Y98&gt;=17/24,Y98&lt;20/24),Y98+31*0.000000001,9))</f>
        <v>9</v>
      </c>
      <c r="AC98" s="2">
        <f>IF(Y98=9,9,IF(OR(Y98&gt;=20/24,Y98&lt;6/24),Y98+31*0.000000001,9))</f>
        <v>9</v>
      </c>
    </row>
    <row r="99" spans="25:29" ht="15" hidden="1" customHeight="1">
      <c r="Y99" s="2">
        <f>IF(OR('Inventory - P16'!E24&lt;1,'Inventory - P16'!F24="",'Inventory - P16'!G24=""),9,MOD('Inventory - P16'!F24+0*'Inventory - P16'!G24/24,1))</f>
        <v>9</v>
      </c>
      <c r="Z99" s="2">
        <f>IF(Y99=9,9,IF(AND(Y99&gt;=6/24,Y99&lt;12/24),Y99+32*0.000000001,9))</f>
        <v>9</v>
      </c>
      <c r="AA99" s="2">
        <f>IF(Y99=9,9,IF(AND(Y99&gt;=12/24,Y99&lt;17/24),Y99+32*0.000000001,9))</f>
        <v>9</v>
      </c>
      <c r="AB99" s="2">
        <f>IF(Y99=9,9,IF(AND(Y99&gt;=17/24,Y99&lt;20/24),Y99+32*0.000000001,9))</f>
        <v>9</v>
      </c>
      <c r="AC99" s="2">
        <f>IF(Y99=9,9,IF(OR(Y99&gt;=20/24,Y99&lt;6/24),Y99+32*0.000000001,9))</f>
        <v>9</v>
      </c>
    </row>
    <row r="100" spans="25:29" ht="15" hidden="1" customHeight="1">
      <c r="Y100" s="2">
        <f>IF(OR('Inventory - P16'!E24&lt;2,'Inventory - P16'!F24="",'Inventory - P16'!G24=""),9,MOD('Inventory - P16'!F24+1*'Inventory - P16'!G24/24,1))</f>
        <v>9</v>
      </c>
      <c r="Z100" s="2">
        <f>IF(Y100=9,9,IF(AND(Y100&gt;=6/24,Y100&lt;12/24),Y100+33*0.000000001,9))</f>
        <v>9</v>
      </c>
      <c r="AA100" s="2">
        <f>IF(Y100=9,9,IF(AND(Y100&gt;=12/24,Y100&lt;17/24),Y100+33*0.000000001,9))</f>
        <v>9</v>
      </c>
      <c r="AB100" s="2">
        <f>IF(Y100=9,9,IF(AND(Y100&gt;=17/24,Y100&lt;20/24),Y100+33*0.000000001,9))</f>
        <v>9</v>
      </c>
      <c r="AC100" s="2">
        <f>IF(Y100=9,9,IF(OR(Y100&gt;=20/24,Y100&lt;6/24),Y100+33*0.000000001,9))</f>
        <v>9</v>
      </c>
    </row>
    <row r="101" spans="25:29" ht="15" hidden="1" customHeight="1">
      <c r="Y101" s="2">
        <f>IF(OR('Inventory - P16'!E24&lt;3,'Inventory - P16'!F24="",'Inventory - P16'!G24=""),9,MOD('Inventory - P16'!F24+2*'Inventory - P16'!G24/24,1))</f>
        <v>9</v>
      </c>
      <c r="Z101" s="2">
        <f>IF(Y101=9,9,IF(AND(Y101&gt;=6/24,Y101&lt;12/24),Y101+34*0.000000001,9))</f>
        <v>9</v>
      </c>
      <c r="AA101" s="2">
        <f>IF(Y101=9,9,IF(AND(Y101&gt;=12/24,Y101&lt;17/24),Y101+34*0.000000001,9))</f>
        <v>9</v>
      </c>
      <c r="AB101" s="2">
        <f>IF(Y101=9,9,IF(AND(Y101&gt;=17/24,Y101&lt;20/24),Y101+34*0.000000001,9))</f>
        <v>9</v>
      </c>
      <c r="AC101" s="2">
        <f>IF(Y101=9,9,IF(OR(Y101&gt;=20/24,Y101&lt;6/24),Y101+34*0.000000001,9))</f>
        <v>9</v>
      </c>
    </row>
    <row r="102" spans="25:29" ht="15" hidden="1" customHeight="1">
      <c r="Y102" s="2">
        <f>IF(OR('Inventory - P16'!E24&lt;4,'Inventory - P16'!F24="",'Inventory - P16'!G24=""),9,MOD('Inventory - P16'!F24+3*'Inventory - P16'!G24/24,1))</f>
        <v>9</v>
      </c>
      <c r="Z102" s="2">
        <f>IF(Y102=9,9,IF(AND(Y102&gt;=6/24,Y102&lt;12/24),Y102+35*0.000000001,9))</f>
        <v>9</v>
      </c>
      <c r="AA102" s="2">
        <f>IF(Y102=9,9,IF(AND(Y102&gt;=12/24,Y102&lt;17/24),Y102+35*0.000000001,9))</f>
        <v>9</v>
      </c>
      <c r="AB102" s="2">
        <f>IF(Y102=9,9,IF(AND(Y102&gt;=17/24,Y102&lt;20/24),Y102+35*0.000000001,9))</f>
        <v>9</v>
      </c>
      <c r="AC102" s="2">
        <f>IF(Y102=9,9,IF(OR(Y102&gt;=20/24,Y102&lt;6/24),Y102+35*0.000000001,9))</f>
        <v>9</v>
      </c>
    </row>
    <row r="103" spans="25:29" ht="15" hidden="1" customHeight="1">
      <c r="Y103" s="2">
        <f>IF(OR('Inventory - P16'!E25&lt;1,'Inventory - P16'!F25="",'Inventory - P16'!G25=""),9,MOD('Inventory - P16'!F25+0*'Inventory - P16'!G25/24,1))</f>
        <v>9</v>
      </c>
      <c r="Z103" s="2">
        <f>IF(Y103=9,9,IF(AND(Y103&gt;=6/24,Y103&lt;12/24),Y103+36*0.000000001,9))</f>
        <v>9</v>
      </c>
      <c r="AA103" s="2">
        <f>IF(Y103=9,9,IF(AND(Y103&gt;=12/24,Y103&lt;17/24),Y103+36*0.000000001,9))</f>
        <v>9</v>
      </c>
      <c r="AB103" s="2">
        <f>IF(Y103=9,9,IF(AND(Y103&gt;=17/24,Y103&lt;20/24),Y103+36*0.000000001,9))</f>
        <v>9</v>
      </c>
      <c r="AC103" s="2">
        <f>IF(Y103=9,9,IF(OR(Y103&gt;=20/24,Y103&lt;6/24),Y103+36*0.000000001,9))</f>
        <v>9</v>
      </c>
    </row>
    <row r="104" spans="25:29" ht="15" hidden="1" customHeight="1">
      <c r="Y104" s="2">
        <f>IF(OR('Inventory - P16'!E25&lt;2,'Inventory - P16'!F25="",'Inventory - P16'!G25=""),9,MOD('Inventory - P16'!F25+1*'Inventory - P16'!G25/24,1))</f>
        <v>9</v>
      </c>
      <c r="Z104" s="2">
        <f>IF(Y104=9,9,IF(AND(Y104&gt;=6/24,Y104&lt;12/24),Y104+37*0.000000001,9))</f>
        <v>9</v>
      </c>
      <c r="AA104" s="2">
        <f>IF(Y104=9,9,IF(AND(Y104&gt;=12/24,Y104&lt;17/24),Y104+37*0.000000001,9))</f>
        <v>9</v>
      </c>
      <c r="AB104" s="2">
        <f>IF(Y104=9,9,IF(AND(Y104&gt;=17/24,Y104&lt;20/24),Y104+37*0.000000001,9))</f>
        <v>9</v>
      </c>
      <c r="AC104" s="2">
        <f>IF(Y104=9,9,IF(OR(Y104&gt;=20/24,Y104&lt;6/24),Y104+37*0.000000001,9))</f>
        <v>9</v>
      </c>
    </row>
    <row r="105" spans="25:29" ht="15" hidden="1" customHeight="1">
      <c r="Y105" s="2">
        <f>IF(OR('Inventory - P16'!E25&lt;3,'Inventory - P16'!F25="",'Inventory - P16'!G25=""),9,MOD('Inventory - P16'!F25+2*'Inventory - P16'!G25/24,1))</f>
        <v>9</v>
      </c>
      <c r="Z105" s="2">
        <f>IF(Y105=9,9,IF(AND(Y105&gt;=6/24,Y105&lt;12/24),Y105+38*0.000000001,9))</f>
        <v>9</v>
      </c>
      <c r="AA105" s="2">
        <f>IF(Y105=9,9,IF(AND(Y105&gt;=12/24,Y105&lt;17/24),Y105+38*0.000000001,9))</f>
        <v>9</v>
      </c>
      <c r="AB105" s="2">
        <f>IF(Y105=9,9,IF(AND(Y105&gt;=17/24,Y105&lt;20/24),Y105+38*0.000000001,9))</f>
        <v>9</v>
      </c>
      <c r="AC105" s="2">
        <f>IF(Y105=9,9,IF(OR(Y105&gt;=20/24,Y105&lt;6/24),Y105+38*0.000000001,9))</f>
        <v>9</v>
      </c>
    </row>
    <row r="106" spans="25:29" ht="15" hidden="1" customHeight="1">
      <c r="Y106" s="2">
        <f>IF(OR('Inventory - P16'!E25&lt;4,'Inventory - P16'!F25="",'Inventory - P16'!G25=""),9,MOD('Inventory - P16'!F25+3*'Inventory - P16'!G25/24,1))</f>
        <v>9</v>
      </c>
      <c r="Z106" s="2">
        <f>IF(Y106=9,9,IF(AND(Y106&gt;=6/24,Y106&lt;12/24),Y106+39*0.000000001,9))</f>
        <v>9</v>
      </c>
      <c r="AA106" s="2">
        <f>IF(Y106=9,9,IF(AND(Y106&gt;=12/24,Y106&lt;17/24),Y106+39*0.000000001,9))</f>
        <v>9</v>
      </c>
      <c r="AB106" s="2">
        <f>IF(Y106=9,9,IF(AND(Y106&gt;=17/24,Y106&lt;20/24),Y106+39*0.000000001,9))</f>
        <v>9</v>
      </c>
      <c r="AC106" s="2">
        <f>IF(Y106=9,9,IF(OR(Y106&gt;=20/24,Y106&lt;6/24),Y106+39*0.000000001,9))</f>
        <v>9</v>
      </c>
    </row>
    <row r="107" spans="25:29" ht="15" hidden="1" customHeight="1">
      <c r="Y107" s="2">
        <f>IF(OR('Inventory - P16'!E26&lt;1,'Inventory - P16'!F26="",'Inventory - P16'!G26=""),9,MOD('Inventory - P16'!F26+0*'Inventory - P16'!G26/24,1))</f>
        <v>9</v>
      </c>
      <c r="Z107" s="2">
        <f>IF(Y107=9,9,IF(AND(Y107&gt;=6/24,Y107&lt;12/24),Y107+40*0.000000001,9))</f>
        <v>9</v>
      </c>
      <c r="AA107" s="2">
        <f>IF(Y107=9,9,IF(AND(Y107&gt;=12/24,Y107&lt;17/24),Y107+40*0.000000001,9))</f>
        <v>9</v>
      </c>
      <c r="AB107" s="2">
        <f>IF(Y107=9,9,IF(AND(Y107&gt;=17/24,Y107&lt;20/24),Y107+40*0.000000001,9))</f>
        <v>9</v>
      </c>
      <c r="AC107" s="2">
        <f>IF(Y107=9,9,IF(OR(Y107&gt;=20/24,Y107&lt;6/24),Y107+40*0.000000001,9))</f>
        <v>9</v>
      </c>
    </row>
    <row r="108" spans="25:29" ht="15" hidden="1" customHeight="1">
      <c r="Y108" s="2">
        <f>IF(OR('Inventory - P16'!E26&lt;2,'Inventory - P16'!F26="",'Inventory - P16'!G26=""),9,MOD('Inventory - P16'!F26+1*'Inventory - P16'!G26/24,1))</f>
        <v>9</v>
      </c>
      <c r="Z108" s="2">
        <f>IF(Y108=9,9,IF(AND(Y108&gt;=6/24,Y108&lt;12/24),Y108+41*0.000000001,9))</f>
        <v>9</v>
      </c>
      <c r="AA108" s="2">
        <f>IF(Y108=9,9,IF(AND(Y108&gt;=12/24,Y108&lt;17/24),Y108+41*0.000000001,9))</f>
        <v>9</v>
      </c>
      <c r="AB108" s="2">
        <f>IF(Y108=9,9,IF(AND(Y108&gt;=17/24,Y108&lt;20/24),Y108+41*0.000000001,9))</f>
        <v>9</v>
      </c>
      <c r="AC108" s="2">
        <f>IF(Y108=9,9,IF(OR(Y108&gt;=20/24,Y108&lt;6/24),Y108+41*0.000000001,9))</f>
        <v>9</v>
      </c>
    </row>
    <row r="109" spans="25:29" ht="15" hidden="1" customHeight="1">
      <c r="Y109" s="2">
        <f>IF(OR('Inventory - P16'!E26&lt;3,'Inventory - P16'!F26="",'Inventory - P16'!G26=""),9,MOD('Inventory - P16'!F26+2*'Inventory - P16'!G26/24,1))</f>
        <v>9</v>
      </c>
      <c r="Z109" s="2">
        <f>IF(Y109=9,9,IF(AND(Y109&gt;=6/24,Y109&lt;12/24),Y109+42*0.000000001,9))</f>
        <v>9</v>
      </c>
      <c r="AA109" s="2">
        <f>IF(Y109=9,9,IF(AND(Y109&gt;=12/24,Y109&lt;17/24),Y109+42*0.000000001,9))</f>
        <v>9</v>
      </c>
      <c r="AB109" s="2">
        <f>IF(Y109=9,9,IF(AND(Y109&gt;=17/24,Y109&lt;20/24),Y109+42*0.000000001,9))</f>
        <v>9</v>
      </c>
      <c r="AC109" s="2">
        <f>IF(Y109=9,9,IF(OR(Y109&gt;=20/24,Y109&lt;6/24),Y109+42*0.000000001,9))</f>
        <v>9</v>
      </c>
    </row>
    <row r="110" spans="25:29" ht="15" hidden="1" customHeight="1">
      <c r="Y110" s="2">
        <f>IF(OR('Inventory - P16'!E26&lt;4,'Inventory - P16'!F26="",'Inventory - P16'!G26=""),9,MOD('Inventory - P16'!F26+3*'Inventory - P16'!G26/24,1))</f>
        <v>9</v>
      </c>
      <c r="Z110" s="2">
        <f>IF(Y110=9,9,IF(AND(Y110&gt;=6/24,Y110&lt;12/24),Y110+43*0.000000001,9))</f>
        <v>9</v>
      </c>
      <c r="AA110" s="2">
        <f>IF(Y110=9,9,IF(AND(Y110&gt;=12/24,Y110&lt;17/24),Y110+43*0.000000001,9))</f>
        <v>9</v>
      </c>
      <c r="AB110" s="2">
        <f>IF(Y110=9,9,IF(AND(Y110&gt;=17/24,Y110&lt;20/24),Y110+43*0.000000001,9))</f>
        <v>9</v>
      </c>
      <c r="AC110" s="2">
        <f>IF(Y110=9,9,IF(OR(Y110&gt;=20/24,Y110&lt;6/24),Y110+43*0.000000001,9))</f>
        <v>9</v>
      </c>
    </row>
    <row r="111" spans="25:29" ht="15" hidden="1" customHeight="1">
      <c r="Y111" s="2">
        <f>IF(OR('Inventory - P16'!E27&lt;1,'Inventory - P16'!F27="",'Inventory - P16'!G27=""),9,MOD('Inventory - P16'!F27+0*'Inventory - P16'!G27/24,1))</f>
        <v>9</v>
      </c>
      <c r="Z111" s="2">
        <f>IF(Y111=9,9,IF(AND(Y111&gt;=6/24,Y111&lt;12/24),Y111+44*0.000000001,9))</f>
        <v>9</v>
      </c>
      <c r="AA111" s="2">
        <f>IF(Y111=9,9,IF(AND(Y111&gt;=12/24,Y111&lt;17/24),Y111+44*0.000000001,9))</f>
        <v>9</v>
      </c>
      <c r="AB111" s="2">
        <f>IF(Y111=9,9,IF(AND(Y111&gt;=17/24,Y111&lt;20/24),Y111+44*0.000000001,9))</f>
        <v>9</v>
      </c>
      <c r="AC111" s="2">
        <f>IF(Y111=9,9,IF(OR(Y111&gt;=20/24,Y111&lt;6/24),Y111+44*0.000000001,9))</f>
        <v>9</v>
      </c>
    </row>
    <row r="112" spans="25:29" ht="15" hidden="1" customHeight="1">
      <c r="Y112" s="2">
        <f>IF(OR('Inventory - P16'!E27&lt;2,'Inventory - P16'!F27="",'Inventory - P16'!G27=""),9,MOD('Inventory - P16'!F27+1*'Inventory - P16'!G27/24,1))</f>
        <v>9</v>
      </c>
      <c r="Z112" s="2">
        <f>IF(Y112=9,9,IF(AND(Y112&gt;=6/24,Y112&lt;12/24),Y112+45*0.000000001,9))</f>
        <v>9</v>
      </c>
      <c r="AA112" s="2">
        <f>IF(Y112=9,9,IF(AND(Y112&gt;=12/24,Y112&lt;17/24),Y112+45*0.000000001,9))</f>
        <v>9</v>
      </c>
      <c r="AB112" s="2">
        <f>IF(Y112=9,9,IF(AND(Y112&gt;=17/24,Y112&lt;20/24),Y112+45*0.000000001,9))</f>
        <v>9</v>
      </c>
      <c r="AC112" s="2">
        <f>IF(Y112=9,9,IF(OR(Y112&gt;=20/24,Y112&lt;6/24),Y112+45*0.000000001,9))</f>
        <v>9</v>
      </c>
    </row>
    <row r="113" spans="25:29" ht="15" hidden="1" customHeight="1">
      <c r="Y113" s="2">
        <f>IF(OR('Inventory - P16'!E27&lt;3,'Inventory - P16'!F27="",'Inventory - P16'!G27=""),9,MOD('Inventory - P16'!F27+2*'Inventory - P16'!G27/24,1))</f>
        <v>9</v>
      </c>
      <c r="Z113" s="2">
        <f>IF(Y113=9,9,IF(AND(Y113&gt;=6/24,Y113&lt;12/24),Y113+46*0.000000001,9))</f>
        <v>9</v>
      </c>
      <c r="AA113" s="2">
        <f>IF(Y113=9,9,IF(AND(Y113&gt;=12/24,Y113&lt;17/24),Y113+46*0.000000001,9))</f>
        <v>9</v>
      </c>
      <c r="AB113" s="2">
        <f>IF(Y113=9,9,IF(AND(Y113&gt;=17/24,Y113&lt;20/24),Y113+46*0.000000001,9))</f>
        <v>9</v>
      </c>
      <c r="AC113" s="2">
        <f>IF(Y113=9,9,IF(OR(Y113&gt;=20/24,Y113&lt;6/24),Y113+46*0.000000001,9))</f>
        <v>9</v>
      </c>
    </row>
    <row r="114" spans="25:29" ht="15" hidden="1" customHeight="1">
      <c r="Y114" s="2">
        <f>IF(OR('Inventory - P16'!E27&lt;4,'Inventory - P16'!F27="",'Inventory - P16'!G27=""),9,MOD('Inventory - P16'!F27+3*'Inventory - P16'!G27/24,1))</f>
        <v>9</v>
      </c>
      <c r="Z114" s="2">
        <f>IF(Y114=9,9,IF(AND(Y114&gt;=6/24,Y114&lt;12/24),Y114+47*0.000000001,9))</f>
        <v>9</v>
      </c>
      <c r="AA114" s="2">
        <f>IF(Y114=9,9,IF(AND(Y114&gt;=12/24,Y114&lt;17/24),Y114+47*0.000000001,9))</f>
        <v>9</v>
      </c>
      <c r="AB114" s="2">
        <f>IF(Y114=9,9,IF(AND(Y114&gt;=17/24,Y114&lt;20/24),Y114+47*0.000000001,9))</f>
        <v>9</v>
      </c>
      <c r="AC114" s="2">
        <f>IF(Y114=9,9,IF(OR(Y114&gt;=20/24,Y114&lt;6/24),Y114+47*0.000000001,9))</f>
        <v>9</v>
      </c>
    </row>
  </sheetData>
  <mergeCells count="27">
    <mergeCell ref="A1:K1"/>
    <mergeCell ref="A3:E4"/>
    <mergeCell ref="F3:K4"/>
    <mergeCell ref="D5:E5"/>
    <mergeCell ref="G5:H5"/>
    <mergeCell ref="J5:K5"/>
    <mergeCell ref="E6:F6"/>
    <mergeCell ref="A5:B5"/>
    <mergeCell ref="A8:A9"/>
    <mergeCell ref="B8:B9"/>
    <mergeCell ref="C8:C9"/>
    <mergeCell ref="D8:D9"/>
    <mergeCell ref="E8:E9"/>
    <mergeCell ref="F8:F9"/>
    <mergeCell ref="A49:V49"/>
    <mergeCell ref="G8:G9"/>
    <mergeCell ref="H8:H9"/>
    <mergeCell ref="I8:J8"/>
    <mergeCell ref="K8:L8"/>
    <mergeCell ref="M8:N8"/>
    <mergeCell ref="O8:P8"/>
    <mergeCell ref="Q8:R8"/>
    <mergeCell ref="S8:T8"/>
    <mergeCell ref="U8:V8"/>
    <mergeCell ref="A10:V10"/>
    <mergeCell ref="A23:V23"/>
    <mergeCell ref="A36:V36"/>
  </mergeCells>
  <conditionalFormatting sqref="A11:V11">
    <cfRule type="expression" dxfId="61" priority="1">
      <formula>$W11&gt;=9</formula>
    </cfRule>
  </conditionalFormatting>
  <conditionalFormatting sqref="A12:V12">
    <cfRule type="expression" dxfId="60" priority="2">
      <formula>$W12&gt;=9</formula>
    </cfRule>
  </conditionalFormatting>
  <conditionalFormatting sqref="A13:V13">
    <cfRule type="expression" dxfId="59" priority="3">
      <formula>$W13&gt;=9</formula>
    </cfRule>
  </conditionalFormatting>
  <conditionalFormatting sqref="A14:V14">
    <cfRule type="expression" dxfId="58" priority="4">
      <formula>$W14&gt;=9</formula>
    </cfRule>
  </conditionalFormatting>
  <conditionalFormatting sqref="A15:V15">
    <cfRule type="expression" dxfId="57" priority="5">
      <formula>$W15&gt;=9</formula>
    </cfRule>
  </conditionalFormatting>
  <conditionalFormatting sqref="A16:V16">
    <cfRule type="expression" dxfId="56" priority="6">
      <formula>$W16&gt;=9</formula>
    </cfRule>
  </conditionalFormatting>
  <conditionalFormatting sqref="A17:V17">
    <cfRule type="expression" dxfId="55" priority="7">
      <formula>$W17&gt;=9</formula>
    </cfRule>
  </conditionalFormatting>
  <conditionalFormatting sqref="A18:V18">
    <cfRule type="expression" dxfId="54" priority="8">
      <formula>$W18&gt;=9</formula>
    </cfRule>
  </conditionalFormatting>
  <conditionalFormatting sqref="A19:V19">
    <cfRule type="expression" dxfId="53" priority="9">
      <formula>$W19&gt;=9</formula>
    </cfRule>
  </conditionalFormatting>
  <conditionalFormatting sqref="A20:V20">
    <cfRule type="expression" dxfId="52" priority="10">
      <formula>$W20&gt;=9</formula>
    </cfRule>
  </conditionalFormatting>
  <conditionalFormatting sqref="A21:V21">
    <cfRule type="expression" dxfId="51" priority="11">
      <formula>$W21&gt;=9</formula>
    </cfRule>
  </conditionalFormatting>
  <conditionalFormatting sqref="A22:V22">
    <cfRule type="expression" dxfId="50" priority="12">
      <formula>$W22&gt;=9</formula>
    </cfRule>
  </conditionalFormatting>
  <conditionalFormatting sqref="A24:V24">
    <cfRule type="expression" dxfId="49" priority="13">
      <formula>$W24&gt;=9</formula>
    </cfRule>
  </conditionalFormatting>
  <conditionalFormatting sqref="A25:V25">
    <cfRule type="expression" dxfId="48" priority="14">
      <formula>$W25&gt;=9</formula>
    </cfRule>
  </conditionalFormatting>
  <conditionalFormatting sqref="A26:V26">
    <cfRule type="expression" dxfId="47" priority="15">
      <formula>$W26&gt;=9</formula>
    </cfRule>
  </conditionalFormatting>
  <conditionalFormatting sqref="A27:V27">
    <cfRule type="expression" dxfId="46" priority="16">
      <formula>$W27&gt;=9</formula>
    </cfRule>
  </conditionalFormatting>
  <conditionalFormatting sqref="A28:V28">
    <cfRule type="expression" dxfId="45" priority="17">
      <formula>$W28&gt;=9</formula>
    </cfRule>
  </conditionalFormatting>
  <conditionalFormatting sqref="A29:V29">
    <cfRule type="expression" dxfId="44" priority="18">
      <formula>$W29&gt;=9</formula>
    </cfRule>
  </conditionalFormatting>
  <conditionalFormatting sqref="A30:V30">
    <cfRule type="expression" dxfId="43" priority="19">
      <formula>$W30&gt;=9</formula>
    </cfRule>
  </conditionalFormatting>
  <conditionalFormatting sqref="A31:V31">
    <cfRule type="expression" dxfId="42" priority="20">
      <formula>$W31&gt;=9</formula>
    </cfRule>
  </conditionalFormatting>
  <conditionalFormatting sqref="A32:V32">
    <cfRule type="expression" dxfId="41" priority="21">
      <formula>$W32&gt;=9</formula>
    </cfRule>
  </conditionalFormatting>
  <conditionalFormatting sqref="A33:V33">
    <cfRule type="expression" dxfId="40" priority="22">
      <formula>$W33&gt;=9</formula>
    </cfRule>
  </conditionalFormatting>
  <conditionalFormatting sqref="A34:V34">
    <cfRule type="expression" dxfId="39" priority="23">
      <formula>$W34&gt;=9</formula>
    </cfRule>
  </conditionalFormatting>
  <conditionalFormatting sqref="A35:V35">
    <cfRule type="expression" dxfId="38" priority="24">
      <formula>$W35&gt;=9</formula>
    </cfRule>
  </conditionalFormatting>
  <conditionalFormatting sqref="A37:V37">
    <cfRule type="expression" dxfId="37" priority="25">
      <formula>$W37&gt;=9</formula>
    </cfRule>
  </conditionalFormatting>
  <conditionalFormatting sqref="A38:V38">
    <cfRule type="expression" dxfId="36" priority="26">
      <formula>$W38&gt;=9</formula>
    </cfRule>
  </conditionalFormatting>
  <conditionalFormatting sqref="A39:V39">
    <cfRule type="expression" dxfId="35" priority="27">
      <formula>$W39&gt;=9</formula>
    </cfRule>
  </conditionalFormatting>
  <conditionalFormatting sqref="A40:V40">
    <cfRule type="expression" dxfId="34" priority="28">
      <formula>$W40&gt;=9</formula>
    </cfRule>
  </conditionalFormatting>
  <conditionalFormatting sqref="A41:V41">
    <cfRule type="expression" dxfId="33" priority="29">
      <formula>$W41&gt;=9</formula>
    </cfRule>
  </conditionalFormatting>
  <conditionalFormatting sqref="A42:V42">
    <cfRule type="expression" dxfId="32" priority="30">
      <formula>$W42&gt;=9</formula>
    </cfRule>
  </conditionalFormatting>
  <conditionalFormatting sqref="A43:V43">
    <cfRule type="expression" dxfId="31" priority="31">
      <formula>$W43&gt;=9</formula>
    </cfRule>
  </conditionalFormatting>
  <conditionalFormatting sqref="A44:V44">
    <cfRule type="expression" dxfId="30" priority="32">
      <formula>$W44&gt;=9</formula>
    </cfRule>
  </conditionalFormatting>
  <conditionalFormatting sqref="A45:V45">
    <cfRule type="expression" dxfId="29" priority="33">
      <formula>$W45&gt;=9</formula>
    </cfRule>
  </conditionalFormatting>
  <conditionalFormatting sqref="A46:V46">
    <cfRule type="expression" dxfId="28" priority="34">
      <formula>$W46&gt;=9</formula>
    </cfRule>
  </conditionalFormatting>
  <conditionalFormatting sqref="A47:V47">
    <cfRule type="expression" dxfId="27" priority="35">
      <formula>$W47&gt;=9</formula>
    </cfRule>
  </conditionalFormatting>
  <conditionalFormatting sqref="A48:V48">
    <cfRule type="expression" dxfId="26" priority="36">
      <formula>$W48&gt;=9</formula>
    </cfRule>
  </conditionalFormatting>
  <conditionalFormatting sqref="A50:V50">
    <cfRule type="expression" dxfId="25" priority="37">
      <formula>$W50&gt;=9</formula>
    </cfRule>
  </conditionalFormatting>
  <conditionalFormatting sqref="A51:V51">
    <cfRule type="expression" dxfId="24" priority="38">
      <formula>$W51&gt;=9</formula>
    </cfRule>
  </conditionalFormatting>
  <conditionalFormatting sqref="A52:V52">
    <cfRule type="expression" dxfId="23" priority="39">
      <formula>$W52&gt;=9</formula>
    </cfRule>
  </conditionalFormatting>
  <conditionalFormatting sqref="A53:V53">
    <cfRule type="expression" dxfId="22" priority="40">
      <formula>$W53&gt;=9</formula>
    </cfRule>
  </conditionalFormatting>
  <conditionalFormatting sqref="A54:V54">
    <cfRule type="expression" dxfId="21" priority="41">
      <formula>$W54&gt;=9</formula>
    </cfRule>
  </conditionalFormatting>
  <conditionalFormatting sqref="A55:V55">
    <cfRule type="expression" dxfId="20" priority="42">
      <formula>$W55&gt;=9</formula>
    </cfRule>
  </conditionalFormatting>
  <conditionalFormatting sqref="A56:V56">
    <cfRule type="expression" dxfId="19" priority="43">
      <formula>$W56&gt;=9</formula>
    </cfRule>
  </conditionalFormatting>
  <conditionalFormatting sqref="A57:V57">
    <cfRule type="expression" dxfId="18" priority="44">
      <formula>$W57&gt;=9</formula>
    </cfRule>
  </conditionalFormatting>
  <conditionalFormatting sqref="A58:V58">
    <cfRule type="expression" dxfId="17" priority="45">
      <formula>$W58&gt;=9</formula>
    </cfRule>
  </conditionalFormatting>
  <conditionalFormatting sqref="A59:V59">
    <cfRule type="expression" dxfId="16" priority="46">
      <formula>$W59&gt;=9</formula>
    </cfRule>
  </conditionalFormatting>
  <conditionalFormatting sqref="A60:V60">
    <cfRule type="expression" dxfId="15" priority="47">
      <formula>$W60&gt;=9</formula>
    </cfRule>
  </conditionalFormatting>
  <conditionalFormatting sqref="A61:V61">
    <cfRule type="expression" dxfId="14" priority="48">
      <formula>$W61&gt;=9</formula>
    </cfRule>
  </conditionalFormatting>
  <conditionalFormatting sqref="H10:H61">
    <cfRule type="cellIs" dxfId="13" priority="49" operator="equal">
      <formula>"Physical"</formula>
    </cfRule>
  </conditionalFormatting>
  <conditionalFormatting sqref="H10:H61">
    <cfRule type="cellIs" dxfId="12" priority="50" operator="equal">
      <formula>"Psychological"</formula>
    </cfRule>
  </conditionalFormatting>
  <conditionalFormatting sqref="G10:G61">
    <cfRule type="cellIs" dxfId="11" priority="51" operator="equal">
      <formula>"Y"</formula>
    </cfRule>
  </conditionalFormatting>
  <conditionalFormatting sqref="G10:G61">
    <cfRule type="cellIs" dxfId="10" priority="52" operator="equal">
      <formula>"N"</formula>
    </cfRule>
  </conditionalFormatting>
  <pageMargins left="0.75" right="0.75" top="1" bottom="1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67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24" style="2" customWidth="1"/>
    <col min="2" max="2" width="18" customWidth="1"/>
    <col min="3" max="4" width="13" customWidth="1"/>
    <col min="5" max="5" width="9" customWidth="1"/>
    <col min="6" max="6" width="13" customWidth="1"/>
    <col min="7" max="7" width="15" customWidth="1"/>
    <col min="8" max="17" width="13" customWidth="1"/>
    <col min="18" max="18" width="30" customWidth="1"/>
    <col min="19" max="19" width="10" customWidth="1"/>
    <col min="20" max="20" width="13" customWidth="1"/>
    <col min="21" max="25" width="12" customWidth="1"/>
    <col min="26" max="26" width="8.7109375" customWidth="1"/>
  </cols>
  <sheetData>
    <row r="1" spans="1:25" ht="19.5" customHeight="1">
      <c r="A1" s="150" t="s">
        <v>228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2"/>
      <c r="V1" s="2"/>
      <c r="W1" s="2"/>
      <c r="X1" s="2"/>
      <c r="Y1" s="2"/>
    </row>
    <row r="2" spans="1:25" ht="15" customHeight="1">
      <c r="A2" s="128" t="s">
        <v>229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2"/>
      <c r="V2" s="2"/>
      <c r="W2" s="2"/>
      <c r="X2" s="2"/>
      <c r="Y2" s="2"/>
    </row>
    <row r="3" spans="1: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6.25" customHeight="1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15</v>
      </c>
      <c r="K4" s="4" t="s">
        <v>24</v>
      </c>
      <c r="L4" s="4" t="s">
        <v>21</v>
      </c>
      <c r="M4" s="4" t="s">
        <v>68</v>
      </c>
      <c r="N4" s="4" t="s">
        <v>18</v>
      </c>
      <c r="O4" s="4" t="s">
        <v>69</v>
      </c>
      <c r="P4" s="4" t="s">
        <v>70</v>
      </c>
      <c r="Q4" s="4" t="s">
        <v>71</v>
      </c>
      <c r="R4" s="4" t="s">
        <v>72</v>
      </c>
      <c r="S4" s="4" t="s">
        <v>73</v>
      </c>
      <c r="T4" s="4" t="s">
        <v>75</v>
      </c>
      <c r="U4" s="4" t="s">
        <v>132</v>
      </c>
      <c r="V4" s="4" t="s">
        <v>133</v>
      </c>
      <c r="W4" s="4" t="s">
        <v>134</v>
      </c>
      <c r="X4" s="4" t="s">
        <v>135</v>
      </c>
      <c r="Y4" s="4" t="s">
        <v>136</v>
      </c>
    </row>
    <row r="5" spans="1:25" ht="15" customHeight="1">
      <c r="A5" s="2">
        <v>2001</v>
      </c>
      <c r="B5" s="2" t="s">
        <v>230</v>
      </c>
      <c r="C5" s="54">
        <v>46207</v>
      </c>
      <c r="D5" s="2">
        <v>13</v>
      </c>
      <c r="E5" s="2" t="s">
        <v>126</v>
      </c>
      <c r="F5" s="2" t="s">
        <v>231</v>
      </c>
      <c r="G5" s="2" t="s">
        <v>28</v>
      </c>
      <c r="H5" s="2" t="s">
        <v>78</v>
      </c>
      <c r="I5" s="2" t="s">
        <v>80</v>
      </c>
      <c r="J5" s="2" t="s">
        <v>79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36</v>
      </c>
      <c r="P5" s="2"/>
      <c r="Q5" s="2" t="s">
        <v>33</v>
      </c>
      <c r="R5" s="2"/>
      <c r="S5" s="2" t="s">
        <v>87</v>
      </c>
      <c r="T5" s="54">
        <v>46220</v>
      </c>
      <c r="U5" s="34" t="s">
        <v>80</v>
      </c>
      <c r="V5" s="34" t="s">
        <v>79</v>
      </c>
      <c r="W5" s="34" t="s">
        <v>80</v>
      </c>
      <c r="X5" s="34" t="s">
        <v>79</v>
      </c>
      <c r="Y5" s="34" t="s">
        <v>79</v>
      </c>
    </row>
    <row r="6" spans="1:25" ht="15" customHeight="1">
      <c r="A6" s="2">
        <v>2002</v>
      </c>
      <c r="B6" s="2" t="s">
        <v>232</v>
      </c>
      <c r="C6" s="54">
        <v>46034</v>
      </c>
      <c r="D6" s="2">
        <v>6</v>
      </c>
      <c r="E6" s="2" t="s">
        <v>103</v>
      </c>
      <c r="F6" s="2" t="s">
        <v>231</v>
      </c>
      <c r="G6" s="2" t="s">
        <v>23</v>
      </c>
      <c r="H6" s="2" t="s">
        <v>78</v>
      </c>
      <c r="I6" s="2" t="s">
        <v>80</v>
      </c>
      <c r="J6" s="2" t="s">
        <v>80</v>
      </c>
      <c r="K6" s="2" t="s">
        <v>79</v>
      </c>
      <c r="L6" s="2" t="s">
        <v>79</v>
      </c>
      <c r="M6" s="2" t="s">
        <v>79</v>
      </c>
      <c r="N6" s="2" t="s">
        <v>80</v>
      </c>
      <c r="O6" s="2" t="s">
        <v>36</v>
      </c>
      <c r="P6" s="2"/>
      <c r="Q6" s="2" t="s">
        <v>25</v>
      </c>
      <c r="R6" s="2"/>
      <c r="S6" s="2" t="s">
        <v>106</v>
      </c>
      <c r="T6" s="54">
        <v>46040</v>
      </c>
      <c r="U6" s="34" t="s">
        <v>80</v>
      </c>
      <c r="V6" s="34" t="s">
        <v>79</v>
      </c>
      <c r="W6" s="34" t="s">
        <v>79</v>
      </c>
      <c r="X6" s="34" t="s">
        <v>80</v>
      </c>
      <c r="Y6" s="34" t="s">
        <v>79</v>
      </c>
    </row>
    <row r="7" spans="1:25" ht="15" customHeight="1">
      <c r="A7" s="2">
        <v>2003</v>
      </c>
      <c r="B7" s="2" t="s">
        <v>233</v>
      </c>
      <c r="C7" s="54">
        <v>46065</v>
      </c>
      <c r="D7" s="2">
        <v>9</v>
      </c>
      <c r="E7" s="2" t="s">
        <v>83</v>
      </c>
      <c r="F7" s="2" t="s">
        <v>234</v>
      </c>
      <c r="G7" s="2" t="s">
        <v>28</v>
      </c>
      <c r="H7" s="2" t="s">
        <v>227</v>
      </c>
      <c r="I7" s="2" t="s">
        <v>80</v>
      </c>
      <c r="J7" s="2" t="s">
        <v>79</v>
      </c>
      <c r="K7" s="2" t="s">
        <v>80</v>
      </c>
      <c r="L7" s="2" t="s">
        <v>79</v>
      </c>
      <c r="M7" s="2" t="s">
        <v>80</v>
      </c>
      <c r="N7" s="2" t="s">
        <v>79</v>
      </c>
      <c r="O7" s="2" t="s">
        <v>36</v>
      </c>
      <c r="P7" s="2"/>
      <c r="Q7" s="2"/>
      <c r="R7" s="2"/>
      <c r="S7" s="2" t="s">
        <v>84</v>
      </c>
      <c r="T7" s="54">
        <v>46074</v>
      </c>
      <c r="U7" s="34" t="s">
        <v>79</v>
      </c>
      <c r="V7" s="34" t="s">
        <v>79</v>
      </c>
      <c r="W7" s="34" t="s">
        <v>80</v>
      </c>
      <c r="X7" s="34" t="s">
        <v>80</v>
      </c>
      <c r="Y7" s="34" t="s">
        <v>79</v>
      </c>
    </row>
    <row r="8" spans="1:25" ht="15" customHeight="1">
      <c r="A8" s="2">
        <v>2004</v>
      </c>
      <c r="B8" s="2" t="s">
        <v>235</v>
      </c>
      <c r="C8" s="54">
        <v>46179</v>
      </c>
      <c r="D8" s="2">
        <v>18</v>
      </c>
      <c r="E8" s="2" t="s">
        <v>126</v>
      </c>
      <c r="F8" s="2" t="s">
        <v>231</v>
      </c>
      <c r="G8" s="2" t="s">
        <v>14</v>
      </c>
      <c r="H8" s="2" t="s">
        <v>78</v>
      </c>
      <c r="I8" s="2" t="s">
        <v>79</v>
      </c>
      <c r="J8" s="2" t="s">
        <v>79</v>
      </c>
      <c r="K8" s="2" t="s">
        <v>80</v>
      </c>
      <c r="L8" s="2" t="s">
        <v>79</v>
      </c>
      <c r="M8" s="2" t="s">
        <v>80</v>
      </c>
      <c r="N8" s="2" t="s">
        <v>80</v>
      </c>
      <c r="O8" s="2"/>
      <c r="P8" s="2" t="s">
        <v>19</v>
      </c>
      <c r="Q8" s="2"/>
      <c r="R8" s="2"/>
      <c r="S8" s="2" t="s">
        <v>106</v>
      </c>
      <c r="T8" s="54">
        <v>46197</v>
      </c>
      <c r="U8" s="34" t="s">
        <v>80</v>
      </c>
      <c r="V8" s="34" t="s">
        <v>79</v>
      </c>
      <c r="W8" s="34" t="s">
        <v>79</v>
      </c>
      <c r="X8" s="34" t="s">
        <v>79</v>
      </c>
      <c r="Y8" s="34" t="s">
        <v>80</v>
      </c>
    </row>
    <row r="9" spans="1:25" ht="15" customHeight="1">
      <c r="A9" s="2">
        <v>2005</v>
      </c>
      <c r="B9" s="2" t="s">
        <v>236</v>
      </c>
      <c r="C9" s="54">
        <v>46050</v>
      </c>
      <c r="D9" s="2">
        <v>11</v>
      </c>
      <c r="E9" s="2" t="s">
        <v>83</v>
      </c>
      <c r="F9" s="2" t="s">
        <v>234</v>
      </c>
      <c r="G9" s="2" t="s">
        <v>14</v>
      </c>
      <c r="H9" s="2" t="s">
        <v>78</v>
      </c>
      <c r="I9" s="2" t="s">
        <v>80</v>
      </c>
      <c r="J9" s="2" t="s">
        <v>80</v>
      </c>
      <c r="K9" s="2" t="s">
        <v>80</v>
      </c>
      <c r="L9" s="2" t="s">
        <v>79</v>
      </c>
      <c r="M9" s="2" t="s">
        <v>79</v>
      </c>
      <c r="N9" s="2" t="s">
        <v>79</v>
      </c>
      <c r="O9" s="2" t="s">
        <v>36</v>
      </c>
      <c r="P9" s="2"/>
      <c r="Q9" s="2" t="s">
        <v>30</v>
      </c>
      <c r="R9" s="2"/>
      <c r="S9" s="2" t="s">
        <v>84</v>
      </c>
      <c r="T9" s="54">
        <v>46061</v>
      </c>
      <c r="U9" s="34" t="s">
        <v>79</v>
      </c>
      <c r="V9" s="34" t="s">
        <v>79</v>
      </c>
      <c r="W9" s="34" t="s">
        <v>79</v>
      </c>
      <c r="X9" s="34" t="s">
        <v>79</v>
      </c>
      <c r="Y9" s="34" t="s">
        <v>80</v>
      </c>
    </row>
    <row r="10" spans="1:25" ht="15" customHeight="1">
      <c r="A10" s="2">
        <v>2006</v>
      </c>
      <c r="B10" s="2" t="s">
        <v>237</v>
      </c>
      <c r="C10" s="54">
        <v>46102</v>
      </c>
      <c r="D10" s="2">
        <v>21</v>
      </c>
      <c r="E10" s="2" t="s">
        <v>126</v>
      </c>
      <c r="F10" s="2" t="s">
        <v>234</v>
      </c>
      <c r="G10" s="2" t="s">
        <v>34</v>
      </c>
      <c r="H10" s="2" t="s">
        <v>227</v>
      </c>
      <c r="I10" s="2" t="s">
        <v>80</v>
      </c>
      <c r="J10" s="2" t="s">
        <v>79</v>
      </c>
      <c r="K10" s="2" t="s">
        <v>79</v>
      </c>
      <c r="L10" s="2" t="s">
        <v>79</v>
      </c>
      <c r="M10" s="2" t="s">
        <v>80</v>
      </c>
      <c r="N10" s="2" t="s">
        <v>79</v>
      </c>
      <c r="O10" s="2" t="s">
        <v>37</v>
      </c>
      <c r="P10" s="2"/>
      <c r="Q10" s="2"/>
      <c r="R10" s="2"/>
      <c r="S10" s="2" t="s">
        <v>97</v>
      </c>
      <c r="T10" s="54">
        <v>46123</v>
      </c>
      <c r="U10" s="34" t="s">
        <v>79</v>
      </c>
      <c r="V10" s="34" t="s">
        <v>80</v>
      </c>
      <c r="W10" s="34" t="s">
        <v>79</v>
      </c>
      <c r="X10" s="34" t="s">
        <v>80</v>
      </c>
      <c r="Y10" s="34" t="s">
        <v>80</v>
      </c>
    </row>
    <row r="11" spans="1:25" ht="15" customHeight="1">
      <c r="A11" s="2">
        <v>2007</v>
      </c>
      <c r="B11" s="2" t="s">
        <v>238</v>
      </c>
      <c r="C11" s="54">
        <v>46126</v>
      </c>
      <c r="D11" s="2">
        <v>5</v>
      </c>
      <c r="E11" s="2" t="s">
        <v>103</v>
      </c>
      <c r="F11" s="2" t="s">
        <v>234</v>
      </c>
      <c r="G11" s="2" t="s">
        <v>31</v>
      </c>
      <c r="H11" s="2" t="s">
        <v>78</v>
      </c>
      <c r="I11" s="2" t="s">
        <v>80</v>
      </c>
      <c r="J11" s="2" t="s">
        <v>79</v>
      </c>
      <c r="K11" s="2" t="s">
        <v>80</v>
      </c>
      <c r="L11" s="2" t="s">
        <v>80</v>
      </c>
      <c r="M11" s="2" t="s">
        <v>79</v>
      </c>
      <c r="N11" s="2" t="s">
        <v>79</v>
      </c>
      <c r="O11" s="2" t="s">
        <v>36</v>
      </c>
      <c r="P11" s="2"/>
      <c r="Q11" s="2" t="s">
        <v>25</v>
      </c>
      <c r="R11" s="2"/>
      <c r="S11" s="2" t="s">
        <v>105</v>
      </c>
      <c r="T11" s="54">
        <v>46131</v>
      </c>
      <c r="U11" s="34" t="s">
        <v>79</v>
      </c>
      <c r="V11" s="34" t="s">
        <v>80</v>
      </c>
      <c r="W11" s="34" t="s">
        <v>80</v>
      </c>
      <c r="X11" s="34" t="s">
        <v>80</v>
      </c>
      <c r="Y11" s="34" t="s">
        <v>79</v>
      </c>
    </row>
    <row r="12" spans="1:25" ht="15" customHeight="1">
      <c r="A12" s="2">
        <v>2008</v>
      </c>
      <c r="B12" s="2" t="s">
        <v>239</v>
      </c>
      <c r="C12" s="54">
        <v>46020</v>
      </c>
      <c r="D12" s="2">
        <v>17</v>
      </c>
      <c r="E12" s="2" t="s">
        <v>126</v>
      </c>
      <c r="F12" s="2" t="s">
        <v>240</v>
      </c>
      <c r="G12" s="2" t="s">
        <v>14</v>
      </c>
      <c r="H12" s="2" t="s">
        <v>227</v>
      </c>
      <c r="I12" s="2" t="s">
        <v>79</v>
      </c>
      <c r="J12" s="2" t="s">
        <v>80</v>
      </c>
      <c r="K12" s="2" t="s">
        <v>79</v>
      </c>
      <c r="L12" s="2" t="s">
        <v>79</v>
      </c>
      <c r="M12" s="2" t="s">
        <v>79</v>
      </c>
      <c r="N12" s="2" t="s">
        <v>80</v>
      </c>
      <c r="O12" s="2"/>
      <c r="P12" s="2" t="s">
        <v>22</v>
      </c>
      <c r="Q12" s="2"/>
      <c r="R12" s="2"/>
      <c r="S12" s="2" t="s">
        <v>107</v>
      </c>
      <c r="T12" s="54">
        <v>46037</v>
      </c>
      <c r="U12" s="34" t="s">
        <v>79</v>
      </c>
      <c r="V12" s="34" t="s">
        <v>79</v>
      </c>
      <c r="W12" s="34" t="s">
        <v>80</v>
      </c>
      <c r="X12" s="34" t="s">
        <v>79</v>
      </c>
      <c r="Y12" s="34" t="s">
        <v>79</v>
      </c>
    </row>
    <row r="13" spans="1:25" ht="15" customHeight="1">
      <c r="A13" s="2">
        <v>2009</v>
      </c>
      <c r="B13" s="2" t="s">
        <v>241</v>
      </c>
      <c r="C13" s="54">
        <v>46128</v>
      </c>
      <c r="D13" s="2">
        <v>17</v>
      </c>
      <c r="E13" s="2" t="s">
        <v>103</v>
      </c>
      <c r="F13" s="2" t="s">
        <v>234</v>
      </c>
      <c r="G13" s="2" t="s">
        <v>28</v>
      </c>
      <c r="H13" s="2" t="s">
        <v>227</v>
      </c>
      <c r="I13" s="2" t="s">
        <v>80</v>
      </c>
      <c r="J13" s="2" t="s">
        <v>79</v>
      </c>
      <c r="K13" s="2" t="s">
        <v>80</v>
      </c>
      <c r="L13" s="2" t="s">
        <v>79</v>
      </c>
      <c r="M13" s="2" t="s">
        <v>79</v>
      </c>
      <c r="N13" s="2" t="s">
        <v>80</v>
      </c>
      <c r="O13" s="2" t="s">
        <v>36</v>
      </c>
      <c r="P13" s="2"/>
      <c r="Q13" s="2"/>
      <c r="R13" s="2"/>
      <c r="S13" s="2" t="s">
        <v>105</v>
      </c>
      <c r="T13" s="54">
        <v>46145</v>
      </c>
      <c r="U13" s="34" t="s">
        <v>79</v>
      </c>
      <c r="V13" s="34" t="s">
        <v>79</v>
      </c>
      <c r="W13" s="34" t="s">
        <v>79</v>
      </c>
      <c r="X13" s="34" t="s">
        <v>79</v>
      </c>
      <c r="Y13" s="34" t="s">
        <v>80</v>
      </c>
    </row>
    <row r="14" spans="1:25" ht="15" customHeight="1">
      <c r="A14" s="2">
        <v>2010</v>
      </c>
      <c r="B14" s="2" t="s">
        <v>242</v>
      </c>
      <c r="C14" s="54">
        <v>46043</v>
      </c>
      <c r="D14" s="2">
        <v>6</v>
      </c>
      <c r="E14" s="2" t="s">
        <v>103</v>
      </c>
      <c r="F14" s="2" t="s">
        <v>231</v>
      </c>
      <c r="G14" s="2" t="s">
        <v>26</v>
      </c>
      <c r="H14" s="2" t="s">
        <v>78</v>
      </c>
      <c r="I14" s="2" t="s">
        <v>80</v>
      </c>
      <c r="J14" s="2" t="s">
        <v>80</v>
      </c>
      <c r="K14" s="2" t="s">
        <v>80</v>
      </c>
      <c r="L14" s="2" t="s">
        <v>80</v>
      </c>
      <c r="M14" s="2" t="s">
        <v>80</v>
      </c>
      <c r="N14" s="2" t="s">
        <v>80</v>
      </c>
      <c r="O14" s="2" t="s">
        <v>36</v>
      </c>
      <c r="P14" s="2"/>
      <c r="Q14" s="2" t="s">
        <v>25</v>
      </c>
      <c r="R14" s="2"/>
      <c r="S14" s="2" t="s">
        <v>97</v>
      </c>
      <c r="T14" s="54">
        <v>46049</v>
      </c>
      <c r="U14" s="34" t="s">
        <v>79</v>
      </c>
      <c r="V14" s="34" t="s">
        <v>79</v>
      </c>
      <c r="W14" s="34" t="s">
        <v>80</v>
      </c>
      <c r="X14" s="34" t="s">
        <v>79</v>
      </c>
      <c r="Y14" s="34" t="s">
        <v>79</v>
      </c>
    </row>
    <row r="15" spans="1:25" ht="15" customHeight="1">
      <c r="A15" s="2">
        <v>2011</v>
      </c>
      <c r="B15" s="2" t="s">
        <v>243</v>
      </c>
      <c r="C15" s="54">
        <v>46112</v>
      </c>
      <c r="D15" s="2">
        <v>15</v>
      </c>
      <c r="E15" s="2" t="s">
        <v>103</v>
      </c>
      <c r="F15" s="2" t="s">
        <v>234</v>
      </c>
      <c r="G15" s="2" t="s">
        <v>14</v>
      </c>
      <c r="H15" s="2" t="s">
        <v>227</v>
      </c>
      <c r="I15" s="2" t="s">
        <v>79</v>
      </c>
      <c r="J15" s="2" t="s">
        <v>79</v>
      </c>
      <c r="K15" s="2" t="s">
        <v>79</v>
      </c>
      <c r="L15" s="2" t="s">
        <v>79</v>
      </c>
      <c r="M15" s="2" t="s">
        <v>80</v>
      </c>
      <c r="N15" s="2" t="s">
        <v>79</v>
      </c>
      <c r="O15" s="2"/>
      <c r="P15" s="2" t="s">
        <v>22</v>
      </c>
      <c r="Q15" s="2"/>
      <c r="R15" s="2"/>
      <c r="S15" s="2" t="s">
        <v>97</v>
      </c>
      <c r="T15" s="54">
        <v>46127</v>
      </c>
      <c r="U15" s="34" t="s">
        <v>79</v>
      </c>
      <c r="V15" s="34" t="s">
        <v>79</v>
      </c>
      <c r="W15" s="34" t="s">
        <v>79</v>
      </c>
      <c r="X15" s="34" t="s">
        <v>79</v>
      </c>
      <c r="Y15" s="34" t="s">
        <v>79</v>
      </c>
    </row>
    <row r="16" spans="1:25" ht="15" customHeight="1">
      <c r="A16" s="2">
        <v>2012</v>
      </c>
      <c r="B16" s="2" t="s">
        <v>244</v>
      </c>
      <c r="C16" s="54">
        <v>46201</v>
      </c>
      <c r="D16" s="2">
        <v>18</v>
      </c>
      <c r="E16" s="2" t="s">
        <v>126</v>
      </c>
      <c r="F16" s="2" t="s">
        <v>234</v>
      </c>
      <c r="G16" s="2" t="s">
        <v>23</v>
      </c>
      <c r="H16" s="2" t="s">
        <v>227</v>
      </c>
      <c r="I16" s="2" t="s">
        <v>80</v>
      </c>
      <c r="J16" s="2" t="s">
        <v>79</v>
      </c>
      <c r="K16" s="2" t="s">
        <v>80</v>
      </c>
      <c r="L16" s="2" t="s">
        <v>79</v>
      </c>
      <c r="M16" s="2" t="s">
        <v>79</v>
      </c>
      <c r="N16" s="2" t="s">
        <v>80</v>
      </c>
      <c r="O16" s="2" t="s">
        <v>37</v>
      </c>
      <c r="P16" s="2"/>
      <c r="Q16" s="2"/>
      <c r="R16" s="2"/>
      <c r="S16" s="2" t="s">
        <v>93</v>
      </c>
      <c r="T16" s="54">
        <v>46219</v>
      </c>
      <c r="U16" s="34" t="s">
        <v>79</v>
      </c>
      <c r="V16" s="34" t="s">
        <v>79</v>
      </c>
      <c r="W16" s="34" t="s">
        <v>80</v>
      </c>
      <c r="X16" s="34" t="s">
        <v>80</v>
      </c>
      <c r="Y16" s="34" t="s">
        <v>79</v>
      </c>
    </row>
    <row r="17" spans="1:25" ht="15" customHeight="1">
      <c r="A17" s="2">
        <v>2013</v>
      </c>
      <c r="B17" s="2" t="s">
        <v>245</v>
      </c>
      <c r="C17" s="54">
        <v>46196</v>
      </c>
      <c r="D17" s="2">
        <v>13</v>
      </c>
      <c r="E17" s="2" t="s">
        <v>83</v>
      </c>
      <c r="F17" s="2" t="s">
        <v>234</v>
      </c>
      <c r="G17" s="2" t="s">
        <v>17</v>
      </c>
      <c r="H17" s="2" t="s">
        <v>78</v>
      </c>
      <c r="I17" s="2" t="s">
        <v>79</v>
      </c>
      <c r="J17" s="2" t="s">
        <v>80</v>
      </c>
      <c r="K17" s="2" t="s">
        <v>79</v>
      </c>
      <c r="L17" s="2" t="s">
        <v>80</v>
      </c>
      <c r="M17" s="2" t="s">
        <v>80</v>
      </c>
      <c r="N17" s="2" t="s">
        <v>80</v>
      </c>
      <c r="O17" s="2"/>
      <c r="P17" s="2" t="s">
        <v>22</v>
      </c>
      <c r="Q17" s="2"/>
      <c r="R17" s="2"/>
      <c r="S17" s="2" t="s">
        <v>107</v>
      </c>
      <c r="T17" s="54">
        <v>46209</v>
      </c>
      <c r="U17" s="34" t="s">
        <v>80</v>
      </c>
      <c r="V17" s="34" t="s">
        <v>79</v>
      </c>
      <c r="W17" s="34" t="s">
        <v>79</v>
      </c>
      <c r="X17" s="34" t="s">
        <v>79</v>
      </c>
      <c r="Y17" s="34" t="s">
        <v>79</v>
      </c>
    </row>
    <row r="18" spans="1:25" ht="15" customHeight="1">
      <c r="A18" s="2">
        <v>2014</v>
      </c>
      <c r="B18" s="2" t="s">
        <v>246</v>
      </c>
      <c r="C18" s="54">
        <v>46092</v>
      </c>
      <c r="D18" s="2">
        <v>5</v>
      </c>
      <c r="E18" s="2" t="s">
        <v>103</v>
      </c>
      <c r="F18" s="2" t="s">
        <v>234</v>
      </c>
      <c r="G18" s="2" t="s">
        <v>20</v>
      </c>
      <c r="H18" s="2" t="s">
        <v>227</v>
      </c>
      <c r="I18" s="2" t="s">
        <v>80</v>
      </c>
      <c r="J18" s="2" t="s">
        <v>79</v>
      </c>
      <c r="K18" s="2" t="s">
        <v>80</v>
      </c>
      <c r="L18" s="2" t="s">
        <v>79</v>
      </c>
      <c r="M18" s="2" t="s">
        <v>80</v>
      </c>
      <c r="N18" s="2" t="s">
        <v>80</v>
      </c>
      <c r="O18" s="2" t="s">
        <v>36</v>
      </c>
      <c r="P18" s="2"/>
      <c r="Q18" s="2"/>
      <c r="R18" s="2"/>
      <c r="S18" s="2" t="s">
        <v>99</v>
      </c>
      <c r="T18" s="54">
        <v>46097</v>
      </c>
      <c r="U18" s="34" t="s">
        <v>80</v>
      </c>
      <c r="V18" s="34" t="s">
        <v>79</v>
      </c>
      <c r="W18" s="34" t="s">
        <v>80</v>
      </c>
      <c r="X18" s="34" t="s">
        <v>80</v>
      </c>
      <c r="Y18" s="34" t="s">
        <v>79</v>
      </c>
    </row>
    <row r="19" spans="1:25" ht="15" customHeight="1">
      <c r="A19" s="2">
        <v>2015</v>
      </c>
      <c r="B19" s="2" t="s">
        <v>247</v>
      </c>
      <c r="C19" s="54">
        <v>46212</v>
      </c>
      <c r="D19" s="2">
        <v>12</v>
      </c>
      <c r="E19" s="2" t="s">
        <v>103</v>
      </c>
      <c r="F19" s="2" t="s">
        <v>240</v>
      </c>
      <c r="G19" s="2" t="s">
        <v>23</v>
      </c>
      <c r="H19" s="2" t="s">
        <v>227</v>
      </c>
      <c r="I19" s="2" t="s">
        <v>79</v>
      </c>
      <c r="J19" s="2" t="s">
        <v>80</v>
      </c>
      <c r="K19" s="2" t="s">
        <v>80</v>
      </c>
      <c r="L19" s="2" t="s">
        <v>79</v>
      </c>
      <c r="M19" s="2" t="s">
        <v>80</v>
      </c>
      <c r="N19" s="2" t="s">
        <v>79</v>
      </c>
      <c r="O19" s="2"/>
      <c r="P19" s="2" t="s">
        <v>22</v>
      </c>
      <c r="Q19" s="2"/>
      <c r="R19" s="2"/>
      <c r="S19" s="2" t="s">
        <v>87</v>
      </c>
      <c r="T19" s="54">
        <v>46224</v>
      </c>
      <c r="U19" s="34" t="s">
        <v>79</v>
      </c>
      <c r="V19" s="34" t="s">
        <v>79</v>
      </c>
      <c r="W19" s="34" t="s">
        <v>79</v>
      </c>
      <c r="X19" s="34" t="s">
        <v>79</v>
      </c>
      <c r="Y19" s="34" t="s">
        <v>80</v>
      </c>
    </row>
    <row r="20" spans="1:25" ht="15" customHeight="1">
      <c r="A20" s="2">
        <v>2016</v>
      </c>
      <c r="B20" s="2" t="s">
        <v>248</v>
      </c>
      <c r="C20" s="54">
        <v>46189</v>
      </c>
      <c r="D20" s="2">
        <v>5</v>
      </c>
      <c r="E20" s="2" t="s">
        <v>83</v>
      </c>
      <c r="F20" s="2" t="s">
        <v>234</v>
      </c>
      <c r="G20" s="2" t="s">
        <v>34</v>
      </c>
      <c r="H20" s="2" t="s">
        <v>227</v>
      </c>
      <c r="I20" s="2" t="s">
        <v>80</v>
      </c>
      <c r="J20" s="2" t="s">
        <v>80</v>
      </c>
      <c r="K20" s="2" t="s">
        <v>79</v>
      </c>
      <c r="L20" s="2" t="s">
        <v>80</v>
      </c>
      <c r="M20" s="2" t="s">
        <v>80</v>
      </c>
      <c r="N20" s="2" t="s">
        <v>79</v>
      </c>
      <c r="O20" s="2" t="s">
        <v>37</v>
      </c>
      <c r="P20" s="2"/>
      <c r="Q20" s="2"/>
      <c r="R20" s="2"/>
      <c r="S20" s="2" t="s">
        <v>107</v>
      </c>
      <c r="T20" s="54">
        <v>46194</v>
      </c>
      <c r="U20" s="34" t="s">
        <v>79</v>
      </c>
      <c r="V20" s="34" t="s">
        <v>80</v>
      </c>
      <c r="W20" s="34" t="s">
        <v>80</v>
      </c>
      <c r="X20" s="34" t="s">
        <v>79</v>
      </c>
      <c r="Y20" s="34" t="s">
        <v>79</v>
      </c>
    </row>
    <row r="21" spans="1:25" ht="15" customHeight="1">
      <c r="A21" s="2">
        <v>2017</v>
      </c>
      <c r="B21" s="2" t="s">
        <v>249</v>
      </c>
      <c r="C21" s="54">
        <v>46216</v>
      </c>
      <c r="D21" s="2">
        <v>7</v>
      </c>
      <c r="E21" s="2" t="s">
        <v>126</v>
      </c>
      <c r="F21" s="2" t="s">
        <v>234</v>
      </c>
      <c r="G21" s="2" t="s">
        <v>23</v>
      </c>
      <c r="H21" s="2" t="s">
        <v>78</v>
      </c>
      <c r="I21" s="2" t="s">
        <v>79</v>
      </c>
      <c r="J21" s="2" t="s">
        <v>79</v>
      </c>
      <c r="K21" s="2" t="s">
        <v>80</v>
      </c>
      <c r="L21" s="2" t="s">
        <v>80</v>
      </c>
      <c r="M21" s="2" t="s">
        <v>80</v>
      </c>
      <c r="N21" s="2" t="s">
        <v>79</v>
      </c>
      <c r="O21" s="2"/>
      <c r="P21" s="2" t="s">
        <v>22</v>
      </c>
      <c r="Q21" s="2"/>
      <c r="R21" s="2"/>
      <c r="S21" s="2" t="s">
        <v>87</v>
      </c>
      <c r="T21" s="54">
        <v>46223</v>
      </c>
      <c r="U21" s="34" t="s">
        <v>79</v>
      </c>
      <c r="V21" s="34" t="s">
        <v>79</v>
      </c>
      <c r="W21" s="34" t="s">
        <v>80</v>
      </c>
      <c r="X21" s="34" t="s">
        <v>80</v>
      </c>
      <c r="Y21" s="34" t="s">
        <v>80</v>
      </c>
    </row>
    <row r="22" spans="1:25" ht="15" customHeight="1">
      <c r="A22" s="2">
        <v>2018</v>
      </c>
      <c r="B22" s="2" t="s">
        <v>250</v>
      </c>
      <c r="C22" s="54">
        <v>46055</v>
      </c>
      <c r="D22" s="2">
        <v>15</v>
      </c>
      <c r="E22" s="2" t="s">
        <v>103</v>
      </c>
      <c r="F22" s="2" t="s">
        <v>240</v>
      </c>
      <c r="G22" s="2" t="s">
        <v>20</v>
      </c>
      <c r="H22" s="2" t="s">
        <v>227</v>
      </c>
      <c r="I22" s="2" t="s">
        <v>79</v>
      </c>
      <c r="J22" s="2" t="s">
        <v>79</v>
      </c>
      <c r="K22" s="2" t="s">
        <v>79</v>
      </c>
      <c r="L22" s="2" t="s">
        <v>79</v>
      </c>
      <c r="M22" s="2" t="s">
        <v>79</v>
      </c>
      <c r="N22" s="2" t="s">
        <v>80</v>
      </c>
      <c r="O22" s="2"/>
      <c r="P22" s="2" t="s">
        <v>16</v>
      </c>
      <c r="Q22" s="2"/>
      <c r="R22" s="2"/>
      <c r="S22" s="2" t="s">
        <v>93</v>
      </c>
      <c r="T22" s="54">
        <v>46070</v>
      </c>
      <c r="U22" s="34" t="s">
        <v>79</v>
      </c>
      <c r="V22" s="34" t="s">
        <v>79</v>
      </c>
      <c r="W22" s="34" t="s">
        <v>80</v>
      </c>
      <c r="X22" s="34" t="s">
        <v>79</v>
      </c>
      <c r="Y22" s="34" t="s">
        <v>80</v>
      </c>
    </row>
    <row r="23" spans="1:25" ht="15" customHeight="1">
      <c r="A23" s="2">
        <v>2019</v>
      </c>
      <c r="B23" s="2" t="s">
        <v>251</v>
      </c>
      <c r="C23" s="54">
        <v>46219</v>
      </c>
      <c r="D23" s="2">
        <v>5</v>
      </c>
      <c r="E23" s="2" t="s">
        <v>92</v>
      </c>
      <c r="F23" s="2" t="s">
        <v>231</v>
      </c>
      <c r="G23" s="2" t="s">
        <v>17</v>
      </c>
      <c r="H23" s="2" t="s">
        <v>227</v>
      </c>
      <c r="I23" s="2" t="s">
        <v>80</v>
      </c>
      <c r="J23" s="2" t="s">
        <v>79</v>
      </c>
      <c r="K23" s="2" t="s">
        <v>79</v>
      </c>
      <c r="L23" s="2" t="s">
        <v>80</v>
      </c>
      <c r="M23" s="2" t="s">
        <v>79</v>
      </c>
      <c r="N23" s="2" t="s">
        <v>79</v>
      </c>
      <c r="O23" s="2" t="s">
        <v>36</v>
      </c>
      <c r="P23" s="2"/>
      <c r="Q23" s="2"/>
      <c r="R23" s="2"/>
      <c r="S23" s="2" t="s">
        <v>97</v>
      </c>
      <c r="T23" s="54">
        <v>46224</v>
      </c>
      <c r="U23" s="34" t="s">
        <v>79</v>
      </c>
      <c r="V23" s="34" t="s">
        <v>79</v>
      </c>
      <c r="W23" s="34" t="s">
        <v>80</v>
      </c>
      <c r="X23" s="34" t="s">
        <v>79</v>
      </c>
      <c r="Y23" s="34" t="s">
        <v>80</v>
      </c>
    </row>
    <row r="24" spans="1:25" ht="15" customHeight="1">
      <c r="A24" s="2">
        <v>2020</v>
      </c>
      <c r="B24" s="2" t="s">
        <v>252</v>
      </c>
      <c r="C24" s="54">
        <v>46213</v>
      </c>
      <c r="D24" s="2">
        <v>5</v>
      </c>
      <c r="E24" s="2" t="s">
        <v>103</v>
      </c>
      <c r="F24" s="2" t="s">
        <v>234</v>
      </c>
      <c r="G24" s="2" t="s">
        <v>14</v>
      </c>
      <c r="H24" s="2" t="s">
        <v>78</v>
      </c>
      <c r="I24" s="2" t="s">
        <v>80</v>
      </c>
      <c r="J24" s="2" t="s">
        <v>79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36</v>
      </c>
      <c r="P24" s="2"/>
      <c r="Q24" s="2" t="s">
        <v>27</v>
      </c>
      <c r="R24" s="2"/>
      <c r="S24" s="2" t="s">
        <v>99</v>
      </c>
      <c r="T24" s="54">
        <v>46218</v>
      </c>
      <c r="U24" s="34" t="s">
        <v>80</v>
      </c>
      <c r="V24" s="34" t="s">
        <v>80</v>
      </c>
      <c r="W24" s="34" t="s">
        <v>79</v>
      </c>
      <c r="X24" s="34" t="s">
        <v>79</v>
      </c>
      <c r="Y24" s="34" t="s">
        <v>80</v>
      </c>
    </row>
    <row r="25" spans="1:25" ht="15" customHeight="1">
      <c r="A25" s="2">
        <v>2021</v>
      </c>
      <c r="B25" s="2" t="s">
        <v>253</v>
      </c>
      <c r="C25" s="54">
        <v>46146</v>
      </c>
      <c r="D25" s="2">
        <v>17</v>
      </c>
      <c r="E25" s="2" t="s">
        <v>103</v>
      </c>
      <c r="F25" s="2" t="s">
        <v>240</v>
      </c>
      <c r="G25" s="2" t="s">
        <v>28</v>
      </c>
      <c r="H25" s="2" t="s">
        <v>227</v>
      </c>
      <c r="I25" s="2" t="s">
        <v>79</v>
      </c>
      <c r="J25" s="2" t="s">
        <v>80</v>
      </c>
      <c r="K25" s="2" t="s">
        <v>79</v>
      </c>
      <c r="L25" s="2" t="s">
        <v>79</v>
      </c>
      <c r="M25" s="2" t="s">
        <v>79</v>
      </c>
      <c r="N25" s="2" t="s">
        <v>79</v>
      </c>
      <c r="O25" s="2"/>
      <c r="P25" s="2" t="s">
        <v>19</v>
      </c>
      <c r="Q25" s="2"/>
      <c r="R25" s="2"/>
      <c r="S25" s="2" t="s">
        <v>89</v>
      </c>
      <c r="T25" s="54">
        <v>46163</v>
      </c>
      <c r="U25" s="34" t="s">
        <v>79</v>
      </c>
      <c r="V25" s="34" t="s">
        <v>80</v>
      </c>
      <c r="W25" s="34" t="s">
        <v>79</v>
      </c>
      <c r="X25" s="34" t="s">
        <v>79</v>
      </c>
      <c r="Y25" s="34" t="s">
        <v>79</v>
      </c>
    </row>
    <row r="26" spans="1:25" ht="15" customHeight="1">
      <c r="A26" s="2">
        <v>2022</v>
      </c>
      <c r="B26" s="2" t="s">
        <v>254</v>
      </c>
      <c r="C26" s="54">
        <v>46194</v>
      </c>
      <c r="D26" s="2">
        <v>15</v>
      </c>
      <c r="E26" s="2" t="s">
        <v>83</v>
      </c>
      <c r="F26" s="2" t="s">
        <v>240</v>
      </c>
      <c r="G26" s="2" t="s">
        <v>28</v>
      </c>
      <c r="H26" s="2" t="s">
        <v>227</v>
      </c>
      <c r="I26" s="2" t="s">
        <v>80</v>
      </c>
      <c r="J26" s="2" t="s">
        <v>79</v>
      </c>
      <c r="K26" s="2" t="s">
        <v>79</v>
      </c>
      <c r="L26" s="2" t="s">
        <v>80</v>
      </c>
      <c r="M26" s="2" t="s">
        <v>79</v>
      </c>
      <c r="N26" s="2" t="s">
        <v>80</v>
      </c>
      <c r="O26" s="2" t="s">
        <v>37</v>
      </c>
      <c r="P26" s="2"/>
      <c r="Q26" s="2"/>
      <c r="R26" s="2"/>
      <c r="S26" s="2" t="s">
        <v>95</v>
      </c>
      <c r="T26" s="54">
        <v>46209</v>
      </c>
      <c r="U26" s="34" t="s">
        <v>80</v>
      </c>
      <c r="V26" s="34" t="s">
        <v>80</v>
      </c>
      <c r="W26" s="34" t="s">
        <v>79</v>
      </c>
      <c r="X26" s="34" t="s">
        <v>80</v>
      </c>
      <c r="Y26" s="34" t="s">
        <v>79</v>
      </c>
    </row>
    <row r="27" spans="1:25" ht="15" customHeight="1">
      <c r="A27" s="2">
        <v>2023</v>
      </c>
      <c r="B27" s="2" t="s">
        <v>255</v>
      </c>
      <c r="C27" s="54">
        <v>46072</v>
      </c>
      <c r="D27" s="2">
        <v>14</v>
      </c>
      <c r="E27" s="2" t="s">
        <v>126</v>
      </c>
      <c r="F27" s="2" t="s">
        <v>234</v>
      </c>
      <c r="G27" s="2" t="s">
        <v>26</v>
      </c>
      <c r="H27" s="2" t="s">
        <v>227</v>
      </c>
      <c r="I27" s="2" t="s">
        <v>80</v>
      </c>
      <c r="J27" s="2" t="s">
        <v>80</v>
      </c>
      <c r="K27" s="2" t="s">
        <v>79</v>
      </c>
      <c r="L27" s="2" t="s">
        <v>80</v>
      </c>
      <c r="M27" s="2" t="s">
        <v>79</v>
      </c>
      <c r="N27" s="2" t="s">
        <v>79</v>
      </c>
      <c r="O27" s="2" t="s">
        <v>37</v>
      </c>
      <c r="P27" s="2"/>
      <c r="Q27" s="2"/>
      <c r="R27" s="2"/>
      <c r="S27" s="2" t="s">
        <v>81</v>
      </c>
      <c r="T27" s="54">
        <v>46086</v>
      </c>
      <c r="U27" s="34" t="s">
        <v>79</v>
      </c>
      <c r="V27" s="34" t="s">
        <v>79</v>
      </c>
      <c r="W27" s="34" t="s">
        <v>79</v>
      </c>
      <c r="X27" s="34" t="s">
        <v>79</v>
      </c>
      <c r="Y27" s="34" t="s">
        <v>79</v>
      </c>
    </row>
    <row r="28" spans="1:25" ht="15" customHeight="1">
      <c r="A28" s="2">
        <v>2024</v>
      </c>
      <c r="B28" s="2" t="s">
        <v>256</v>
      </c>
      <c r="C28" s="54">
        <v>46034</v>
      </c>
      <c r="D28" s="2">
        <v>10</v>
      </c>
      <c r="E28" s="2" t="s">
        <v>92</v>
      </c>
      <c r="F28" s="2" t="s">
        <v>231</v>
      </c>
      <c r="G28" s="2" t="s">
        <v>31</v>
      </c>
      <c r="H28" s="2" t="s">
        <v>227</v>
      </c>
      <c r="I28" s="2" t="s">
        <v>79</v>
      </c>
      <c r="J28" s="2" t="s">
        <v>79</v>
      </c>
      <c r="K28" s="2" t="s">
        <v>80</v>
      </c>
      <c r="L28" s="2" t="s">
        <v>79</v>
      </c>
      <c r="M28" s="2" t="s">
        <v>79</v>
      </c>
      <c r="N28" s="2" t="s">
        <v>80</v>
      </c>
      <c r="O28" s="2"/>
      <c r="P28" s="2" t="s">
        <v>19</v>
      </c>
      <c r="Q28" s="2"/>
      <c r="R28" s="2"/>
      <c r="S28" s="2" t="s">
        <v>95</v>
      </c>
      <c r="T28" s="54">
        <v>46044</v>
      </c>
      <c r="U28" s="34" t="s">
        <v>79</v>
      </c>
      <c r="V28" s="34" t="s">
        <v>79</v>
      </c>
      <c r="W28" s="34" t="s">
        <v>79</v>
      </c>
      <c r="X28" s="34" t="s">
        <v>79</v>
      </c>
      <c r="Y28" s="34" t="s">
        <v>79</v>
      </c>
    </row>
    <row r="29" spans="1:25" ht="15" customHeight="1">
      <c r="A29" s="2">
        <v>2025</v>
      </c>
      <c r="B29" s="2" t="s">
        <v>257</v>
      </c>
      <c r="C29" s="54">
        <v>46123</v>
      </c>
      <c r="D29" s="2">
        <v>20</v>
      </c>
      <c r="E29" s="2" t="s">
        <v>126</v>
      </c>
      <c r="F29" s="2" t="s">
        <v>231</v>
      </c>
      <c r="G29" s="2" t="s">
        <v>20</v>
      </c>
      <c r="H29" s="2" t="s">
        <v>227</v>
      </c>
      <c r="I29" s="2" t="s">
        <v>80</v>
      </c>
      <c r="J29" s="2" t="s">
        <v>79</v>
      </c>
      <c r="K29" s="2" t="s">
        <v>80</v>
      </c>
      <c r="L29" s="2" t="s">
        <v>79</v>
      </c>
      <c r="M29" s="2" t="s">
        <v>80</v>
      </c>
      <c r="N29" s="2" t="s">
        <v>80</v>
      </c>
      <c r="O29" s="2" t="s">
        <v>37</v>
      </c>
      <c r="P29" s="2"/>
      <c r="Q29" s="2"/>
      <c r="R29" s="2"/>
      <c r="S29" s="2" t="s">
        <v>95</v>
      </c>
      <c r="T29" s="54">
        <v>46143</v>
      </c>
      <c r="U29" s="34" t="s">
        <v>79</v>
      </c>
      <c r="V29" s="34" t="s">
        <v>79</v>
      </c>
      <c r="W29" s="34" t="s">
        <v>79</v>
      </c>
      <c r="X29" s="34" t="s">
        <v>80</v>
      </c>
      <c r="Y29" s="34" t="s">
        <v>79</v>
      </c>
    </row>
    <row r="30" spans="1:25" ht="15" customHeight="1">
      <c r="A30" s="2">
        <v>2026</v>
      </c>
      <c r="B30" s="2" t="s">
        <v>258</v>
      </c>
      <c r="C30" s="54">
        <v>46221</v>
      </c>
      <c r="D30" s="2">
        <v>3</v>
      </c>
      <c r="E30" s="2" t="s">
        <v>83</v>
      </c>
      <c r="F30" s="2" t="s">
        <v>240</v>
      </c>
      <c r="G30" s="2" t="s">
        <v>14</v>
      </c>
      <c r="H30" s="2" t="s">
        <v>227</v>
      </c>
      <c r="I30" s="2" t="s">
        <v>79</v>
      </c>
      <c r="J30" s="2" t="s">
        <v>80</v>
      </c>
      <c r="K30" s="2" t="s">
        <v>80</v>
      </c>
      <c r="L30" s="2" t="s">
        <v>79</v>
      </c>
      <c r="M30" s="2" t="s">
        <v>80</v>
      </c>
      <c r="N30" s="2" t="s">
        <v>80</v>
      </c>
      <c r="O30" s="2"/>
      <c r="P30" s="2" t="s">
        <v>16</v>
      </c>
      <c r="Q30" s="2"/>
      <c r="R30" s="2"/>
      <c r="S30" s="2" t="s">
        <v>81</v>
      </c>
      <c r="T30" s="54">
        <v>46224</v>
      </c>
      <c r="U30" s="34" t="s">
        <v>79</v>
      </c>
      <c r="V30" s="34" t="s">
        <v>80</v>
      </c>
      <c r="W30" s="34" t="s">
        <v>79</v>
      </c>
      <c r="X30" s="34" t="s">
        <v>80</v>
      </c>
      <c r="Y30" s="34" t="s">
        <v>79</v>
      </c>
    </row>
    <row r="31" spans="1:25" ht="15" customHeight="1">
      <c r="A31" s="2">
        <v>2027</v>
      </c>
      <c r="B31" s="2" t="s">
        <v>259</v>
      </c>
      <c r="C31" s="54">
        <v>46054</v>
      </c>
      <c r="D31" s="2">
        <v>19</v>
      </c>
      <c r="E31" s="2" t="s">
        <v>126</v>
      </c>
      <c r="F31" s="2" t="s">
        <v>240</v>
      </c>
      <c r="G31" s="2" t="s">
        <v>34</v>
      </c>
      <c r="H31" s="2" t="s">
        <v>78</v>
      </c>
      <c r="I31" s="2" t="s">
        <v>79</v>
      </c>
      <c r="J31" s="2" t="s">
        <v>79</v>
      </c>
      <c r="K31" s="2" t="s">
        <v>79</v>
      </c>
      <c r="L31" s="2" t="s">
        <v>80</v>
      </c>
      <c r="M31" s="2" t="s">
        <v>80</v>
      </c>
      <c r="N31" s="2" t="s">
        <v>79</v>
      </c>
      <c r="O31" s="2"/>
      <c r="P31" s="2" t="s">
        <v>16</v>
      </c>
      <c r="Q31" s="2"/>
      <c r="R31" s="2"/>
      <c r="S31" s="2" t="s">
        <v>93</v>
      </c>
      <c r="T31" s="54">
        <v>46073</v>
      </c>
      <c r="U31" s="34" t="s">
        <v>80</v>
      </c>
      <c r="V31" s="34" t="s">
        <v>79</v>
      </c>
      <c r="W31" s="34" t="s">
        <v>79</v>
      </c>
      <c r="X31" s="34" t="s">
        <v>79</v>
      </c>
      <c r="Y31" s="34" t="s">
        <v>79</v>
      </c>
    </row>
    <row r="32" spans="1:25" ht="15" customHeight="1">
      <c r="A32" s="2">
        <v>2028</v>
      </c>
      <c r="B32" s="2" t="s">
        <v>260</v>
      </c>
      <c r="C32" s="54">
        <v>46028</v>
      </c>
      <c r="D32" s="2">
        <v>14</v>
      </c>
      <c r="E32" s="2" t="s">
        <v>83</v>
      </c>
      <c r="F32" s="2" t="s">
        <v>231</v>
      </c>
      <c r="G32" s="2" t="s">
        <v>20</v>
      </c>
      <c r="H32" s="2" t="s">
        <v>78</v>
      </c>
      <c r="I32" s="2" t="s">
        <v>80</v>
      </c>
      <c r="J32" s="2" t="s">
        <v>79</v>
      </c>
      <c r="K32" s="2" t="s">
        <v>80</v>
      </c>
      <c r="L32" s="2" t="s">
        <v>80</v>
      </c>
      <c r="M32" s="2" t="s">
        <v>80</v>
      </c>
      <c r="N32" s="2" t="s">
        <v>80</v>
      </c>
      <c r="O32" s="2" t="s">
        <v>36</v>
      </c>
      <c r="P32" s="2"/>
      <c r="Q32" s="2" t="s">
        <v>30</v>
      </c>
      <c r="R32" s="2"/>
      <c r="S32" s="2" t="s">
        <v>89</v>
      </c>
      <c r="T32" s="54">
        <v>46042</v>
      </c>
      <c r="U32" s="34" t="s">
        <v>80</v>
      </c>
      <c r="V32" s="34" t="s">
        <v>79</v>
      </c>
      <c r="W32" s="34" t="s">
        <v>79</v>
      </c>
      <c r="X32" s="34" t="s">
        <v>80</v>
      </c>
      <c r="Y32" s="34" t="s">
        <v>80</v>
      </c>
    </row>
    <row r="33" spans="1:25" ht="15" customHeight="1">
      <c r="A33" s="2">
        <v>2029</v>
      </c>
      <c r="B33" s="2" t="s">
        <v>261</v>
      </c>
      <c r="C33" s="54">
        <v>46196</v>
      </c>
      <c r="D33" s="2">
        <v>11</v>
      </c>
      <c r="E33" s="2" t="s">
        <v>92</v>
      </c>
      <c r="F33" s="2" t="s">
        <v>231</v>
      </c>
      <c r="G33" s="2" t="s">
        <v>14</v>
      </c>
      <c r="H33" s="2" t="s">
        <v>227</v>
      </c>
      <c r="I33" s="2" t="s">
        <v>79</v>
      </c>
      <c r="J33" s="2" t="s">
        <v>79</v>
      </c>
      <c r="K33" s="2" t="s">
        <v>79</v>
      </c>
      <c r="L33" s="2" t="s">
        <v>80</v>
      </c>
      <c r="M33" s="2" t="s">
        <v>79</v>
      </c>
      <c r="N33" s="2" t="s">
        <v>79</v>
      </c>
      <c r="O33" s="2"/>
      <c r="P33" s="2" t="s">
        <v>22</v>
      </c>
      <c r="Q33" s="2"/>
      <c r="R33" s="2"/>
      <c r="S33" s="2" t="s">
        <v>93</v>
      </c>
      <c r="T33" s="54">
        <v>46207</v>
      </c>
      <c r="U33" s="34" t="s">
        <v>79</v>
      </c>
      <c r="V33" s="34" t="s">
        <v>79</v>
      </c>
      <c r="W33" s="34" t="s">
        <v>80</v>
      </c>
      <c r="X33" s="34" t="s">
        <v>79</v>
      </c>
      <c r="Y33" s="34" t="s">
        <v>79</v>
      </c>
    </row>
    <row r="34" spans="1:25" ht="15" customHeight="1">
      <c r="A34" s="2">
        <v>2030</v>
      </c>
      <c r="B34" s="2" t="s">
        <v>262</v>
      </c>
      <c r="C34" s="54">
        <v>46018</v>
      </c>
      <c r="D34" s="2">
        <v>6</v>
      </c>
      <c r="E34" s="2" t="s">
        <v>103</v>
      </c>
      <c r="F34" s="2" t="s">
        <v>240</v>
      </c>
      <c r="G34" s="2" t="s">
        <v>23</v>
      </c>
      <c r="H34" s="2" t="s">
        <v>227</v>
      </c>
      <c r="I34" s="2" t="s">
        <v>80</v>
      </c>
      <c r="J34" s="2" t="s">
        <v>80</v>
      </c>
      <c r="K34" s="2" t="s">
        <v>80</v>
      </c>
      <c r="L34" s="2" t="s">
        <v>79</v>
      </c>
      <c r="M34" s="2" t="s">
        <v>80</v>
      </c>
      <c r="N34" s="2" t="s">
        <v>79</v>
      </c>
      <c r="O34" s="2" t="s">
        <v>37</v>
      </c>
      <c r="P34" s="2"/>
      <c r="Q34" s="2"/>
      <c r="R34" s="2"/>
      <c r="S34" s="2" t="s">
        <v>84</v>
      </c>
      <c r="T34" s="54">
        <v>46024</v>
      </c>
      <c r="U34" s="34" t="s">
        <v>79</v>
      </c>
      <c r="V34" s="34" t="s">
        <v>80</v>
      </c>
      <c r="W34" s="34" t="s">
        <v>80</v>
      </c>
      <c r="X34" s="34" t="s">
        <v>79</v>
      </c>
      <c r="Y34" s="34" t="s">
        <v>80</v>
      </c>
    </row>
    <row r="35" spans="1:25" ht="15" customHeight="1">
      <c r="A35" s="2">
        <v>4001</v>
      </c>
      <c r="B35" s="2" t="s">
        <v>263</v>
      </c>
      <c r="C35" s="55">
        <v>46204</v>
      </c>
      <c r="D35" s="2">
        <v>24</v>
      </c>
      <c r="E35" s="2" t="s">
        <v>83</v>
      </c>
      <c r="F35" s="2" t="s">
        <v>234</v>
      </c>
      <c r="G35" s="2" t="s">
        <v>14</v>
      </c>
      <c r="H35" s="2" t="s">
        <v>78</v>
      </c>
      <c r="I35" s="2" t="s">
        <v>80</v>
      </c>
      <c r="J35" s="2" t="s">
        <v>79</v>
      </c>
      <c r="K35" s="2" t="s">
        <v>80</v>
      </c>
      <c r="L35" s="2" t="s">
        <v>79</v>
      </c>
      <c r="M35" s="2" t="s">
        <v>79</v>
      </c>
      <c r="N35" s="2"/>
      <c r="O35" s="2" t="s">
        <v>36</v>
      </c>
      <c r="P35" s="2" t="s">
        <v>16</v>
      </c>
      <c r="Q35" s="2"/>
      <c r="R35" s="2" t="s">
        <v>264</v>
      </c>
      <c r="S35" s="2" t="s">
        <v>81</v>
      </c>
      <c r="T35" s="54">
        <v>46224</v>
      </c>
      <c r="U35" s="34"/>
      <c r="V35" s="34"/>
      <c r="W35" s="34"/>
      <c r="X35" s="34"/>
      <c r="Y35" s="34"/>
    </row>
    <row r="36" spans="1:25" ht="15" customHeight="1">
      <c r="A36" s="2">
        <v>4002</v>
      </c>
      <c r="B36" s="2" t="s">
        <v>265</v>
      </c>
      <c r="C36" s="55">
        <v>46208</v>
      </c>
      <c r="D36" s="2">
        <v>20</v>
      </c>
      <c r="E36" s="2" t="s">
        <v>126</v>
      </c>
      <c r="F36" s="2" t="s">
        <v>231</v>
      </c>
      <c r="G36" s="2" t="s">
        <v>17</v>
      </c>
      <c r="H36" s="2" t="s">
        <v>78</v>
      </c>
      <c r="I36" s="2" t="s">
        <v>80</v>
      </c>
      <c r="J36" s="2" t="s">
        <v>79</v>
      </c>
      <c r="K36" s="2" t="s">
        <v>79</v>
      </c>
      <c r="L36" s="2" t="s">
        <v>80</v>
      </c>
      <c r="M36" s="2" t="s">
        <v>79</v>
      </c>
      <c r="N36" s="2"/>
      <c r="O36" s="2"/>
      <c r="P36" s="2"/>
      <c r="Q36" s="2" t="s">
        <v>25</v>
      </c>
      <c r="R36" s="2" t="s">
        <v>264</v>
      </c>
      <c r="S36" s="2" t="s">
        <v>84</v>
      </c>
      <c r="T36" s="54">
        <v>46224</v>
      </c>
      <c r="U36" s="34"/>
      <c r="V36" s="34"/>
      <c r="W36" s="34"/>
      <c r="X36" s="34"/>
      <c r="Y36" s="34"/>
    </row>
    <row r="37" spans="1:25" ht="15" customHeight="1">
      <c r="A37" s="2">
        <v>4003</v>
      </c>
      <c r="B37" s="2" t="s">
        <v>266</v>
      </c>
      <c r="C37" s="55">
        <v>46201</v>
      </c>
      <c r="D37" s="2">
        <v>27</v>
      </c>
      <c r="E37" s="2" t="s">
        <v>92</v>
      </c>
      <c r="F37" s="2" t="s">
        <v>240</v>
      </c>
      <c r="G37" s="2" t="s">
        <v>20</v>
      </c>
      <c r="H37" s="2" t="s">
        <v>227</v>
      </c>
      <c r="I37" s="2" t="s">
        <v>79</v>
      </c>
      <c r="J37" s="2" t="s">
        <v>80</v>
      </c>
      <c r="K37" s="2" t="s">
        <v>80</v>
      </c>
      <c r="L37" s="2" t="s">
        <v>79</v>
      </c>
      <c r="M37" s="2" t="s">
        <v>80</v>
      </c>
      <c r="N37" s="2"/>
      <c r="O37" s="2" t="s">
        <v>36</v>
      </c>
      <c r="P37" s="2"/>
      <c r="Q37" s="2"/>
      <c r="R37" s="2" t="s">
        <v>264</v>
      </c>
      <c r="S37" s="2" t="s">
        <v>85</v>
      </c>
      <c r="T37" s="54">
        <v>46223</v>
      </c>
      <c r="U37" s="34"/>
      <c r="V37" s="34"/>
      <c r="W37" s="34"/>
      <c r="X37" s="34"/>
      <c r="Y37" s="34"/>
    </row>
    <row r="38" spans="1:25" ht="15" customHeight="1">
      <c r="A38" s="2">
        <v>1004</v>
      </c>
      <c r="B38" s="2" t="s">
        <v>267</v>
      </c>
      <c r="C38" s="55">
        <v>46224</v>
      </c>
      <c r="D38" s="2">
        <v>4</v>
      </c>
      <c r="E38" s="2" t="s">
        <v>103</v>
      </c>
      <c r="F38" s="2" t="s">
        <v>240</v>
      </c>
      <c r="G38" s="2" t="s">
        <v>17</v>
      </c>
      <c r="H38" s="2" t="s">
        <v>227</v>
      </c>
      <c r="I38" s="2" t="s">
        <v>79</v>
      </c>
      <c r="J38" s="2" t="s">
        <v>80</v>
      </c>
      <c r="K38" s="2" t="s">
        <v>80</v>
      </c>
      <c r="L38" s="2" t="s">
        <v>79</v>
      </c>
      <c r="M38" s="2" t="s">
        <v>79</v>
      </c>
      <c r="N38" s="2" t="s">
        <v>79</v>
      </c>
      <c r="O38" s="2"/>
      <c r="P38" s="2" t="s">
        <v>22</v>
      </c>
      <c r="Q38" s="2"/>
      <c r="R38" s="2"/>
      <c r="S38" s="2" t="s">
        <v>86</v>
      </c>
      <c r="T38" s="54">
        <v>46204</v>
      </c>
      <c r="U38" s="34"/>
      <c r="V38" s="34"/>
      <c r="W38" s="34"/>
      <c r="X38" s="34"/>
      <c r="Y38" s="34"/>
    </row>
    <row r="39" spans="1:25" ht="15" customHeight="1">
      <c r="A39" s="2">
        <v>1005</v>
      </c>
      <c r="B39" s="2" t="s">
        <v>268</v>
      </c>
      <c r="C39" s="55">
        <v>46221</v>
      </c>
      <c r="D39" s="2">
        <v>7</v>
      </c>
      <c r="E39" s="2" t="s">
        <v>92</v>
      </c>
      <c r="F39" s="2" t="s">
        <v>234</v>
      </c>
      <c r="G39" s="2" t="s">
        <v>23</v>
      </c>
      <c r="H39" s="2" t="s">
        <v>78</v>
      </c>
      <c r="I39" s="2" t="s">
        <v>80</v>
      </c>
      <c r="J39" s="2" t="s">
        <v>80</v>
      </c>
      <c r="K39" s="2" t="s">
        <v>80</v>
      </c>
      <c r="L39" s="2" t="s">
        <v>80</v>
      </c>
      <c r="M39" s="2" t="s">
        <v>79</v>
      </c>
      <c r="N39" s="2" t="s">
        <v>80</v>
      </c>
      <c r="O39" s="2" t="s">
        <v>37</v>
      </c>
      <c r="P39" s="2"/>
      <c r="Q39" s="2" t="s">
        <v>27</v>
      </c>
      <c r="R39" s="2"/>
      <c r="S39" s="2" t="s">
        <v>87</v>
      </c>
      <c r="T39" s="54">
        <v>46204</v>
      </c>
      <c r="U39" s="34"/>
      <c r="V39" s="34"/>
      <c r="W39" s="34"/>
      <c r="X39" s="34"/>
      <c r="Y39" s="34"/>
    </row>
    <row r="40" spans="1:25" ht="15" customHeight="1">
      <c r="A40" s="2">
        <v>1006</v>
      </c>
      <c r="B40" s="2" t="s">
        <v>269</v>
      </c>
      <c r="C40" s="55">
        <v>46214</v>
      </c>
      <c r="D40" s="2">
        <v>14</v>
      </c>
      <c r="E40" s="2" t="s">
        <v>92</v>
      </c>
      <c r="F40" s="2" t="s">
        <v>240</v>
      </c>
      <c r="G40" s="2" t="s">
        <v>17</v>
      </c>
      <c r="H40" s="2" t="s">
        <v>227</v>
      </c>
      <c r="I40" s="2" t="s">
        <v>79</v>
      </c>
      <c r="J40" s="2" t="s">
        <v>79</v>
      </c>
      <c r="K40" s="2" t="s">
        <v>79</v>
      </c>
      <c r="L40" s="2" t="s">
        <v>80</v>
      </c>
      <c r="M40" s="2" t="s">
        <v>80</v>
      </c>
      <c r="N40" s="2" t="s">
        <v>80</v>
      </c>
      <c r="O40" s="2"/>
      <c r="P40" s="2" t="s">
        <v>22</v>
      </c>
      <c r="Q40" s="2"/>
      <c r="R40" s="2"/>
      <c r="S40" s="2" t="s">
        <v>88</v>
      </c>
      <c r="T40" s="54">
        <v>46204</v>
      </c>
      <c r="U40" s="34"/>
      <c r="V40" s="34"/>
      <c r="W40" s="34"/>
      <c r="X40" s="34"/>
      <c r="Y40" s="34"/>
    </row>
    <row r="41" spans="1:25" ht="15" customHeight="1">
      <c r="A41" s="2">
        <v>1007</v>
      </c>
      <c r="B41" s="2" t="s">
        <v>270</v>
      </c>
      <c r="C41" s="55">
        <v>46216</v>
      </c>
      <c r="D41" s="2">
        <v>12</v>
      </c>
      <c r="E41" s="2" t="s">
        <v>83</v>
      </c>
      <c r="F41" s="2" t="s">
        <v>240</v>
      </c>
      <c r="G41" s="2" t="s">
        <v>28</v>
      </c>
      <c r="H41" s="2" t="s">
        <v>78</v>
      </c>
      <c r="I41" s="2" t="s">
        <v>79</v>
      </c>
      <c r="J41" s="2" t="s">
        <v>79</v>
      </c>
      <c r="K41" s="2" t="s">
        <v>80</v>
      </c>
      <c r="L41" s="2" t="s">
        <v>80</v>
      </c>
      <c r="M41" s="2" t="s">
        <v>80</v>
      </c>
      <c r="N41" s="2" t="s">
        <v>79</v>
      </c>
      <c r="O41" s="2"/>
      <c r="P41" s="2" t="s">
        <v>16</v>
      </c>
      <c r="Q41" s="2"/>
      <c r="R41" s="2"/>
      <c r="S41" s="2" t="s">
        <v>89</v>
      </c>
      <c r="T41" s="54">
        <v>46204</v>
      </c>
      <c r="U41" s="34"/>
      <c r="V41" s="34"/>
      <c r="W41" s="34"/>
      <c r="X41" s="34"/>
      <c r="Y41" s="34"/>
    </row>
    <row r="42" spans="1:25" ht="15" customHeight="1">
      <c r="A42" s="2">
        <v>1008</v>
      </c>
      <c r="B42" s="2" t="s">
        <v>271</v>
      </c>
      <c r="C42" s="55">
        <v>46215</v>
      </c>
      <c r="D42" s="2">
        <v>13</v>
      </c>
      <c r="E42" s="2" t="s">
        <v>92</v>
      </c>
      <c r="F42" s="2" t="s">
        <v>234</v>
      </c>
      <c r="G42" s="2" t="s">
        <v>34</v>
      </c>
      <c r="H42" s="2" t="s">
        <v>227</v>
      </c>
      <c r="I42" s="2" t="s">
        <v>80</v>
      </c>
      <c r="J42" s="2" t="s">
        <v>79</v>
      </c>
      <c r="K42" s="2" t="s">
        <v>80</v>
      </c>
      <c r="L42" s="2" t="s">
        <v>79</v>
      </c>
      <c r="M42" s="2" t="s">
        <v>79</v>
      </c>
      <c r="N42" s="2" t="s">
        <v>80</v>
      </c>
      <c r="O42" s="2" t="s">
        <v>37</v>
      </c>
      <c r="P42" s="2"/>
      <c r="Q42" s="2"/>
      <c r="R42" s="2"/>
      <c r="S42" s="2" t="s">
        <v>90</v>
      </c>
      <c r="T42" s="54">
        <v>46204</v>
      </c>
      <c r="U42" s="34"/>
      <c r="V42" s="34"/>
      <c r="W42" s="34"/>
      <c r="X42" s="34"/>
      <c r="Y42" s="34"/>
    </row>
    <row r="43" spans="1:25" ht="15" customHeight="1">
      <c r="A43" s="2">
        <v>1009</v>
      </c>
      <c r="B43" s="2" t="s">
        <v>272</v>
      </c>
      <c r="C43" s="55">
        <v>46215</v>
      </c>
      <c r="D43" s="2">
        <v>13</v>
      </c>
      <c r="E43" s="2" t="s">
        <v>103</v>
      </c>
      <c r="F43" s="2" t="s">
        <v>231</v>
      </c>
      <c r="G43" s="2" t="s">
        <v>23</v>
      </c>
      <c r="H43" s="2" t="s">
        <v>78</v>
      </c>
      <c r="I43" s="2" t="s">
        <v>80</v>
      </c>
      <c r="J43" s="2" t="s">
        <v>79</v>
      </c>
      <c r="K43" s="2" t="s">
        <v>79</v>
      </c>
      <c r="L43" s="2" t="s">
        <v>79</v>
      </c>
      <c r="M43" s="2" t="s">
        <v>79</v>
      </c>
      <c r="N43" s="2" t="s">
        <v>79</v>
      </c>
      <c r="O43" s="2" t="s">
        <v>37</v>
      </c>
      <c r="P43" s="2"/>
      <c r="Q43" s="2" t="s">
        <v>25</v>
      </c>
      <c r="R43" s="2"/>
      <c r="S43" s="2" t="s">
        <v>93</v>
      </c>
      <c r="T43" s="54">
        <v>46204</v>
      </c>
      <c r="U43" s="34"/>
      <c r="V43" s="34"/>
      <c r="W43" s="34"/>
      <c r="X43" s="34"/>
      <c r="Y43" s="34"/>
    </row>
    <row r="44" spans="1:25" ht="15" customHeight="1">
      <c r="A44" s="2">
        <v>1010</v>
      </c>
      <c r="B44" s="2" t="s">
        <v>273</v>
      </c>
      <c r="C44" s="55">
        <v>46218</v>
      </c>
      <c r="D44" s="2">
        <v>10</v>
      </c>
      <c r="E44" s="2" t="s">
        <v>103</v>
      </c>
      <c r="F44" s="2" t="s">
        <v>240</v>
      </c>
      <c r="G44" s="2" t="s">
        <v>34</v>
      </c>
      <c r="H44" s="2" t="s">
        <v>227</v>
      </c>
      <c r="I44" s="2" t="s">
        <v>80</v>
      </c>
      <c r="J44" s="2" t="s">
        <v>79</v>
      </c>
      <c r="K44" s="2" t="s">
        <v>79</v>
      </c>
      <c r="L44" s="2" t="s">
        <v>80</v>
      </c>
      <c r="M44" s="2" t="s">
        <v>80</v>
      </c>
      <c r="N44" s="2" t="s">
        <v>79</v>
      </c>
      <c r="O44" s="2" t="s">
        <v>37</v>
      </c>
      <c r="P44" s="2"/>
      <c r="Q44" s="2"/>
      <c r="R44" s="2"/>
      <c r="S44" s="2" t="s">
        <v>95</v>
      </c>
      <c r="T44" s="54">
        <v>46204</v>
      </c>
      <c r="U44" s="34"/>
      <c r="V44" s="34"/>
      <c r="W44" s="34"/>
      <c r="X44" s="34"/>
      <c r="Y44" s="34"/>
    </row>
    <row r="45" spans="1:25" ht="15" customHeight="1">
      <c r="A45" s="2">
        <v>1011</v>
      </c>
      <c r="B45" s="2" t="s">
        <v>274</v>
      </c>
      <c r="C45" s="55">
        <v>46218</v>
      </c>
      <c r="D45" s="2">
        <v>10</v>
      </c>
      <c r="E45" s="2" t="s">
        <v>83</v>
      </c>
      <c r="F45" s="2" t="s">
        <v>231</v>
      </c>
      <c r="G45" s="2" t="s">
        <v>14</v>
      </c>
      <c r="H45" s="2" t="s">
        <v>227</v>
      </c>
      <c r="I45" s="2" t="s">
        <v>80</v>
      </c>
      <c r="J45" s="2" t="s">
        <v>79</v>
      </c>
      <c r="K45" s="2" t="s">
        <v>79</v>
      </c>
      <c r="L45" s="2" t="s">
        <v>80</v>
      </c>
      <c r="M45" s="2" t="s">
        <v>79</v>
      </c>
      <c r="N45" s="2" t="s">
        <v>79</v>
      </c>
      <c r="O45" s="2" t="s">
        <v>37</v>
      </c>
      <c r="P45" s="2"/>
      <c r="Q45" s="2"/>
      <c r="R45" s="2"/>
      <c r="S45" s="2" t="s">
        <v>97</v>
      </c>
      <c r="T45" s="54">
        <v>46204</v>
      </c>
      <c r="U45" s="34"/>
      <c r="V45" s="34"/>
      <c r="W45" s="34"/>
      <c r="X45" s="34"/>
      <c r="Y45" s="34"/>
    </row>
    <row r="46" spans="1:25" ht="15" customHeight="1">
      <c r="A46" s="2">
        <v>1012</v>
      </c>
      <c r="B46" s="2" t="s">
        <v>275</v>
      </c>
      <c r="C46" s="55">
        <v>46222</v>
      </c>
      <c r="D46" s="2">
        <v>6</v>
      </c>
      <c r="E46" s="2" t="s">
        <v>126</v>
      </c>
      <c r="F46" s="2" t="s">
        <v>240</v>
      </c>
      <c r="G46" s="2" t="s">
        <v>28</v>
      </c>
      <c r="H46" s="2" t="s">
        <v>227</v>
      </c>
      <c r="I46" s="2" t="s">
        <v>79</v>
      </c>
      <c r="J46" s="2" t="s">
        <v>79</v>
      </c>
      <c r="K46" s="2" t="s">
        <v>80</v>
      </c>
      <c r="L46" s="2" t="s">
        <v>80</v>
      </c>
      <c r="M46" s="2" t="s">
        <v>79</v>
      </c>
      <c r="N46" s="2" t="s">
        <v>79</v>
      </c>
      <c r="O46" s="2"/>
      <c r="P46" s="2" t="s">
        <v>16</v>
      </c>
      <c r="Q46" s="2"/>
      <c r="R46" s="2"/>
      <c r="S46" s="2" t="s">
        <v>99</v>
      </c>
      <c r="T46" s="54">
        <v>46204</v>
      </c>
      <c r="U46" s="34"/>
      <c r="V46" s="34"/>
      <c r="W46" s="34"/>
      <c r="X46" s="34"/>
      <c r="Y46" s="34"/>
    </row>
    <row r="47" spans="1:25" ht="15" customHeight="1">
      <c r="A47" s="2">
        <v>1013</v>
      </c>
      <c r="B47" s="2" t="s">
        <v>276</v>
      </c>
      <c r="C47" s="55">
        <v>46215</v>
      </c>
      <c r="D47" s="2">
        <v>13</v>
      </c>
      <c r="E47" s="2" t="s">
        <v>126</v>
      </c>
      <c r="F47" s="2" t="s">
        <v>234</v>
      </c>
      <c r="G47" s="2" t="s">
        <v>34</v>
      </c>
      <c r="H47" s="2" t="s">
        <v>78</v>
      </c>
      <c r="I47" s="2" t="s">
        <v>79</v>
      </c>
      <c r="J47" s="2" t="s">
        <v>79</v>
      </c>
      <c r="K47" s="2" t="s">
        <v>80</v>
      </c>
      <c r="L47" s="2" t="s">
        <v>79</v>
      </c>
      <c r="M47" s="2" t="s">
        <v>80</v>
      </c>
      <c r="N47" s="2" t="s">
        <v>80</v>
      </c>
      <c r="O47" s="2"/>
      <c r="P47" s="2" t="s">
        <v>16</v>
      </c>
      <c r="Q47" s="2"/>
      <c r="R47" s="2"/>
      <c r="S47" s="2" t="s">
        <v>101</v>
      </c>
      <c r="T47" s="54">
        <v>46204</v>
      </c>
      <c r="U47" s="34"/>
      <c r="V47" s="34"/>
      <c r="W47" s="34"/>
      <c r="X47" s="34"/>
      <c r="Y47" s="34"/>
    </row>
    <row r="48" spans="1:25" ht="15" customHeight="1">
      <c r="A48" s="2">
        <v>1014</v>
      </c>
      <c r="B48" s="2" t="s">
        <v>277</v>
      </c>
      <c r="C48" s="55">
        <v>46216</v>
      </c>
      <c r="D48" s="2">
        <v>12</v>
      </c>
      <c r="E48" s="2" t="s">
        <v>83</v>
      </c>
      <c r="F48" s="2" t="s">
        <v>240</v>
      </c>
      <c r="G48" s="2" t="s">
        <v>26</v>
      </c>
      <c r="H48" s="2" t="s">
        <v>227</v>
      </c>
      <c r="I48" s="2" t="s">
        <v>80</v>
      </c>
      <c r="J48" s="2" t="s">
        <v>80</v>
      </c>
      <c r="K48" s="2" t="s">
        <v>80</v>
      </c>
      <c r="L48" s="2" t="s">
        <v>79</v>
      </c>
      <c r="M48" s="2" t="s">
        <v>79</v>
      </c>
      <c r="N48" s="2" t="s">
        <v>79</v>
      </c>
      <c r="O48" s="2" t="s">
        <v>36</v>
      </c>
      <c r="P48" s="2"/>
      <c r="Q48" s="2"/>
      <c r="R48" s="2"/>
      <c r="S48" s="2" t="s">
        <v>105</v>
      </c>
      <c r="T48" s="54">
        <v>46204</v>
      </c>
      <c r="U48" s="34"/>
      <c r="V48" s="34"/>
      <c r="W48" s="34"/>
      <c r="X48" s="34"/>
      <c r="Y48" s="34"/>
    </row>
    <row r="49" spans="1:25" ht="15" customHeight="1">
      <c r="A49" s="2">
        <v>1015</v>
      </c>
      <c r="B49" s="2" t="s">
        <v>278</v>
      </c>
      <c r="C49" s="55">
        <v>46219</v>
      </c>
      <c r="D49" s="2">
        <v>9</v>
      </c>
      <c r="E49" s="2" t="s">
        <v>126</v>
      </c>
      <c r="F49" s="2" t="s">
        <v>240</v>
      </c>
      <c r="G49" s="2" t="s">
        <v>23</v>
      </c>
      <c r="H49" s="2" t="s">
        <v>227</v>
      </c>
      <c r="I49" s="2" t="s">
        <v>79</v>
      </c>
      <c r="J49" s="2" t="s">
        <v>79</v>
      </c>
      <c r="K49" s="2" t="s">
        <v>79</v>
      </c>
      <c r="L49" s="2" t="s">
        <v>79</v>
      </c>
      <c r="M49" s="2" t="s">
        <v>79</v>
      </c>
      <c r="N49" s="2" t="s">
        <v>79</v>
      </c>
      <c r="O49" s="2"/>
      <c r="P49" s="2" t="s">
        <v>16</v>
      </c>
      <c r="Q49" s="2"/>
      <c r="R49" s="2"/>
      <c r="S49" s="2" t="s">
        <v>106</v>
      </c>
      <c r="T49" s="54">
        <v>46204</v>
      </c>
      <c r="U49" s="34"/>
      <c r="V49" s="34"/>
      <c r="W49" s="34"/>
      <c r="X49" s="34"/>
      <c r="Y49" s="34"/>
    </row>
    <row r="50" spans="1:25" ht="15" customHeight="1">
      <c r="A50" s="2">
        <v>1016</v>
      </c>
      <c r="B50" s="2" t="s">
        <v>279</v>
      </c>
      <c r="C50" s="55">
        <v>46219</v>
      </c>
      <c r="D50" s="2">
        <v>9</v>
      </c>
      <c r="E50" s="2" t="s">
        <v>126</v>
      </c>
      <c r="F50" s="2" t="s">
        <v>240</v>
      </c>
      <c r="G50" s="2" t="s">
        <v>23</v>
      </c>
      <c r="H50" s="2" t="s">
        <v>227</v>
      </c>
      <c r="I50" s="2" t="s">
        <v>80</v>
      </c>
      <c r="J50" s="2" t="s">
        <v>79</v>
      </c>
      <c r="K50" s="2" t="s">
        <v>79</v>
      </c>
      <c r="L50" s="2" t="s">
        <v>80</v>
      </c>
      <c r="M50" s="2" t="s">
        <v>79</v>
      </c>
      <c r="N50" s="2" t="s">
        <v>80</v>
      </c>
      <c r="O50" s="2" t="s">
        <v>37</v>
      </c>
      <c r="P50" s="2"/>
      <c r="Q50" s="2"/>
      <c r="R50" s="2"/>
      <c r="S50" s="2" t="s">
        <v>107</v>
      </c>
      <c r="T50" s="54">
        <v>46204</v>
      </c>
      <c r="U50" s="34"/>
      <c r="V50" s="34"/>
      <c r="W50" s="34"/>
      <c r="X50" s="34"/>
      <c r="Y50" s="34"/>
    </row>
    <row r="51" spans="1:25" ht="15" customHeight="1">
      <c r="A51" s="2">
        <v>10101</v>
      </c>
      <c r="B51" s="2" t="s">
        <v>280</v>
      </c>
      <c r="C51" s="55">
        <v>46224</v>
      </c>
      <c r="D51" s="2">
        <v>5</v>
      </c>
      <c r="E51" s="2" t="s">
        <v>126</v>
      </c>
      <c r="F51" s="2" t="s">
        <v>281</v>
      </c>
      <c r="G51" s="2" t="s">
        <v>14</v>
      </c>
      <c r="H51" s="2" t="s">
        <v>78</v>
      </c>
      <c r="I51" s="2" t="s">
        <v>79</v>
      </c>
      <c r="J51" s="2" t="s">
        <v>79</v>
      </c>
      <c r="K51" s="2" t="s">
        <v>79</v>
      </c>
      <c r="L51" s="2" t="s">
        <v>79</v>
      </c>
      <c r="M51" s="2" t="s">
        <v>79</v>
      </c>
      <c r="N51" s="2" t="s">
        <v>80</v>
      </c>
      <c r="O51" s="2" t="s">
        <v>36</v>
      </c>
      <c r="P51" s="2"/>
      <c r="Q51" s="2"/>
      <c r="R51" s="2" t="s">
        <v>157</v>
      </c>
      <c r="S51" s="2" t="s">
        <v>81</v>
      </c>
      <c r="T51" s="54">
        <v>46227</v>
      </c>
      <c r="U51" s="34"/>
      <c r="V51" s="34"/>
      <c r="W51" s="34"/>
      <c r="X51" s="34"/>
      <c r="Y51" s="34"/>
    </row>
    <row r="52" spans="1:25" ht="15" customHeight="1">
      <c r="A52" s="2">
        <v>1010225</v>
      </c>
      <c r="B52" s="2" t="s">
        <v>76</v>
      </c>
      <c r="C52" s="55">
        <v>45463</v>
      </c>
      <c r="D52" s="2">
        <v>766</v>
      </c>
      <c r="E52" s="2" t="s">
        <v>126</v>
      </c>
      <c r="F52" s="2" t="s">
        <v>282</v>
      </c>
      <c r="G52" s="2" t="s">
        <v>14</v>
      </c>
      <c r="H52" s="2" t="s">
        <v>78</v>
      </c>
      <c r="I52" s="2" t="s">
        <v>79</v>
      </c>
      <c r="J52" s="2"/>
      <c r="K52" s="2"/>
      <c r="L52" s="2"/>
      <c r="M52" s="2"/>
      <c r="N52" s="2"/>
      <c r="O52" s="2"/>
      <c r="P52" s="2"/>
      <c r="Q52" s="2"/>
      <c r="R52" s="2"/>
      <c r="S52" s="2" t="s">
        <v>81</v>
      </c>
      <c r="T52" s="54">
        <v>46204</v>
      </c>
      <c r="U52" s="34"/>
      <c r="V52" s="34"/>
      <c r="W52" s="34"/>
      <c r="X52" s="34"/>
      <c r="Y52" s="34"/>
    </row>
    <row r="53" spans="1:25" ht="15" customHeight="1">
      <c r="A53" s="2">
        <v>10101010</v>
      </c>
      <c r="B53" s="2" t="s">
        <v>76</v>
      </c>
      <c r="C53" s="55">
        <v>46224</v>
      </c>
      <c r="D53" s="2">
        <v>9</v>
      </c>
      <c r="E53" s="2" t="s">
        <v>126</v>
      </c>
      <c r="F53" s="2" t="s">
        <v>283</v>
      </c>
      <c r="G53" s="2" t="s">
        <v>14</v>
      </c>
      <c r="H53" s="2" t="s">
        <v>78</v>
      </c>
      <c r="I53" s="2" t="s">
        <v>79</v>
      </c>
      <c r="J53" s="2" t="s">
        <v>79</v>
      </c>
      <c r="K53" s="2"/>
      <c r="L53" s="2"/>
      <c r="M53" s="2"/>
      <c r="N53" s="2"/>
      <c r="O53" s="2"/>
      <c r="P53" s="2"/>
      <c r="Q53" s="2"/>
      <c r="R53" s="2"/>
      <c r="S53" s="2" t="s">
        <v>81</v>
      </c>
      <c r="T53" s="54">
        <v>45840</v>
      </c>
      <c r="U53" s="34"/>
      <c r="V53" s="34"/>
      <c r="W53" s="34"/>
      <c r="X53" s="34"/>
      <c r="Y53" s="34"/>
    </row>
    <row r="54" spans="1:25" ht="15" customHeight="1">
      <c r="A54" s="2">
        <v>2055</v>
      </c>
      <c r="B54" s="2" t="s">
        <v>284</v>
      </c>
      <c r="C54" s="55">
        <v>46223</v>
      </c>
      <c r="D54" s="2">
        <v>10</v>
      </c>
      <c r="E54" s="2" t="s">
        <v>83</v>
      </c>
      <c r="F54" s="2" t="s">
        <v>285</v>
      </c>
      <c r="G54" s="2" t="s">
        <v>17</v>
      </c>
      <c r="H54" s="2" t="s">
        <v>78</v>
      </c>
      <c r="I54" s="2" t="s">
        <v>80</v>
      </c>
      <c r="J54" s="2"/>
      <c r="K54" s="2"/>
      <c r="L54" s="2"/>
      <c r="M54" s="2"/>
      <c r="N54" s="2"/>
      <c r="O54" s="2"/>
      <c r="P54" s="2"/>
      <c r="Q54" s="2"/>
      <c r="R54" s="2"/>
      <c r="S54" s="2" t="s">
        <v>84</v>
      </c>
      <c r="T54" s="54">
        <v>45840</v>
      </c>
      <c r="U54" s="34"/>
      <c r="V54" s="34"/>
      <c r="W54" s="34"/>
      <c r="X54" s="34"/>
      <c r="Y54" s="34"/>
    </row>
    <row r="55" spans="1:25" ht="15" customHeight="1">
      <c r="A55" s="2">
        <v>101010</v>
      </c>
      <c r="B55" s="2" t="s">
        <v>286</v>
      </c>
      <c r="C55" s="55">
        <v>46204</v>
      </c>
      <c r="D55" s="2">
        <v>32</v>
      </c>
      <c r="E55" s="2" t="s">
        <v>103</v>
      </c>
      <c r="F55" s="2" t="s">
        <v>287</v>
      </c>
      <c r="G55" s="2" t="s">
        <v>14</v>
      </c>
      <c r="H55" s="2" t="s">
        <v>78</v>
      </c>
      <c r="I55" s="2" t="s">
        <v>80</v>
      </c>
      <c r="J55" s="2" t="s">
        <v>79</v>
      </c>
      <c r="K55" s="2" t="s">
        <v>79</v>
      </c>
      <c r="L55" s="2" t="s">
        <v>79</v>
      </c>
      <c r="M55" s="2" t="s">
        <v>79</v>
      </c>
      <c r="N55" s="2" t="s">
        <v>79</v>
      </c>
      <c r="O55" s="2" t="s">
        <v>288</v>
      </c>
      <c r="P55" s="2" t="s">
        <v>289</v>
      </c>
      <c r="Q55" s="2"/>
      <c r="R55" s="2"/>
      <c r="S55" s="2" t="s">
        <v>81</v>
      </c>
      <c r="T55" s="54">
        <v>46223</v>
      </c>
      <c r="U55" s="34"/>
      <c r="V55" s="34"/>
      <c r="W55" s="34"/>
      <c r="X55" s="34"/>
      <c r="Y55" s="34"/>
    </row>
    <row r="56" spans="1:25" ht="15" customHeight="1">
      <c r="A56" s="2">
        <v>252589</v>
      </c>
      <c r="B56" s="2" t="s">
        <v>290</v>
      </c>
      <c r="C56" s="55">
        <v>46228</v>
      </c>
      <c r="D56" s="2">
        <v>8</v>
      </c>
      <c r="E56" s="2" t="s">
        <v>83</v>
      </c>
      <c r="F56" s="2" t="s">
        <v>286</v>
      </c>
      <c r="G56" s="2" t="s">
        <v>17</v>
      </c>
      <c r="H56" s="2" t="s">
        <v>78</v>
      </c>
      <c r="I56" s="2" t="s">
        <v>79</v>
      </c>
      <c r="J56" s="2"/>
      <c r="K56" s="2"/>
      <c r="L56" s="2"/>
      <c r="M56" s="2"/>
      <c r="N56" s="2"/>
      <c r="O56" s="2"/>
      <c r="P56" s="2"/>
      <c r="Q56" s="2"/>
      <c r="R56" s="2"/>
      <c r="S56" s="2" t="s">
        <v>84</v>
      </c>
      <c r="T56" s="54">
        <v>46223</v>
      </c>
      <c r="U56" s="34"/>
      <c r="V56" s="34"/>
      <c r="W56" s="34"/>
      <c r="X56" s="34"/>
      <c r="Y56" s="34"/>
    </row>
    <row r="57" spans="1:25" ht="15" customHeight="1">
      <c r="A57" s="2">
        <v>525252</v>
      </c>
      <c r="B57" s="2" t="s">
        <v>291</v>
      </c>
      <c r="C57" s="55">
        <v>46229</v>
      </c>
      <c r="D57" s="2">
        <v>7</v>
      </c>
      <c r="E57" s="2" t="s">
        <v>77</v>
      </c>
      <c r="F57" s="2" t="s">
        <v>77</v>
      </c>
      <c r="G57" s="2" t="s">
        <v>14</v>
      </c>
      <c r="H57" s="2" t="s">
        <v>78</v>
      </c>
      <c r="I57" s="2" t="s">
        <v>79</v>
      </c>
      <c r="J57" s="2"/>
      <c r="K57" s="2"/>
      <c r="L57" s="2"/>
      <c r="M57" s="2"/>
      <c r="N57" s="2"/>
      <c r="O57" s="2"/>
      <c r="P57" s="2"/>
      <c r="Q57" s="2"/>
      <c r="R57" s="2"/>
      <c r="S57" s="2" t="s">
        <v>85</v>
      </c>
      <c r="T57" s="54">
        <v>46223</v>
      </c>
      <c r="U57" s="34"/>
      <c r="V57" s="34"/>
      <c r="W57" s="34"/>
      <c r="X57" s="34"/>
      <c r="Y57" s="34"/>
    </row>
    <row r="58" spans="1:25" ht="15" customHeight="1">
      <c r="A58" s="2">
        <v>235885</v>
      </c>
      <c r="B58" s="2" t="s">
        <v>292</v>
      </c>
      <c r="C58" s="55">
        <v>45889</v>
      </c>
      <c r="D58" s="2">
        <v>347</v>
      </c>
      <c r="E58" s="2" t="s">
        <v>77</v>
      </c>
      <c r="F58" s="2"/>
      <c r="G58" s="2" t="s">
        <v>26</v>
      </c>
      <c r="H58" s="2" t="s">
        <v>78</v>
      </c>
      <c r="I58" s="2" t="s">
        <v>80</v>
      </c>
      <c r="J58" s="2" t="s">
        <v>80</v>
      </c>
      <c r="K58" s="2"/>
      <c r="L58" s="2"/>
      <c r="M58" s="2"/>
      <c r="N58" s="2"/>
      <c r="O58" s="2"/>
      <c r="P58" s="2"/>
      <c r="Q58" s="2"/>
      <c r="R58" s="2"/>
      <c r="S58" s="2" t="s">
        <v>93</v>
      </c>
      <c r="T58" s="54">
        <v>46223</v>
      </c>
      <c r="U58" s="34"/>
      <c r="V58" s="34"/>
      <c r="W58" s="34"/>
      <c r="X58" s="34"/>
      <c r="Y58" s="34"/>
    </row>
    <row r="59" spans="1:25" ht="1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90</v>
      </c>
      <c r="T59" s="54">
        <v>46204</v>
      </c>
      <c r="U59" s="34"/>
      <c r="V59" s="34"/>
      <c r="W59" s="34"/>
      <c r="X59" s="34"/>
      <c r="Y59" s="34"/>
    </row>
    <row r="60" spans="1:25" ht="1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93</v>
      </c>
      <c r="T60" s="54">
        <v>46204</v>
      </c>
      <c r="U60" s="34"/>
      <c r="V60" s="34"/>
      <c r="W60" s="34"/>
      <c r="X60" s="34"/>
      <c r="Y60" s="34"/>
    </row>
    <row r="61" spans="1:25" ht="1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 t="s">
        <v>95</v>
      </c>
      <c r="T61" s="54">
        <v>46204</v>
      </c>
      <c r="U61" s="34"/>
      <c r="V61" s="34"/>
      <c r="W61" s="34"/>
      <c r="X61" s="34"/>
      <c r="Y61" s="34"/>
    </row>
    <row r="62" spans="1:25" ht="1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97</v>
      </c>
      <c r="T62" s="54">
        <v>46204</v>
      </c>
      <c r="U62" s="34"/>
      <c r="V62" s="34"/>
      <c r="W62" s="34"/>
      <c r="X62" s="34"/>
      <c r="Y62" s="34"/>
    </row>
    <row r="63" spans="1:25" ht="1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99</v>
      </c>
      <c r="T63" s="54">
        <v>46204</v>
      </c>
      <c r="U63" s="34"/>
      <c r="V63" s="34"/>
      <c r="W63" s="34"/>
      <c r="X63" s="34"/>
      <c r="Y63" s="34"/>
    </row>
    <row r="64" spans="1:25" ht="1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101</v>
      </c>
      <c r="T64" s="54">
        <v>46204</v>
      </c>
      <c r="U64" s="34"/>
      <c r="V64" s="34"/>
      <c r="W64" s="34"/>
      <c r="X64" s="34"/>
      <c r="Y64" s="34"/>
    </row>
    <row r="65" spans="2:25" ht="1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105</v>
      </c>
      <c r="T65" s="54">
        <v>46204</v>
      </c>
      <c r="U65" s="34"/>
      <c r="V65" s="34"/>
      <c r="W65" s="34"/>
      <c r="X65" s="34"/>
      <c r="Y65" s="34"/>
    </row>
    <row r="66" spans="2:25" ht="1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106</v>
      </c>
      <c r="T66" s="54">
        <v>46204</v>
      </c>
      <c r="U66" s="34"/>
      <c r="V66" s="34"/>
      <c r="W66" s="34"/>
      <c r="X66" s="34"/>
      <c r="Y66" s="34"/>
    </row>
    <row r="67" spans="2:25" ht="1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 t="s">
        <v>107</v>
      </c>
      <c r="T67" s="54">
        <v>46204</v>
      </c>
      <c r="U67" s="34"/>
      <c r="V67" s="34"/>
      <c r="W67" s="34"/>
      <c r="X67" s="34"/>
      <c r="Y67" s="34"/>
    </row>
  </sheetData>
  <mergeCells count="2">
    <mergeCell ref="A1:T1"/>
    <mergeCell ref="A2:T2"/>
  </mergeCells>
  <conditionalFormatting sqref="U5:U204">
    <cfRule type="cellIs" dxfId="9" priority="1" operator="equal">
      <formula>"✓"</formula>
    </cfRule>
  </conditionalFormatting>
  <conditionalFormatting sqref="U5:U204">
    <cfRule type="cellIs" dxfId="8" priority="2" operator="equal">
      <formula>"✗"</formula>
    </cfRule>
  </conditionalFormatting>
  <conditionalFormatting sqref="V5:V204">
    <cfRule type="cellIs" dxfId="7" priority="3" operator="equal">
      <formula>"✓"</formula>
    </cfRule>
  </conditionalFormatting>
  <conditionalFormatting sqref="V5:V204">
    <cfRule type="cellIs" dxfId="6" priority="4" operator="equal">
      <formula>"✗"</formula>
    </cfRule>
  </conditionalFormatting>
  <conditionalFormatting sqref="W5:W204">
    <cfRule type="cellIs" dxfId="5" priority="5" operator="equal">
      <formula>"✓"</formula>
    </cfRule>
  </conditionalFormatting>
  <conditionalFormatting sqref="W5:W204">
    <cfRule type="cellIs" dxfId="4" priority="6" operator="equal">
      <formula>"✗"</formula>
    </cfRule>
  </conditionalFormatting>
  <conditionalFormatting sqref="X5:X204">
    <cfRule type="cellIs" dxfId="3" priority="7" operator="equal">
      <formula>"✓"</formula>
    </cfRule>
  </conditionalFormatting>
  <conditionalFormatting sqref="X5:X204">
    <cfRule type="cellIs" dxfId="2" priority="8" operator="equal">
      <formula>"✗"</formula>
    </cfRule>
  </conditionalFormatting>
  <conditionalFormatting sqref="Y5:Y204">
    <cfRule type="cellIs" dxfId="1" priority="9" operator="equal">
      <formula>"✓"</formula>
    </cfRule>
  </conditionalFormatting>
  <conditionalFormatting sqref="Y5:Y204">
    <cfRule type="cellIs" dxfId="0" priority="10" operator="equal">
      <formula>"✗"</formula>
    </cfRule>
  </conditionalFormatting>
  <dataValidations count="1">
    <dataValidation type="list" allowBlank="1" sqref="U5:Y204" xr:uid="{00000000-0002-0000-2500-000000000000}">
      <formula1>"✓,✗"</formula1>
    </dataValidation>
  </dataValidations>
  <pageMargins left="0.75" right="0.75" top="1" bottom="1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Y4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24" style="2" customWidth="1"/>
    <col min="2" max="2" width="18" customWidth="1"/>
    <col min="3" max="4" width="13" customWidth="1"/>
    <col min="5" max="5" width="9" customWidth="1"/>
    <col min="6" max="6" width="13" customWidth="1"/>
    <col min="7" max="7" width="15" customWidth="1"/>
    <col min="8" max="17" width="13" customWidth="1"/>
    <col min="18" max="18" width="30" customWidth="1"/>
    <col min="19" max="19" width="10" customWidth="1"/>
    <col min="20" max="20" width="13" customWidth="1"/>
    <col min="21" max="21" width="12" customWidth="1"/>
    <col min="22" max="25" width="13" customWidth="1"/>
    <col min="26" max="26" width="8.7109375" customWidth="1"/>
  </cols>
  <sheetData>
    <row r="1" spans="1:25" ht="19.5" customHeight="1">
      <c r="A1" s="150" t="s">
        <v>293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</row>
    <row r="2" spans="1:25" ht="15" customHeight="1">
      <c r="A2" s="128" t="s">
        <v>294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9" customHeight="1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15</v>
      </c>
      <c r="K4" s="4" t="s">
        <v>24</v>
      </c>
      <c r="L4" s="4" t="s">
        <v>21</v>
      </c>
      <c r="M4" s="4" t="s">
        <v>68</v>
      </c>
      <c r="N4" s="4" t="s">
        <v>18</v>
      </c>
      <c r="O4" s="4" t="s">
        <v>69</v>
      </c>
      <c r="P4" s="4" t="s">
        <v>70</v>
      </c>
      <c r="Q4" s="4" t="s">
        <v>71</v>
      </c>
      <c r="R4" s="4" t="s">
        <v>72</v>
      </c>
      <c r="S4" s="4" t="s">
        <v>73</v>
      </c>
      <c r="T4" s="4" t="s">
        <v>75</v>
      </c>
      <c r="U4" s="4" t="s">
        <v>132</v>
      </c>
      <c r="V4" s="4" t="s">
        <v>133</v>
      </c>
      <c r="W4" s="4" t="s">
        <v>134</v>
      </c>
      <c r="X4" s="4" t="s">
        <v>135</v>
      </c>
      <c r="Y4" s="4" t="s">
        <v>136</v>
      </c>
    </row>
  </sheetData>
  <mergeCells count="2">
    <mergeCell ref="A1:Y1"/>
    <mergeCell ref="A2:Y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Dorian Callis</cp:lastModifiedBy>
  <cp:revision/>
  <dcterms:created xsi:type="dcterms:W3CDTF">2026-08-04T04:52:33Z</dcterms:created>
  <dcterms:modified xsi:type="dcterms:W3CDTF">2026-08-09T01:16:04Z</dcterms:modified>
  <cp:category/>
  <cp:contentStatus/>
</cp:coreProperties>
</file>