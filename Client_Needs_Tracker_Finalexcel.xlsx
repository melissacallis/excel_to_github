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67" documentId="11_A979DD328400E7713DB39DAFC77D6D7DD0B2F151" xr6:coauthVersionLast="47" xr6:coauthVersionMax="47" xr10:uidLastSave="{4459E992-11F2-421F-AAF8-8ABE7E147A61}"/>
  <bookViews>
    <workbookView xWindow="0" yWindow="0" windowWidth="0" windowHeight="0" firstSheet="3" activeTab="3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3" i="4"/>
  <c r="B14" i="4"/>
  <c r="B15" i="4"/>
  <c r="B16" i="4"/>
  <c r="B17" i="4"/>
  <c r="B18" i="4"/>
  <c r="B19" i="4"/>
  <c r="B20" i="4"/>
  <c r="O20" i="4"/>
  <c r="N20" i="4"/>
  <c r="M20" i="4"/>
  <c r="E20" i="4"/>
  <c r="D20" i="4"/>
  <c r="C20" i="4"/>
  <c r="A20" i="4"/>
  <c r="O19" i="4"/>
  <c r="N19" i="4"/>
  <c r="M19" i="4"/>
  <c r="E19" i="4"/>
  <c r="D19" i="4"/>
  <c r="C19" i="4"/>
  <c r="A19" i="4"/>
  <c r="O18" i="4"/>
  <c r="N18" i="4"/>
  <c r="M18" i="4"/>
  <c r="E18" i="4"/>
  <c r="D18" i="4"/>
  <c r="C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A13" i="4"/>
  <c r="O12" i="4"/>
  <c r="N12" i="4"/>
  <c r="M12" i="4"/>
  <c r="E12" i="4"/>
  <c r="D12" i="4"/>
  <c r="C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D6" i="4"/>
  <c r="C6" i="4"/>
  <c r="B6" i="4"/>
  <c r="A6" i="4"/>
  <c r="O5" i="4"/>
  <c r="N5" i="4"/>
  <c r="M5" i="4"/>
  <c r="E5" i="4"/>
  <c r="D5" i="4"/>
  <c r="C5" i="4"/>
  <c r="B5" i="4"/>
  <c r="A5" i="4"/>
  <c r="Y114" i="37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D50" i="33" a="1"/>
  <c r="D50" i="33" s="1"/>
  <c r="C50" i="33" a="1"/>
  <c r="C50" i="33" s="1"/>
  <c r="B50" i="33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24" i="7" l="1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<sst xmlns="http://schemas.openxmlformats.org/spreadsheetml/2006/main" count="2281" uniqueCount="299">
  <si>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</si>
  <si>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</si>
  <si>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</si>
  <si>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</si>
  <si>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</si>
  <si>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</si>
  <si>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</si>
  <si>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</si>
  <si>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</si>
  <si>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</si>
  <si>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</si>
  <si>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</si>
  <si>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</si>
  <si>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</si>
  <si>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</si>
  <si>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</si>
  <si>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</si>
  <si>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</si>
  <si>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</si>
  <si>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</si>
  <si>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</si>
  <si>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</si>
  <si>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</si>
  <si>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</si>
  <si>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</si>
  <si>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</si>
  <si>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</si>
  <si>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</si>
  <si>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</si>
  <si>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</si>
  <si>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</si>
  <si>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</si>
  <si>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</si>
  <si>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</si>
  <si>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</si>
  <si>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</si>
  <si>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</si>
  <si>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</si>
  <si>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</si>
  <si>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</si>
  <si>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</si>
  <si>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</si>
  <si>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</si>
  <si>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</si>
  <si>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</si>
  <si>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</si>
  <si>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</si>
  <si>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</si>
  <si>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</si>
  <si>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</si>
  <si>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</si>
  <si>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</si>
  <si>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</si>
  <si>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</si>
  <si>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</si>
  <si>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</si>
  <si>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</si>
  <si>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</si>
  <si>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</si>
  <si>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</si>
  <si>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</si>
  <si>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</si>
  <si>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</si>
  <si>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</si>
  <si>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</si>
  <si>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</si>
  <si>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</si>
  <si>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</si>
  <si>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</si>
  <si>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</si>
  <si>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</si>
  <si>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</si>
  <si>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</si>
  <si>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</si>
  <si>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</si>
  <si>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</si>
  <si>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</si>
  <si>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</si>
  <si>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</si>
  <si>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</si>
  <si>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</si>
  <si>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</si>
  <si>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Mikayla Cross</t>
  </si>
  <si>
    <t>LOC3</t>
  </si>
  <si>
    <t>J. Wilkers</t>
  </si>
  <si>
    <t>M - 1B</t>
  </si>
  <si>
    <t>Jimmy Jones</t>
  </si>
  <si>
    <t>M - 2A</t>
  </si>
  <si>
    <t>Chew Baca</t>
  </si>
  <si>
    <t>M - 2B</t>
  </si>
  <si>
    <t>Heather Locklear</t>
  </si>
  <si>
    <t>M - 3A</t>
  </si>
  <si>
    <t>kijjuytt huyyuh</t>
  </si>
  <si>
    <t>M - 3B</t>
  </si>
  <si>
    <t>justin beiber</t>
  </si>
  <si>
    <t>M - 4A</t>
  </si>
  <si>
    <t>M - 4B</t>
  </si>
  <si>
    <t>Brenda Homes</t>
  </si>
  <si>
    <t>F - 1A</t>
  </si>
  <si>
    <t>Lisa Lou</t>
  </si>
  <si>
    <t>F - 1B</t>
  </si>
  <si>
    <t>Betty Boop</t>
  </si>
  <si>
    <t>F - 2A</t>
  </si>
  <si>
    <t>lololo kkk</t>
  </si>
  <si>
    <t>F - 2B</t>
  </si>
  <si>
    <t>Jessica Simpson</t>
  </si>
  <si>
    <t>F - 3A</t>
  </si>
  <si>
    <t>Manuel Lewis</t>
  </si>
  <si>
    <t>LOC5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</si>
  <si>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</si>
  <si>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</si>
  <si>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</si>
  <si>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</si>
  <si>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</si>
  <si>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</si>
  <si>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</si>
  <si>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</si>
  <si>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</si>
  <si>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</si>
  <si>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</si>
  <si>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</si>
  <si>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</si>
  <si>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</si>
  <si>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</si>
  <si>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</si>
  <si>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</si>
  <si>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</si>
  <si>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</si>
  <si>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</si>
  <si>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</si>
  <si>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</si>
  <si>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LOC2</t>
  </si>
  <si>
    <t>LOC4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</si>
  <si>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</si>
  <si>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</si>
  <si>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</si>
  <si>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</si>
  <si>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</si>
  <si>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</si>
  <si>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</si>
  <si>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</si>
  <si>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</si>
  <si>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</si>
  <si>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</si>
  <si>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</si>
  <si>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</si>
  <si>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</si>
  <si>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</si>
  <si>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</si>
  <si>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</si>
  <si>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</si>
  <si>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</si>
  <si>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</si>
  <si>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</si>
  <si>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</si>
  <si>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</si>
  <si>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</si>
  <si>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</si>
  <si>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</si>
  <si>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</si>
  <si>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</si>
  <si>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</si>
  <si>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Needs ID</t>
  </si>
  <si>
    <t>CVS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</si>
  <si>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</si>
  <si>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</si>
  <si>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</si>
  <si>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</si>
  <si>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</si>
  <si>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</si>
  <si>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</si>
  <si>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</si>
  <si>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</si>
  <si>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</si>
  <si>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</si>
  <si>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</si>
  <si>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</si>
  <si>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</si>
  <si>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</si>
  <si>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</si>
  <si>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</si>
  <si>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</si>
  <si>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</si>
  <si>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</si>
  <si>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</si>
  <si>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</si>
  <si>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</si>
  <si>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</si>
  <si>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</si>
  <si>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</si>
  <si>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</si>
  <si>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</si>
  <si>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</si>
  <si>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</si>
  <si>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</si>
  <si>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</si>
  <si>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</si>
  <si>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</si>
  <si>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</si>
  <si>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</si>
  <si>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</si>
  <si>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</si>
  <si>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</si>
  <si>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</si>
  <si>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</si>
  <si>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</si>
  <si>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</si>
  <si>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</si>
  <si>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</si>
  <si>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</si>
  <si>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</si>
  <si>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</si>
  <si>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</si>
  <si>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</si>
  <si>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</si>
  <si>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</si>
  <si>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</si>
  <si>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</si>
  <si>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</si>
  <si>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</si>
  <si>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</si>
  <si>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</si>
  <si>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</si>
  <si>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</si>
  <si>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</si>
  <si>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</si>
  <si>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</si>
  <si>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</si>
  <si>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</si>
  <si>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</si>
  <si>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</si>
  <si>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</si>
  <si>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</si>
  <si>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</si>
  <si>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</si>
  <si>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</si>
  <si>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</si>
  <si>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</si>
  <si>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N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</si>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</sst>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9" fontId="25" fillId="0" borderId="0" xfId="0" applyNumberFormat="1" applyFont="1" applyAlignment="1">
      <alignment horizontal="left"/>
    </xf>
    <xf numFmtId="0" fontId="25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0" fontId="51" fillId="15" borderId="37" xfId="0" applyFont="1" applyFill="1" applyBorder="1" applyAlignment="1">
      <alignment horizontal="left" vertical="center"/>
    </xf>
    <xf numFmtId="168" fontId="10" fillId="7" borderId="21" xfId="0" applyNumberFormat="1" applyFont="1" applyFill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46241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78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77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76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77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77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76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77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77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76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77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77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76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77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77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77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77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77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77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77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77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77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77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B8:C8"/>
    <mergeCell ref="D8:E8"/>
    <mergeCell ref="F8:G8"/>
    <mergeCell ref="H8:I8"/>
    <mergeCell ref="J8:K8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6:C6"/>
    <mergeCell ref="D6:E6"/>
    <mergeCell ref="F6:G6"/>
    <mergeCell ref="H6:I6"/>
    <mergeCell ref="B7:C7"/>
    <mergeCell ref="B2:M2"/>
    <mergeCell ref="B3:M3"/>
    <mergeCell ref="B5:C5"/>
    <mergeCell ref="D5:E5"/>
    <mergeCell ref="F5:G5"/>
    <mergeCell ref="H5:I5"/>
    <mergeCell ref="J5:K5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C18:D18"/>
    <mergeCell ref="C15:D15"/>
    <mergeCell ref="L16:N16"/>
    <mergeCell ref="L17:N17"/>
    <mergeCell ref="L18:N18"/>
    <mergeCell ref="G16:I16"/>
    <mergeCell ref="F18:I18"/>
    <mergeCell ref="L15:N15"/>
    <mergeCell ref="G15:I15"/>
    <mergeCell ref="C14:D14"/>
    <mergeCell ref="G14:I14"/>
    <mergeCell ref="C16:D16"/>
    <mergeCell ref="C17:D17"/>
    <mergeCell ref="B9:C9"/>
    <mergeCell ref="G13:I13"/>
    <mergeCell ref="L13:N13"/>
    <mergeCell ref="C13:D13"/>
    <mergeCell ref="L14:N14"/>
    <mergeCell ref="B12:E12"/>
    <mergeCell ref="F12:I12"/>
    <mergeCell ref="J12:N12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workbookViewId="0">
      <pane ySplit="4" topLeftCell="A5" activePane="bottomLeft" state="frozen"/>
      <selection pane="bottomLeft" activeCell="J18" sqref="J18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79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80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13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258025</v>
      </c>
      <c r="B6" s="9" t="s">
        <v>82</v>
      </c>
      <c r="C6" s="10">
        <v>46235</v>
      </c>
      <c r="D6" s="8">
        <f t="shared" ca="1" si="0"/>
        <v>6</v>
      </c>
      <c r="E6" s="8" t="s">
        <v>83</v>
      </c>
      <c r="F6" s="9" t="s">
        <v>84</v>
      </c>
      <c r="G6" s="8" t="s">
        <v>26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85</v>
      </c>
      <c r="T6" s="7"/>
      <c r="U6" s="58"/>
    </row>
    <row r="7" spans="1:21" ht="15" customHeight="1">
      <c r="A7" s="56">
        <v>10102</v>
      </c>
      <c r="B7" s="9" t="s">
        <v>86</v>
      </c>
      <c r="C7" s="10">
        <v>46231</v>
      </c>
      <c r="D7" s="8">
        <f t="shared" ca="1" si="0"/>
        <v>10</v>
      </c>
      <c r="E7" s="8" t="s">
        <v>83</v>
      </c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87</v>
      </c>
      <c r="T7" s="7"/>
      <c r="U7" s="58"/>
    </row>
    <row r="8" spans="1:21" ht="15" customHeight="1">
      <c r="A8" s="56">
        <v>10000</v>
      </c>
      <c r="B8" s="9" t="s">
        <v>88</v>
      </c>
      <c r="C8" s="10">
        <v>46235</v>
      </c>
      <c r="D8" s="8">
        <f t="shared" ca="1" si="0"/>
        <v>6</v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89</v>
      </c>
      <c r="T8" s="7"/>
      <c r="U8" s="58"/>
    </row>
    <row r="9" spans="1:21" ht="15" customHeight="1">
      <c r="A9" s="56">
        <v>10202</v>
      </c>
      <c r="B9" s="9" t="s">
        <v>90</v>
      </c>
      <c r="C9" s="10">
        <v>46236</v>
      </c>
      <c r="D9" s="8">
        <f t="shared" ca="1" si="0"/>
        <v>5</v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91</v>
      </c>
      <c r="T9" s="7"/>
      <c r="U9" s="58"/>
    </row>
    <row r="10" spans="1:21" ht="15" customHeight="1">
      <c r="A10" s="56">
        <v>102</v>
      </c>
      <c r="B10" s="9" t="s">
        <v>92</v>
      </c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93</v>
      </c>
      <c r="T10" s="7"/>
      <c r="U10" s="58"/>
    </row>
    <row r="11" spans="1:21" ht="15" customHeight="1">
      <c r="A11" s="56">
        <v>2222</v>
      </c>
      <c r="B11" s="9" t="s">
        <v>94</v>
      </c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95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96</v>
      </c>
      <c r="T12" s="7"/>
      <c r="U12" s="58"/>
    </row>
    <row r="13" spans="1:21" ht="15" customHeight="1">
      <c r="A13" s="57">
        <v>102558</v>
      </c>
      <c r="B13" s="27" t="s">
        <v>97</v>
      </c>
      <c r="C13" s="28">
        <v>46223</v>
      </c>
      <c r="D13" s="26">
        <f t="shared" ca="1" si="0"/>
        <v>18</v>
      </c>
      <c r="E13" s="26" t="s">
        <v>83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98</v>
      </c>
      <c r="T13" s="7"/>
      <c r="U13" s="58"/>
    </row>
    <row r="14" spans="1:21" ht="15" customHeight="1">
      <c r="A14" s="57">
        <v>10223</v>
      </c>
      <c r="B14" s="27" t="s">
        <v>99</v>
      </c>
      <c r="C14" s="28">
        <v>46231</v>
      </c>
      <c r="D14" s="26">
        <f t="shared" ca="1" si="0"/>
        <v>10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100</v>
      </c>
      <c r="T14" s="7"/>
      <c r="U14" s="58"/>
    </row>
    <row r="15" spans="1:21" ht="15" customHeight="1">
      <c r="A15" s="57">
        <v>10101010</v>
      </c>
      <c r="B15" s="27" t="s">
        <v>101</v>
      </c>
      <c r="C15" s="28">
        <v>46237</v>
      </c>
      <c r="D15" s="26">
        <f t="shared" ca="1" si="0"/>
        <v>4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102</v>
      </c>
      <c r="T15" s="7"/>
      <c r="U15" s="58"/>
    </row>
    <row r="16" spans="1:21" ht="15" customHeight="1">
      <c r="A16" s="57">
        <v>25585</v>
      </c>
      <c r="B16" s="27" t="s">
        <v>103</v>
      </c>
      <c r="C16" s="28">
        <v>46239</v>
      </c>
      <c r="D16" s="26">
        <f t="shared" ca="1" si="0"/>
        <v>2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104</v>
      </c>
      <c r="T16" s="7"/>
      <c r="U16" s="58"/>
    </row>
    <row r="17" spans="1:21" ht="15" customHeight="1">
      <c r="A17" s="57">
        <v>588588</v>
      </c>
      <c r="B17" s="27" t="s">
        <v>105</v>
      </c>
      <c r="C17" s="28">
        <v>46238</v>
      </c>
      <c r="D17" s="26">
        <f t="shared" ca="1" si="0"/>
        <v>3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106</v>
      </c>
      <c r="T17" s="7"/>
      <c r="U17" s="58"/>
    </row>
    <row r="18" spans="1:21" ht="15" customHeight="1">
      <c r="A18" s="57">
        <v>3855</v>
      </c>
      <c r="B18" s="27" t="s">
        <v>107</v>
      </c>
      <c r="C18" s="28">
        <v>46205</v>
      </c>
      <c r="D18" s="26">
        <f t="shared" ca="1" si="0"/>
        <v>36</v>
      </c>
      <c r="E18" s="26" t="s">
        <v>108</v>
      </c>
      <c r="F18" s="27" t="s">
        <v>84</v>
      </c>
      <c r="G18" s="26" t="s">
        <v>20</v>
      </c>
      <c r="H18" s="21" t="s">
        <v>78</v>
      </c>
      <c r="I18" s="21" t="s">
        <v>80</v>
      </c>
      <c r="J18" s="21" t="s">
        <v>79</v>
      </c>
      <c r="K18" s="21"/>
      <c r="L18" s="21"/>
      <c r="M18" s="21"/>
      <c r="N18" s="21"/>
      <c r="O18" s="21"/>
      <c r="P18" s="21"/>
      <c r="Q18" s="21"/>
      <c r="R18" s="22"/>
      <c r="S18" s="29" t="s">
        <v>109</v>
      </c>
      <c r="T18" s="7"/>
      <c r="U18" s="58"/>
    </row>
    <row r="19" spans="1:21" ht="15" customHeight="1">
      <c r="A19" s="57"/>
      <c r="B19" s="27"/>
      <c r="C19" s="28"/>
      <c r="D19" s="26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110</v>
      </c>
      <c r="T19" s="7"/>
      <c r="U19" s="58"/>
    </row>
    <row r="20" spans="1:21" ht="15" customHeight="1">
      <c r="A20" s="63"/>
      <c r="B20" s="64"/>
      <c r="C20" s="65"/>
      <c r="D20" s="66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111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112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113</v>
      </c>
      <c r="B24" s="31" t="s">
        <v>114</v>
      </c>
      <c r="C24" s="31" t="s">
        <v>115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1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3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116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117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118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81" t="s">
        <v>119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82" t="s">
        <v>120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7">
        <v>30</v>
      </c>
      <c r="B52" s="122"/>
      <c r="C52" s="86" t="s">
        <v>121</v>
      </c>
      <c r="D52" s="122"/>
      <c r="E52" s="88">
        <v>0.7</v>
      </c>
      <c r="F52" s="122"/>
      <c r="G52" s="83">
        <v>0.73</v>
      </c>
      <c r="H52" s="122"/>
      <c r="I52" s="83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84" t="s">
        <v>3</v>
      </c>
      <c r="B55" s="106"/>
      <c r="C55" s="84" t="s">
        <v>122</v>
      </c>
      <c r="D55" s="106"/>
      <c r="E55" s="84" t="s">
        <v>4</v>
      </c>
      <c r="F55" s="106"/>
      <c r="G55" s="84" t="s">
        <v>123</v>
      </c>
      <c r="H55" s="106"/>
      <c r="I55" s="84" t="s">
        <v>124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85" t="s">
        <v>125</v>
      </c>
      <c r="B58" s="106"/>
      <c r="C58" s="106"/>
      <c r="D58" s="106"/>
      <c r="E58" s="106"/>
      <c r="F58" s="1"/>
      <c r="G58" s="85" t="s">
        <v>126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127</v>
      </c>
      <c r="D59" s="1"/>
      <c r="E59" s="1"/>
      <c r="F59" s="1"/>
      <c r="G59" s="15" t="s">
        <v>11</v>
      </c>
      <c r="H59" s="15" t="s">
        <v>128</v>
      </c>
      <c r="I59" s="15" t="s">
        <v>129</v>
      </c>
      <c r="J59" s="1"/>
      <c r="K59" s="1"/>
      <c r="L59" s="1"/>
    </row>
    <row r="60" spans="1:12" ht="15.75" customHeight="1">
      <c r="A60" s="17" t="s">
        <v>130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131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83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132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108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85" t="s">
        <v>133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134</v>
      </c>
      <c r="B68" s="15" t="s">
        <v>135</v>
      </c>
      <c r="C68" s="15" t="s">
        <v>136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137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138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139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140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141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  <mergeCell ref="A1:P1"/>
    <mergeCell ref="A2:P2"/>
    <mergeCell ref="A23:D23"/>
    <mergeCell ref="A49:L49"/>
    <mergeCell ref="A50:L50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81" t="s">
        <v>119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82" t="s">
        <v>120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7">
        <v>30</v>
      </c>
      <c r="B5" s="122"/>
      <c r="C5" s="86" t="s">
        <v>121</v>
      </c>
      <c r="D5" s="122"/>
      <c r="E5" s="88">
        <v>0.7</v>
      </c>
      <c r="F5" s="122"/>
      <c r="G5" s="83">
        <v>0.73</v>
      </c>
      <c r="H5" s="122"/>
      <c r="I5" s="83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84" t="s">
        <v>3</v>
      </c>
      <c r="B8" s="106"/>
      <c r="C8" s="84" t="s">
        <v>122</v>
      </c>
      <c r="D8" s="106"/>
      <c r="E8" s="84" t="s">
        <v>4</v>
      </c>
      <c r="F8" s="106"/>
      <c r="G8" s="84" t="s">
        <v>123</v>
      </c>
      <c r="H8" s="106"/>
      <c r="I8" s="84" t="s">
        <v>124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85" t="s">
        <v>125</v>
      </c>
      <c r="B11" s="106"/>
      <c r="C11" s="106"/>
      <c r="D11" s="106"/>
      <c r="E11" s="106"/>
      <c r="F11" s="1"/>
      <c r="G11" s="85" t="s">
        <v>126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127</v>
      </c>
      <c r="D12" s="1"/>
      <c r="E12" s="1"/>
      <c r="F12" s="1"/>
      <c r="G12" s="15" t="s">
        <v>11</v>
      </c>
      <c r="H12" s="15" t="s">
        <v>128</v>
      </c>
      <c r="I12" s="15" t="s">
        <v>129</v>
      </c>
      <c r="J12" s="1"/>
      <c r="K12" s="1"/>
      <c r="L12" s="1"/>
    </row>
    <row r="13" spans="1:12">
      <c r="A13" s="17" t="s">
        <v>130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131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83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132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108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85" t="s">
        <v>133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134</v>
      </c>
      <c r="B21" s="15" t="s">
        <v>135</v>
      </c>
      <c r="C21" s="15" t="s">
        <v>136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137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138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139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140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141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tabSelected="1" workbookViewId="0">
      <pane ySplit="4" topLeftCell="C5" activePane="bottomLeft" state="frozen"/>
      <selection pane="bottomLeft" activeCell="M18" sqref="M18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142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143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144</v>
      </c>
      <c r="C4" s="3" t="s">
        <v>73</v>
      </c>
      <c r="D4" s="4" t="s">
        <v>65</v>
      </c>
      <c r="E4" s="3" t="s">
        <v>64</v>
      </c>
      <c r="F4" s="5" t="s">
        <v>145</v>
      </c>
      <c r="G4" s="3" t="s">
        <v>146</v>
      </c>
      <c r="H4" s="3" t="s">
        <v>147</v>
      </c>
      <c r="I4" s="3" t="s">
        <v>148</v>
      </c>
      <c r="J4" s="3" t="s">
        <v>72</v>
      </c>
      <c r="K4" s="3" t="s">
        <v>149</v>
      </c>
      <c r="L4" s="3" t="s">
        <v>150</v>
      </c>
      <c r="M4" s="3" t="s">
        <v>151</v>
      </c>
      <c r="N4" s="3" t="s">
        <v>63</v>
      </c>
      <c r="O4" s="3" t="s">
        <v>152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153</v>
      </c>
      <c r="G5" s="7" t="s">
        <v>154</v>
      </c>
      <c r="H5" s="12">
        <v>0.36458333333333331</v>
      </c>
      <c r="I5" s="13">
        <v>46240</v>
      </c>
      <c r="J5" s="14" t="s">
        <v>155</v>
      </c>
      <c r="K5" s="7" t="s">
        <v>156</v>
      </c>
      <c r="L5" s="14" t="s">
        <v>157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258025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M.C.</v>
      </c>
      <c r="C6" s="7" t="str">
        <f>IF('Client Needs Tracker'!S6="","",'Client Needs Tracker'!S6)</f>
        <v>M - 1B</v>
      </c>
      <c r="D6" s="7" t="str">
        <f>IF('Client Needs Tracker'!G6="","",'Client Needs Tracker'!G6)</f>
        <v>CaseMgr</v>
      </c>
      <c r="E6" s="7" t="str">
        <f>IF('Client Needs Tracker'!F6="","",'Client Needs Tracker'!F6)</f>
        <v>J. Wilkers</v>
      </c>
      <c r="F6" s="11" t="s">
        <v>158</v>
      </c>
      <c r="G6" s="7" t="s">
        <v>159</v>
      </c>
      <c r="H6" s="12">
        <v>0.38541666666666669</v>
      </c>
      <c r="I6" s="19">
        <v>46244</v>
      </c>
      <c r="J6" s="14"/>
      <c r="K6" s="7" t="s">
        <v>160</v>
      </c>
      <c r="L6" s="14" t="s">
        <v>161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LOC3</v>
      </c>
      <c r="O6" s="19">
        <f>IF('Client Needs Tracker'!C6="","",'Client Needs Tracker'!C6)</f>
        <v>46235</v>
      </c>
    </row>
    <row r="7" spans="1:15" ht="15" customHeight="1">
      <c r="A7" s="7">
        <f>'Client Needs Tracker'!A7</f>
        <v>10102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>J.J.</v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>LOC3</v>
      </c>
      <c r="O7" s="19">
        <f>IF('Client Needs Tracker'!C7="","",'Client Needs Tracker'!C7)</f>
        <v>46231</v>
      </c>
    </row>
    <row r="8" spans="1:15" ht="15" customHeight="1">
      <c r="A8" s="7">
        <f>'Client Needs Tracker'!A8</f>
        <v>10000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>C.B.</v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158</v>
      </c>
      <c r="G8" s="19"/>
      <c r="H8" s="12"/>
      <c r="I8" s="7"/>
      <c r="J8" s="14"/>
      <c r="K8" s="7" t="s">
        <v>156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>
        <f>IF('Client Needs Tracker'!C8="","",'Client Needs Tracker'!C8)</f>
        <v>46235</v>
      </c>
    </row>
    <row r="9" spans="1:15" ht="15" customHeight="1">
      <c r="A9" s="7">
        <f>'Client Needs Tracker'!A9</f>
        <v>10202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>H.L.</v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158</v>
      </c>
      <c r="G9" s="19"/>
      <c r="H9" s="12"/>
      <c r="I9" s="7"/>
      <c r="J9" s="14"/>
      <c r="K9" s="7" t="s">
        <v>156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>
        <f>IF('Client Needs Tracker'!C9="","",'Client Needs Tracker'!C9)</f>
        <v>46236</v>
      </c>
    </row>
    <row r="10" spans="1:15" ht="15" customHeight="1">
      <c r="A10" s="7">
        <f>'Client Needs Tracker'!A10</f>
        <v>102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>K.H.</v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158</v>
      </c>
      <c r="G10" s="19"/>
      <c r="H10" s="12"/>
      <c r="I10" s="7"/>
      <c r="J10" s="14"/>
      <c r="K10" s="7" t="s">
        <v>156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2222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>J.B.</v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158</v>
      </c>
      <c r="G11" s="19"/>
      <c r="H11" s="12"/>
      <c r="I11" s="7"/>
      <c r="J11" s="14"/>
      <c r="K11" s="7" t="s">
        <v>156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158</v>
      </c>
      <c r="G12" s="19"/>
      <c r="H12" s="12"/>
      <c r="I12" s="7"/>
      <c r="J12" s="14"/>
      <c r="K12" s="7" t="s">
        <v>156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>L.L.</v>
      </c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158</v>
      </c>
      <c r="G14" s="19"/>
      <c r="H14" s="12"/>
      <c r="I14" s="7"/>
      <c r="J14" s="14"/>
      <c r="K14" s="7" t="s">
        <v>156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>B.B.</v>
      </c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158</v>
      </c>
      <c r="G15" s="19"/>
      <c r="H15" s="12"/>
      <c r="I15" s="7"/>
      <c r="J15" s="14"/>
      <c r="K15" s="7" t="s">
        <v>156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>L.K.</v>
      </c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158</v>
      </c>
      <c r="G16" s="19"/>
      <c r="H16" s="12"/>
      <c r="I16" s="7"/>
      <c r="J16" s="14"/>
      <c r="K16" s="7" t="s">
        <v>156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>J.S.</v>
      </c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158</v>
      </c>
      <c r="G17" s="19"/>
      <c r="H17" s="12"/>
      <c r="I17" s="7"/>
      <c r="J17" s="14"/>
      <c r="K17" s="7" t="s">
        <v>156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3855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>M.L.</v>
      </c>
      <c r="C18" s="7" t="str">
        <f>IF('Client Needs Tracker'!S18="","",'Client Needs Tracker'!S18)</f>
        <v>F - 3B</v>
      </c>
      <c r="D18" s="7" t="str">
        <f>IF('Client Needs Tracker'!G18="","",'Client Needs Tracker'!G18)</f>
        <v>PubDef</v>
      </c>
      <c r="E18" s="7" t="str">
        <f>IF('Client Needs Tracker'!F18="","",'Client Needs Tracker'!F18)</f>
        <v>J. Wilkers</v>
      </c>
      <c r="F18" s="11" t="s">
        <v>158</v>
      </c>
      <c r="G18" s="19">
        <v>46238</v>
      </c>
      <c r="H18" s="12">
        <v>0.37152777777777779</v>
      </c>
      <c r="I18" s="13">
        <v>46236</v>
      </c>
      <c r="J18" s="14" t="s">
        <v>162</v>
      </c>
      <c r="K18" s="7" t="s">
        <v>160</v>
      </c>
      <c r="L18" s="14" t="s">
        <v>163</v>
      </c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/>
      </c>
      <c r="N18" s="7" t="str">
        <f>IF('Client Needs Tracker'!E18="","",'Client Needs Tracker'!E18)</f>
        <v>LOC5</v>
      </c>
      <c r="O18" s="19">
        <f>IF('Client Needs Tracker'!C18="","",'Client Needs Tracker'!C18)</f>
        <v>46205</v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158</v>
      </c>
      <c r="G19" s="19"/>
      <c r="H19" s="12"/>
      <c r="I19" s="7"/>
      <c r="J19" s="14"/>
      <c r="K19" s="7" t="s">
        <v>156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158</v>
      </c>
      <c r="G20" s="19"/>
      <c r="H20" s="12"/>
      <c r="I20" s="7"/>
      <c r="J20" s="14"/>
      <c r="K20" s="7" t="s">
        <v>156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6B643614-0ACF-444F-A675-6D39FFCE7F6C}">
      <formula1>"Requested/Pending,Scheduled"</formula1>
    </dataValidation>
    <dataValidation type="list" allowBlank="1" showErrorMessage="1" sqref="K5:K20" xr:uid="{9D1378D1-9623-4F13-AFA2-9165F98C1317}">
      <formula1>"Submitted/Pending,Picked Up,Other/See Med Clerk"</formula1>
    </dataValidation>
    <dataValidation type="custom" allowBlank="1" showDropDown="1" sqref="I5" xr:uid="{20458BDA-1900-4986-8B05-1D9BBA41E52E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164</v>
      </c>
    </row>
    <row r="2" spans="1:4"/>
    <row r="3" spans="1:4" ht="15" customHeight="1">
      <c r="A3" s="74" t="s">
        <v>165</v>
      </c>
      <c r="B3" s="74" t="s">
        <v>166</v>
      </c>
      <c r="C3" s="74" t="s">
        <v>167</v>
      </c>
      <c r="D3" s="74" t="s">
        <v>168</v>
      </c>
    </row>
    <row r="4" spans="1:4" ht="15" customHeight="1">
      <c r="A4" s="2" t="s">
        <v>169</v>
      </c>
      <c r="B4" s="2" t="s">
        <v>170</v>
      </c>
      <c r="C4" s="2" t="s">
        <v>171</v>
      </c>
      <c r="D4" s="2" t="s">
        <v>169</v>
      </c>
    </row>
    <row r="5" spans="1:4" ht="15" customHeight="1">
      <c r="A5" s="2" t="s">
        <v>172</v>
      </c>
      <c r="B5" s="2" t="s">
        <v>173</v>
      </c>
      <c r="C5" s="2" t="s">
        <v>174</v>
      </c>
      <c r="D5" s="2" t="s">
        <v>172</v>
      </c>
    </row>
    <row r="6" spans="1:4" ht="15" customHeight="1">
      <c r="A6" s="2" t="s">
        <v>175</v>
      </c>
      <c r="B6" s="2" t="s">
        <v>176</v>
      </c>
      <c r="C6" s="2" t="s">
        <v>177</v>
      </c>
      <c r="D6" s="2" t="s">
        <v>175</v>
      </c>
    </row>
    <row r="7" spans="1:4" ht="15" customHeight="1">
      <c r="A7" s="2" t="s">
        <v>178</v>
      </c>
      <c r="B7" s="2" t="s">
        <v>179</v>
      </c>
      <c r="C7" s="2" t="s">
        <v>180</v>
      </c>
      <c r="D7" s="2" t="s">
        <v>178</v>
      </c>
    </row>
    <row r="8" spans="1:4" ht="15" customHeight="1">
      <c r="A8" s="2" t="s">
        <v>181</v>
      </c>
      <c r="B8" s="2" t="s">
        <v>182</v>
      </c>
      <c r="C8" s="2" t="s">
        <v>183</v>
      </c>
      <c r="D8" s="2" t="s">
        <v>181</v>
      </c>
    </row>
    <row r="9" spans="1:4" ht="15" customHeight="1">
      <c r="A9" s="2" t="s">
        <v>184</v>
      </c>
      <c r="B9" s="2" t="s">
        <v>185</v>
      </c>
      <c r="C9" s="2" t="s">
        <v>186</v>
      </c>
      <c r="D9" s="2" t="s">
        <v>184</v>
      </c>
    </row>
    <row r="10" spans="1:4" ht="15" customHeight="1">
      <c r="A10" s="2" t="s">
        <v>187</v>
      </c>
      <c r="B10" s="2" t="s">
        <v>188</v>
      </c>
      <c r="D10" s="2" t="s">
        <v>187</v>
      </c>
    </row>
    <row r="11" spans="1:4" ht="15" customHeight="1">
      <c r="A11" s="2" t="s">
        <v>189</v>
      </c>
      <c r="B11" s="2" t="s">
        <v>190</v>
      </c>
      <c r="D11" s="2" t="s">
        <v>189</v>
      </c>
    </row>
    <row r="12" spans="1:4" ht="15" customHeight="1">
      <c r="A12" s="2" t="s">
        <v>191</v>
      </c>
      <c r="D12" s="2" t="s">
        <v>191</v>
      </c>
    </row>
    <row r="13" spans="1:4" ht="15" customHeight="1">
      <c r="D13" s="2" t="s">
        <v>170</v>
      </c>
    </row>
    <row r="14" spans="1:4" ht="15" customHeight="1">
      <c r="D14" s="2" t="s">
        <v>173</v>
      </c>
    </row>
    <row r="15" spans="1:4" ht="15" customHeight="1">
      <c r="D15" s="2" t="s">
        <v>176</v>
      </c>
    </row>
    <row r="16" spans="1:4" ht="15" customHeight="1">
      <c r="D16" s="2" t="s">
        <v>179</v>
      </c>
    </row>
    <row r="17" spans="4:4" ht="15" customHeight="1">
      <c r="D17" s="2" t="s">
        <v>182</v>
      </c>
    </row>
    <row r="18" spans="4:4" ht="15" customHeight="1">
      <c r="D18" s="2" t="s">
        <v>185</v>
      </c>
    </row>
    <row r="19" spans="4:4" ht="15" customHeight="1">
      <c r="D19" s="2" t="s">
        <v>188</v>
      </c>
    </row>
    <row r="20" spans="4:4" ht="15" customHeight="1">
      <c r="D20" s="2" t="s">
        <v>190</v>
      </c>
    </row>
    <row r="21" spans="4:4" ht="15" customHeight="1">
      <c r="D21" s="2" t="s">
        <v>171</v>
      </c>
    </row>
    <row r="22" spans="4:4" ht="15" customHeight="1">
      <c r="D22" s="2" t="s">
        <v>174</v>
      </c>
    </row>
    <row r="23" spans="4:4" ht="15" customHeight="1">
      <c r="D23" s="2" t="s">
        <v>177</v>
      </c>
    </row>
    <row r="24" spans="4:4" ht="15" customHeight="1">
      <c r="D24" s="2" t="s">
        <v>180</v>
      </c>
    </row>
    <row r="25" spans="4:4" ht="15" customHeight="1">
      <c r="D25" s="2" t="s">
        <v>183</v>
      </c>
    </row>
    <row r="26" spans="4:4" ht="15" customHeight="1">
      <c r="D26" s="2" t="s">
        <v>186</v>
      </c>
    </row>
    <row r="39" spans="6:11" ht="15" customHeight="1">
      <c r="F39" s="37" t="s">
        <v>192</v>
      </c>
    </row>
    <row r="40" spans="6:11" ht="15" customHeight="1">
      <c r="F40" s="2" t="s">
        <v>169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172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175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178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181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184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187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189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191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170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173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176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179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182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185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188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190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171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174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177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180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183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186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Tracker'!F5="","",'Client Needs Tracker'!F5)</f>
        <v>TBD</v>
      </c>
      <c r="B10" s="134"/>
      <c r="C10" s="134"/>
      <c r="D10" s="134"/>
      <c r="E10" s="134"/>
      <c r="F10" s="97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200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>
        <v>587441</v>
      </c>
      <c r="B16" s="14" t="s">
        <v>169</v>
      </c>
      <c r="C16" s="7"/>
      <c r="D16" s="7" t="s">
        <v>213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214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99" t="str">
        <f>IF('Inventory - P01'!A6="","(Enter name in Inventory - P01)",'Inventory - P01'!A6)</f>
        <v>Joe Jackson</v>
      </c>
      <c r="B3" s="145"/>
      <c r="C3" s="145"/>
      <c r="D3" s="145"/>
      <c r="E3" s="145"/>
      <c r="F3" s="100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/>
      <c r="B5" s="106"/>
      <c r="C5" s="2"/>
      <c r="D5" s="101"/>
      <c r="E5" s="106"/>
      <c r="F5" s="2"/>
      <c r="G5" s="101" t="str">
        <f>"Doctor: "&amp;IF('Inventory - P01'!F10="","-",'Inventory - P01'!F10)</f>
        <v>Doctor: Unknown</v>
      </c>
      <c r="H5" s="106"/>
      <c r="I5" s="2"/>
      <c r="J5" s="101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221</v>
      </c>
      <c r="E6" s="147" t="str">
        <f>IF('Inventory - P01'!A14="","",'Inventory - P01'!A14)</f>
        <v/>
      </c>
      <c r="F6" s="134"/>
      <c r="G6" s="101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P01'!A14="","",'Inventory - P01'!A14+0)</f>
        <v/>
      </c>
      <c r="J8" s="134"/>
      <c r="K8" s="104" t="str">
        <f>IF('Inventory - P01'!A14="","",'Inventory - P01'!A14+1)</f>
        <v/>
      </c>
      <c r="L8" s="134"/>
      <c r="M8" s="104" t="str">
        <f>IF('Inventory - P01'!A14="","",'Inventory - P01'!A14+2)</f>
        <v/>
      </c>
      <c r="N8" s="134"/>
      <c r="O8" s="104" t="str">
        <f>IF('Inventory - P01'!A14="","",'Inventory - P01'!A14+3)</f>
        <v/>
      </c>
      <c r="P8" s="134"/>
      <c r="Q8" s="104" t="str">
        <f>IF('Inventory - P01'!A14="","",'Inventory - P01'!A14+4)</f>
        <v/>
      </c>
      <c r="R8" s="134"/>
      <c r="S8" s="104" t="str">
        <f>IF('Inventory - P01'!A14="","",'Inventory - P01'!A14+5)</f>
        <v/>
      </c>
      <c r="T8" s="134"/>
      <c r="U8" s="104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Mikayla Cross</v>
      </c>
      <c r="B6" s="134"/>
      <c r="C6" s="134"/>
      <c r="D6" s="134"/>
      <c r="E6" s="134"/>
      <c r="F6" s="93">
        <f>'Client Needs Tracker'!A6</f>
        <v>258025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46235</v>
      </c>
      <c r="B8" s="134"/>
      <c r="C8" s="134"/>
      <c r="D8" s="134"/>
      <c r="E8" s="134"/>
      <c r="F8" s="95" t="str">
        <f>'Client Needs Tracker'!E6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Tracker'!F6="","",'Client Needs Tracker'!F6)</f>
        <v>J. Wilkers</v>
      </c>
      <c r="B10" s="134"/>
      <c r="C10" s="134"/>
      <c r="D10" s="134"/>
      <c r="E10" s="134"/>
      <c r="F10" s="97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>
        <v>58669</v>
      </c>
      <c r="B16" s="14" t="s">
        <v>170</v>
      </c>
      <c r="C16" s="7">
        <v>300</v>
      </c>
      <c r="D16" s="7" t="s">
        <v>213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230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33" ht="15" customHeight="1">
      <c r="A3" s="99" t="str">
        <f>IF('Inventory - P02'!A6="","(Enter name in Inventory - P02)",'Inventory - P02'!A6)</f>
        <v>Mikayla Cross</v>
      </c>
      <c r="B3" s="145"/>
      <c r="C3" s="145"/>
      <c r="D3" s="145"/>
      <c r="E3" s="145"/>
      <c r="F3" s="100" t="str">
        <f>IF('Inventory - P02'!F6="","(Enter ID in Inventory - P02)","Member ID: "&amp;'Inventory - P02'!F6)</f>
        <v>Member ID: 258025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P02'!F8="","-",'Inventory - P02'!F8)</f>
        <v>LOC: LOC3</v>
      </c>
      <c r="B5" s="106"/>
      <c r="C5" s="2"/>
      <c r="D5" s="101" t="str">
        <f>"Case Manager: "&amp;IF('Inventory - P02'!A10="","-",'Inventory - P02'!A10)</f>
        <v>Case Manager: J. Wilkers</v>
      </c>
      <c r="E5" s="106"/>
      <c r="F5" s="2"/>
      <c r="G5" s="101" t="str">
        <f>"Doctor: "&amp;IF('Inventory - P02'!F10="","-",'Inventory - P02'!F10)</f>
        <v>Doctor: Destiny</v>
      </c>
      <c r="H5" s="106"/>
      <c r="I5" s="2"/>
      <c r="J5" s="101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>
        <f>IF('Inventory - P02'!A14="","",'Inventory - P02'!A14+0)</f>
        <v>46237</v>
      </c>
      <c r="J8" s="134"/>
      <c r="K8" s="104">
        <f>IF('Inventory - P02'!A14="","",'Inventory - P02'!A14+1)</f>
        <v>46238</v>
      </c>
      <c r="L8" s="134"/>
      <c r="M8" s="104">
        <f>IF('Inventory - P02'!A14="","",'Inventory - P02'!A14+2)</f>
        <v>46239</v>
      </c>
      <c r="N8" s="134"/>
      <c r="O8" s="104">
        <f>IF('Inventory - P02'!A14="","",'Inventory - P02'!A14+3)</f>
        <v>46240</v>
      </c>
      <c r="P8" s="134"/>
      <c r="Q8" s="104">
        <f>IF('Inventory - P02'!A14="","",'Inventory - P02'!A14+4)</f>
        <v>46241</v>
      </c>
      <c r="R8" s="134"/>
      <c r="S8" s="104">
        <f>IF('Inventory - P02'!A14="","",'Inventory - P02'!A14+5)</f>
        <v>46242</v>
      </c>
      <c r="T8" s="134"/>
      <c r="U8" s="104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Jimmy Jones</v>
      </c>
      <c r="B6" s="134"/>
      <c r="C6" s="134"/>
      <c r="D6" s="134"/>
      <c r="E6" s="134"/>
      <c r="F6" s="93">
        <f>'Client Needs Tracker'!A7</f>
        <v>10102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Tracker'!C7="","",'Client Needs Tracker'!C7)</f>
        <v>46231</v>
      </c>
      <c r="B8" s="134"/>
      <c r="C8" s="134"/>
      <c r="D8" s="134"/>
      <c r="E8" s="134"/>
      <c r="F8" s="95" t="str">
        <f>'Client Needs Tracker'!E7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Tracker'!F7="","",'Client Needs Tracker'!F7)</f>
        <v/>
      </c>
      <c r="B10" s="134"/>
      <c r="C10" s="134"/>
      <c r="D10" s="134"/>
      <c r="E10" s="134"/>
      <c r="F10" s="97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33" ht="15" customHeight="1">
      <c r="A3" s="99" t="str">
        <f>IF('Inventory - P03'!A6="","(Enter name in Inventory - P03)",'Inventory - P03'!A6)</f>
        <v>Jimmy Jones</v>
      </c>
      <c r="B3" s="145"/>
      <c r="C3" s="145"/>
      <c r="D3" s="145"/>
      <c r="E3" s="145"/>
      <c r="F3" s="100" t="str">
        <f>IF('Inventory - P03'!F6="","(Enter ID in Inventory - P03)","Member ID: "&amp;'Inventory - P03'!F6)</f>
        <v>Member ID: 10102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P03'!F8="","-",'Inventory - P03'!F8)</f>
        <v>LOC: LOC3</v>
      </c>
      <c r="B5" s="106"/>
      <c r="C5" s="2"/>
      <c r="D5" s="101" t="str">
        <f>"Case Manager: "&amp;IF('Inventory - P03'!A10="","-",'Inventory - P03'!A10)</f>
        <v>Case Manager: -</v>
      </c>
      <c r="E5" s="106"/>
      <c r="F5" s="2"/>
      <c r="G5" s="101" t="str">
        <f>"Doctor: "&amp;IF('Inventory - P03'!F10="","-",'Inventory - P03'!F10)</f>
        <v>Doctor: -</v>
      </c>
      <c r="H5" s="106"/>
      <c r="I5" s="2"/>
      <c r="J5" s="101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P03'!A14="","",'Inventory - P03'!A14+0)</f>
        <v/>
      </c>
      <c r="J8" s="134"/>
      <c r="K8" s="104" t="str">
        <f>IF('Inventory - P03'!A14="","",'Inventory - P03'!A14+1)</f>
        <v/>
      </c>
      <c r="L8" s="134"/>
      <c r="M8" s="104" t="str">
        <f>IF('Inventory - P03'!A14="","",'Inventory - P03'!A14+2)</f>
        <v/>
      </c>
      <c r="N8" s="134"/>
      <c r="O8" s="104" t="str">
        <f>IF('Inventory - P03'!A14="","",'Inventory - P03'!A14+3)</f>
        <v/>
      </c>
      <c r="P8" s="134"/>
      <c r="Q8" s="104" t="str">
        <f>IF('Inventory - P03'!A14="","",'Inventory - P03'!A14+4)</f>
        <v/>
      </c>
      <c r="R8" s="134"/>
      <c r="S8" s="104" t="str">
        <f>IF('Inventory - P03'!A14="","",'Inventory - P03'!A14+5)</f>
        <v/>
      </c>
      <c r="T8" s="134"/>
      <c r="U8" s="104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Chew Baca</v>
      </c>
      <c r="B6" s="134"/>
      <c r="C6" s="134"/>
      <c r="D6" s="134"/>
      <c r="E6" s="134"/>
      <c r="F6" s="93">
        <f>'Client Needs Tracker'!A8</f>
        <v>10000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Tracker'!C8="","",'Client Needs Tracker'!C8)</f>
        <v>46235</v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Tracker'!F8="","",'Client Needs Tracker'!F8)</f>
        <v/>
      </c>
      <c r="B10" s="134"/>
      <c r="C10" s="134"/>
      <c r="D10" s="134"/>
      <c r="E10" s="134"/>
      <c r="F10" s="97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33" ht="15" customHeight="1">
      <c r="A3" s="99" t="str">
        <f>IF('Inventory - P04'!A6="","(Enter name in Inventory - P04)",'Inventory - P04'!A6)</f>
        <v>Chew Baca</v>
      </c>
      <c r="B3" s="145"/>
      <c r="C3" s="145"/>
      <c r="D3" s="145"/>
      <c r="E3" s="145"/>
      <c r="F3" s="100" t="str">
        <f>IF('Inventory - P04'!F6="","(Enter ID in Inventory - P04)","Member ID: "&amp;'Inventory - P04'!F6)</f>
        <v>Member ID: 10000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P04'!F8="","-",'Inventory - P04'!F8)</f>
        <v>LOC: 0</v>
      </c>
      <c r="B5" s="106"/>
      <c r="C5" s="2"/>
      <c r="D5" s="101" t="str">
        <f>"Case Manager: "&amp;IF('Inventory - P04'!A10="","-",'Inventory - P04'!A10)</f>
        <v>Case Manager: -</v>
      </c>
      <c r="E5" s="106"/>
      <c r="F5" s="2"/>
      <c r="G5" s="101" t="str">
        <f>"Doctor: "&amp;IF('Inventory - P04'!F10="","-",'Inventory - P04'!F10)</f>
        <v>Doctor: -</v>
      </c>
      <c r="H5" s="106"/>
      <c r="I5" s="2"/>
      <c r="J5" s="101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P04'!A14="","",'Inventory - P04'!A14+0)</f>
        <v/>
      </c>
      <c r="J8" s="134"/>
      <c r="K8" s="104" t="str">
        <f>IF('Inventory - P04'!A14="","",'Inventory - P04'!A14+1)</f>
        <v/>
      </c>
      <c r="L8" s="134"/>
      <c r="M8" s="104" t="str">
        <f>IF('Inventory - P04'!A14="","",'Inventory - P04'!A14+2)</f>
        <v/>
      </c>
      <c r="N8" s="134"/>
      <c r="O8" s="104" t="str">
        <f>IF('Inventory - P04'!A14="","",'Inventory - P04'!A14+3)</f>
        <v/>
      </c>
      <c r="P8" s="134"/>
      <c r="Q8" s="104" t="str">
        <f>IF('Inventory - P04'!A14="","",'Inventory - P04'!A14+4)</f>
        <v/>
      </c>
      <c r="R8" s="134"/>
      <c r="S8" s="104" t="str">
        <f>IF('Inventory - P04'!A14="","",'Inventory - P04'!A14+5)</f>
        <v/>
      </c>
      <c r="T8" s="134"/>
      <c r="U8" s="104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Heather Locklear</v>
      </c>
      <c r="B6" s="134"/>
      <c r="C6" s="134"/>
      <c r="D6" s="134"/>
      <c r="E6" s="134"/>
      <c r="F6" s="93">
        <f>'Client Needs Tracker'!A9</f>
        <v>10202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Tracker'!C9="","",'Client Needs Tracker'!C9)</f>
        <v>46236</v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Tracker'!F9="","",'Client Needs Tracker'!F9)</f>
        <v/>
      </c>
      <c r="B10" s="134"/>
      <c r="C10" s="134"/>
      <c r="D10" s="134"/>
      <c r="E10" s="134"/>
      <c r="F10" s="97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33" ht="15" customHeight="1">
      <c r="A3" s="99" t="str">
        <f>IF('Inventory - P05'!A6="","(Enter name in Inventory - P05)",'Inventory - P05'!A6)</f>
        <v>Heather Locklear</v>
      </c>
      <c r="B3" s="145"/>
      <c r="C3" s="145"/>
      <c r="D3" s="145"/>
      <c r="E3" s="145"/>
      <c r="F3" s="100" t="str">
        <f>IF('Inventory - P05'!F6="","(Enter ID in Inventory - P05)","Member ID: "&amp;'Inventory - P05'!F6)</f>
        <v>Member ID: 10202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P05'!F8="","-",'Inventory - P05'!F8)</f>
        <v>LOC: 0</v>
      </c>
      <c r="B5" s="106"/>
      <c r="C5" s="2"/>
      <c r="D5" s="101" t="str">
        <f>"Case Manager: "&amp;IF('Inventory - P05'!A10="","-",'Inventory - P05'!A10)</f>
        <v>Case Manager: -</v>
      </c>
      <c r="E5" s="106"/>
      <c r="F5" s="2"/>
      <c r="G5" s="101" t="str">
        <f>"Doctor: "&amp;IF('Inventory - P05'!F10="","-",'Inventory - P05'!F10)</f>
        <v>Doctor: -</v>
      </c>
      <c r="H5" s="106"/>
      <c r="I5" s="2"/>
      <c r="J5" s="101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P05'!A14="","",'Inventory - P05'!A14+0)</f>
        <v/>
      </c>
      <c r="J8" s="134"/>
      <c r="K8" s="104" t="str">
        <f>IF('Inventory - P05'!A14="","",'Inventory - P05'!A14+1)</f>
        <v/>
      </c>
      <c r="L8" s="134"/>
      <c r="M8" s="104" t="str">
        <f>IF('Inventory - P05'!A14="","",'Inventory - P05'!A14+2)</f>
        <v/>
      </c>
      <c r="N8" s="134"/>
      <c r="O8" s="104" t="str">
        <f>IF('Inventory - P05'!A14="","",'Inventory - P05'!A14+3)</f>
        <v/>
      </c>
      <c r="P8" s="134"/>
      <c r="Q8" s="104" t="str">
        <f>IF('Inventory - P05'!A14="","",'Inventory - P05'!A14+4)</f>
        <v/>
      </c>
      <c r="R8" s="134"/>
      <c r="S8" s="104" t="str">
        <f>IF('Inventory - P05'!A14="","",'Inventory - P05'!A14+5)</f>
        <v/>
      </c>
      <c r="T8" s="134"/>
      <c r="U8" s="104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kijjuytt huyyuh</v>
      </c>
      <c r="B6" s="134"/>
      <c r="C6" s="134"/>
      <c r="D6" s="134"/>
      <c r="E6" s="134"/>
      <c r="F6" s="93">
        <f>'Client Needs Tracker'!A10</f>
        <v>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Tracker'!F10="","",'Client Needs Tracker'!F10)</f>
        <v/>
      </c>
      <c r="B10" s="134"/>
      <c r="C10" s="134"/>
      <c r="D10" s="134"/>
      <c r="E10" s="134"/>
      <c r="F10" s="97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33" ht="15" customHeight="1">
      <c r="A3" s="99" t="str">
        <f>IF('Inventory - P06'!A6="","(Enter name in Inventory - P06)",'Inventory - P06'!A6)</f>
        <v>kijjuytt huyyuh</v>
      </c>
      <c r="B3" s="145"/>
      <c r="C3" s="145"/>
      <c r="D3" s="145"/>
      <c r="E3" s="145"/>
      <c r="F3" s="100" t="str">
        <f>IF('Inventory - P06'!F6="","(Enter ID in Inventory - P06)","Member ID: "&amp;'Inventory - P06'!F6)</f>
        <v>Member ID: 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P06'!F8="","-",'Inventory - P06'!F8)</f>
        <v>LOC: 0</v>
      </c>
      <c r="B5" s="106"/>
      <c r="C5" s="2"/>
      <c r="D5" s="101" t="str">
        <f>"Case Manager: "&amp;IF('Inventory - P06'!A10="","-",'Inventory - P06'!A10)</f>
        <v>Case Manager: -</v>
      </c>
      <c r="E5" s="106"/>
      <c r="F5" s="2"/>
      <c r="G5" s="101" t="str">
        <f>"Doctor: "&amp;IF('Inventory - P06'!F10="","-",'Inventory - P06'!F10)</f>
        <v>Doctor: -</v>
      </c>
      <c r="H5" s="106"/>
      <c r="I5" s="2"/>
      <c r="J5" s="101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P06'!A14="","",'Inventory - P06'!A14+0)</f>
        <v/>
      </c>
      <c r="J8" s="134"/>
      <c r="K8" s="104" t="str">
        <f>IF('Inventory - P06'!A14="","",'Inventory - P06'!A14+1)</f>
        <v/>
      </c>
      <c r="L8" s="134"/>
      <c r="M8" s="104" t="str">
        <f>IF('Inventory - P06'!A14="","",'Inventory - P06'!A14+2)</f>
        <v/>
      </c>
      <c r="N8" s="134"/>
      <c r="O8" s="104" t="str">
        <f>IF('Inventory - P06'!A14="","",'Inventory - P06'!A14+3)</f>
        <v/>
      </c>
      <c r="P8" s="134"/>
      <c r="Q8" s="104" t="str">
        <f>IF('Inventory - P06'!A14="","",'Inventory - P06'!A14+4)</f>
        <v/>
      </c>
      <c r="R8" s="134"/>
      <c r="S8" s="104" t="str">
        <f>IF('Inventory - P06'!A14="","",'Inventory - P06'!A14+5)</f>
        <v/>
      </c>
      <c r="T8" s="134"/>
      <c r="U8" s="104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>JB-M-4A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justin beiber</v>
      </c>
      <c r="B6" s="134"/>
      <c r="C6" s="134"/>
      <c r="D6" s="134"/>
      <c r="E6" s="134"/>
      <c r="F6" s="93">
        <f>'Client Needs Tracker'!A11</f>
        <v>2222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Tracker'!F11="","",'Client Needs Tracker'!F11)</f>
        <v/>
      </c>
      <c r="B10" s="134"/>
      <c r="C10" s="134"/>
      <c r="D10" s="134"/>
      <c r="E10" s="134"/>
      <c r="F10" s="97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>JB-M-4A</v>
      </c>
    </row>
    <row r="3" spans="1:33" ht="15" customHeight="1">
      <c r="A3" s="99" t="str">
        <f>IF('Inventory - P07'!A6="","(Enter name in Inventory - P07)",'Inventory - P07'!A6)</f>
        <v>justin beiber</v>
      </c>
      <c r="B3" s="145"/>
      <c r="C3" s="145"/>
      <c r="D3" s="145"/>
      <c r="E3" s="145"/>
      <c r="F3" s="100" t="str">
        <f>IF('Inventory - P07'!F6="","(Enter ID in Inventory - P07)","Member ID: "&amp;'Inventory - P07'!F6)</f>
        <v>Member ID: 2222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P07'!F8="","-",'Inventory - P07'!F8)</f>
        <v>LOC: 0</v>
      </c>
      <c r="B5" s="106"/>
      <c r="C5" s="2"/>
      <c r="D5" s="101" t="str">
        <f>"Case Manager: "&amp;IF('Inventory - P07'!A10="","-",'Inventory - P07'!A10)</f>
        <v>Case Manager: -</v>
      </c>
      <c r="E5" s="106"/>
      <c r="F5" s="2"/>
      <c r="G5" s="101" t="str">
        <f>"Doctor: "&amp;IF('Inventory - P07'!F10="","-",'Inventory - P07'!F10)</f>
        <v>Doctor: -</v>
      </c>
      <c r="H5" s="106"/>
      <c r="I5" s="2"/>
      <c r="J5" s="101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P07'!A14="","",'Inventory - P07'!A14+0)</f>
        <v/>
      </c>
      <c r="J8" s="134"/>
      <c r="K8" s="104" t="str">
        <f>IF('Inventory - P07'!A14="","",'Inventory - P07'!A14+1)</f>
        <v/>
      </c>
      <c r="L8" s="134"/>
      <c r="M8" s="104" t="str">
        <f>IF('Inventory - P07'!A14="","",'Inventory - P07'!A14+2)</f>
        <v/>
      </c>
      <c r="N8" s="134"/>
      <c r="O8" s="104" t="str">
        <f>IF('Inventory - P07'!A14="","",'Inventory - P07'!A14+3)</f>
        <v/>
      </c>
      <c r="P8" s="134"/>
      <c r="Q8" s="104" t="str">
        <f>IF('Inventory - P07'!A14="","",'Inventory - P07'!A14+4)</f>
        <v/>
      </c>
      <c r="R8" s="134"/>
      <c r="S8" s="104" t="str">
        <f>IF('Inventory - P07'!A14="","",'Inventory - P07'!A14+5)</f>
        <v/>
      </c>
      <c r="T8" s="134"/>
      <c r="U8" s="104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Tracker'!F12="","",'Client Needs Tracker'!F12)</f>
        <v/>
      </c>
      <c r="B10" s="134"/>
      <c r="C10" s="134"/>
      <c r="D10" s="134"/>
      <c r="E10" s="134"/>
      <c r="F10" s="97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99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0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P08'!F8="","-",'Inventory - P08'!F8)</f>
        <v>LOC: 0</v>
      </c>
      <c r="B5" s="106"/>
      <c r="C5" s="2"/>
      <c r="D5" s="101" t="str">
        <f>"Case Manager: "&amp;IF('Inventory - P08'!A10="","-",'Inventory - P08'!A10)</f>
        <v>Case Manager: -</v>
      </c>
      <c r="E5" s="106"/>
      <c r="F5" s="2"/>
      <c r="G5" s="101" t="str">
        <f>"Doctor: "&amp;IF('Inventory - P08'!F10="","-",'Inventory - P08'!F10)</f>
        <v>Doctor: -</v>
      </c>
      <c r="H5" s="106"/>
      <c r="I5" s="2"/>
      <c r="J5" s="101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P08'!A14="","",'Inventory - P08'!A14+0)</f>
        <v/>
      </c>
      <c r="J8" s="134"/>
      <c r="K8" s="104" t="str">
        <f>IF('Inventory - P08'!A14="","",'Inventory - P08'!A14+1)</f>
        <v/>
      </c>
      <c r="L8" s="134"/>
      <c r="M8" s="104" t="str">
        <f>IF('Inventory - P08'!A14="","",'Inventory - P08'!A14+2)</f>
        <v/>
      </c>
      <c r="N8" s="134"/>
      <c r="O8" s="104" t="str">
        <f>IF('Inventory - P08'!A14="","",'Inventory - P08'!A14+3)</f>
        <v/>
      </c>
      <c r="P8" s="134"/>
      <c r="Q8" s="104" t="str">
        <f>IF('Inventory - P08'!A14="","",'Inventory - P08'!A14+4)</f>
        <v/>
      </c>
      <c r="R8" s="134"/>
      <c r="S8" s="104" t="str">
        <f>IF('Inventory - P08'!A14="","",'Inventory - P08'!A14+5)</f>
        <v/>
      </c>
      <c r="T8" s="134"/>
      <c r="U8" s="104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Tracker'!F13="","",'Client Needs Tracker'!F13)</f>
        <v>TBD</v>
      </c>
      <c r="B10" s="134"/>
      <c r="C10" s="134"/>
      <c r="D10" s="134"/>
      <c r="E10" s="134"/>
      <c r="F10" s="97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99" t="str">
        <f>IF('Inventory - P09'!A6="","(Enter name in Inventory - P09)",'Inventory - P09'!A6)</f>
        <v>Brenda Homes</v>
      </c>
      <c r="B3" s="145"/>
      <c r="C3" s="145"/>
      <c r="D3" s="145"/>
      <c r="E3" s="145"/>
      <c r="F3" s="100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P09'!F8="","-",'Inventory - P09'!F8)</f>
        <v>LOC: LOC3</v>
      </c>
      <c r="B5" s="106"/>
      <c r="C5" s="2"/>
      <c r="D5" s="101" t="str">
        <f>"Case Manager: "&amp;IF('Inventory - P09'!A10="","-",'Inventory - P09'!A10)</f>
        <v>Case Manager: TBD</v>
      </c>
      <c r="E5" s="106"/>
      <c r="F5" s="2"/>
      <c r="G5" s="101" t="str">
        <f>"Doctor: "&amp;IF('Inventory - P09'!F10="","-",'Inventory - P09'!F10)</f>
        <v>Doctor: -</v>
      </c>
      <c r="H5" s="106"/>
      <c r="I5" s="2"/>
      <c r="J5" s="101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P09'!A14="","",'Inventory - P09'!A14+0)</f>
        <v/>
      </c>
      <c r="J8" s="134"/>
      <c r="K8" s="104" t="str">
        <f>IF('Inventory - P09'!A14="","",'Inventory - P09'!A14+1)</f>
        <v/>
      </c>
      <c r="L8" s="134"/>
      <c r="M8" s="104" t="str">
        <f>IF('Inventory - P09'!A14="","",'Inventory - P09'!A14+2)</f>
        <v/>
      </c>
      <c r="N8" s="134"/>
      <c r="O8" s="104" t="str">
        <f>IF('Inventory - P09'!A14="","",'Inventory - P09'!A14+3)</f>
        <v/>
      </c>
      <c r="P8" s="134"/>
      <c r="Q8" s="104" t="str">
        <f>IF('Inventory - P09'!A14="","",'Inventory - P09'!A14+4)</f>
        <v/>
      </c>
      <c r="R8" s="134"/>
      <c r="S8" s="104" t="str">
        <f>IF('Inventory - P09'!A14="","",'Inventory - P09'!A14+5)</f>
        <v/>
      </c>
      <c r="T8" s="134"/>
      <c r="U8" s="104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Tracker'!F14="","",'Client Needs Tracker'!F14)</f>
        <v/>
      </c>
      <c r="B10" s="134"/>
      <c r="C10" s="134"/>
      <c r="D10" s="134"/>
      <c r="E10" s="134"/>
      <c r="F10" s="97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99" t="str">
        <f>IF('Inventory - P10'!A6="","(Enter name in Inventory - P10)",'Inventory - P10'!A6)</f>
        <v>Lisa Lou</v>
      </c>
      <c r="B3" s="145"/>
      <c r="C3" s="145"/>
      <c r="D3" s="145"/>
      <c r="E3" s="145"/>
      <c r="F3" s="100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P10'!F8="","-",'Inventory - P10'!F8)</f>
        <v>LOC: 0</v>
      </c>
      <c r="B5" s="106"/>
      <c r="C5" s="2"/>
      <c r="D5" s="101" t="str">
        <f>"Case Manager: "&amp;IF('Inventory - P10'!A10="","-",'Inventory - P10'!A10)</f>
        <v>Case Manager: -</v>
      </c>
      <c r="E5" s="106"/>
      <c r="F5" s="2"/>
      <c r="G5" s="101" t="str">
        <f>"Doctor: "&amp;IF('Inventory - P10'!F10="","-",'Inventory - P10'!F10)</f>
        <v>Doctor: -</v>
      </c>
      <c r="H5" s="106"/>
      <c r="I5" s="2"/>
      <c r="J5" s="101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P10'!A14="","",'Inventory - P10'!A14+0)</f>
        <v/>
      </c>
      <c r="J8" s="134"/>
      <c r="K8" s="104" t="str">
        <f>IF('Inventory - P10'!A14="","",'Inventory - P10'!A14+1)</f>
        <v/>
      </c>
      <c r="L8" s="134"/>
      <c r="M8" s="104" t="str">
        <f>IF('Inventory - P10'!A14="","",'Inventory - P10'!A14+2)</f>
        <v/>
      </c>
      <c r="N8" s="134"/>
      <c r="O8" s="104" t="str">
        <f>IF('Inventory - P10'!A14="","",'Inventory - P10'!A14+3)</f>
        <v/>
      </c>
      <c r="P8" s="134"/>
      <c r="Q8" s="104" t="str">
        <f>IF('Inventory - P10'!A14="","",'Inventory - P10'!A14+4)</f>
        <v/>
      </c>
      <c r="R8" s="134"/>
      <c r="S8" s="104" t="str">
        <f>IF('Inventory - P10'!A14="","",'Inventory - P10'!A14+5)</f>
        <v/>
      </c>
      <c r="T8" s="134"/>
      <c r="U8" s="104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Tracker'!F15="","",'Client Needs Tracker'!F15)</f>
        <v/>
      </c>
      <c r="B10" s="134"/>
      <c r="C10" s="134"/>
      <c r="D10" s="134"/>
      <c r="E10" s="134"/>
      <c r="F10" s="97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99" t="str">
        <f>IF('Inventory - P11'!A6="","(Enter name in Inventory - P11)",'Inventory - P11'!A6)</f>
        <v>Betty Boop</v>
      </c>
      <c r="B3" s="145"/>
      <c r="C3" s="145"/>
      <c r="D3" s="145"/>
      <c r="E3" s="145"/>
      <c r="F3" s="100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P11'!F8="","-",'Inventory - P11'!F8)</f>
        <v>LOC: 0</v>
      </c>
      <c r="B5" s="106"/>
      <c r="C5" s="2"/>
      <c r="D5" s="101" t="str">
        <f>"Case Manager: "&amp;IF('Inventory - P11'!A10="","-",'Inventory - P11'!A10)</f>
        <v>Case Manager: -</v>
      </c>
      <c r="E5" s="106"/>
      <c r="F5" s="2"/>
      <c r="G5" s="101" t="str">
        <f>"Doctor: "&amp;IF('Inventory - P11'!F10="","-",'Inventory - P11'!F10)</f>
        <v>Doctor: -</v>
      </c>
      <c r="H5" s="106"/>
      <c r="I5" s="2"/>
      <c r="J5" s="101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P11'!A14="","",'Inventory - P11'!A14+0)</f>
        <v/>
      </c>
      <c r="J8" s="134"/>
      <c r="K8" s="104" t="str">
        <f>IF('Inventory - P11'!A14="","",'Inventory - P11'!A14+1)</f>
        <v/>
      </c>
      <c r="L8" s="134"/>
      <c r="M8" s="104" t="str">
        <f>IF('Inventory - P11'!A14="","",'Inventory - P11'!A14+2)</f>
        <v/>
      </c>
      <c r="N8" s="134"/>
      <c r="O8" s="104" t="str">
        <f>IF('Inventory - P11'!A14="","",'Inventory - P11'!A14+3)</f>
        <v/>
      </c>
      <c r="P8" s="134"/>
      <c r="Q8" s="104" t="str">
        <f>IF('Inventory - P11'!A14="","",'Inventory - P11'!A14+4)</f>
        <v/>
      </c>
      <c r="R8" s="134"/>
      <c r="S8" s="104" t="str">
        <f>IF('Inventory - P11'!A14="","",'Inventory - P11'!A14+5)</f>
        <v/>
      </c>
      <c r="T8" s="134"/>
      <c r="U8" s="104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 kkk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Tracker'!C16="","",'Client Needs Tracker'!C16)</f>
        <v>46239</v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Tracker'!F16="","",'Client Needs Tracker'!F16)</f>
        <v/>
      </c>
      <c r="B10" s="134"/>
      <c r="C10" s="134"/>
      <c r="D10" s="134"/>
      <c r="E10" s="134"/>
      <c r="F10" s="97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33" ht="15" customHeight="1">
      <c r="A3" s="99" t="str">
        <f>IF('Inventory - P12'!A6="","(Enter name in Inventory - P12)",'Inventory - P12'!A6)</f>
        <v>lololo kkk</v>
      </c>
      <c r="B3" s="145"/>
      <c r="C3" s="145"/>
      <c r="D3" s="145"/>
      <c r="E3" s="145"/>
      <c r="F3" s="100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P12'!F8="","-",'Inventory - P12'!F8)</f>
        <v>LOC: 0</v>
      </c>
      <c r="B5" s="106"/>
      <c r="C5" s="2"/>
      <c r="D5" s="101" t="str">
        <f>"Case Manager: "&amp;IF('Inventory - P12'!A10="","-",'Inventory - P12'!A10)</f>
        <v>Case Manager: -</v>
      </c>
      <c r="E5" s="106"/>
      <c r="F5" s="2"/>
      <c r="G5" s="101" t="str">
        <f>"Doctor: "&amp;IF('Inventory - P12'!F10="","-",'Inventory - P12'!F10)</f>
        <v>Doctor: -</v>
      </c>
      <c r="H5" s="106"/>
      <c r="I5" s="2"/>
      <c r="J5" s="101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P12'!A14="","",'Inventory - P12'!A14+0)</f>
        <v/>
      </c>
      <c r="J8" s="134"/>
      <c r="K8" s="104" t="str">
        <f>IF('Inventory - P12'!A14="","",'Inventory - P12'!A14+1)</f>
        <v/>
      </c>
      <c r="L8" s="134"/>
      <c r="M8" s="104" t="str">
        <f>IF('Inventory - P12'!A14="","",'Inventory - P12'!A14+2)</f>
        <v/>
      </c>
      <c r="N8" s="134"/>
      <c r="O8" s="104" t="str">
        <f>IF('Inventory - P12'!A14="","",'Inventory - P12'!A14+3)</f>
        <v/>
      </c>
      <c r="P8" s="134"/>
      <c r="Q8" s="104" t="str">
        <f>IF('Inventory - P12'!A14="","",'Inventory - P12'!A14+4)</f>
        <v/>
      </c>
      <c r="R8" s="134"/>
      <c r="S8" s="104" t="str">
        <f>IF('Inventory - P12'!A14="","",'Inventory - P12'!A14+5)</f>
        <v/>
      </c>
      <c r="T8" s="134"/>
      <c r="U8" s="104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Tracker'!C17="","",'Client Needs Tracker'!C17)</f>
        <v>46238</v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Tracker'!F17="","",'Client Needs Tracker'!F17)</f>
        <v/>
      </c>
      <c r="B10" s="134"/>
      <c r="C10" s="134"/>
      <c r="D10" s="134"/>
      <c r="E10" s="134"/>
      <c r="F10" s="97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99" t="str">
        <f>IF('Inventory - P13'!A6="","(Enter name in Inventory - P13)",'Inventory - P13'!A6)</f>
        <v>Jessica Simpson</v>
      </c>
      <c r="B3" s="145"/>
      <c r="C3" s="145"/>
      <c r="D3" s="145"/>
      <c r="E3" s="145"/>
      <c r="F3" s="100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P13'!F8="","-",'Inventory - P13'!F8)</f>
        <v>LOC: 0</v>
      </c>
      <c r="B5" s="106"/>
      <c r="C5" s="2"/>
      <c r="D5" s="101" t="str">
        <f>"Case Manager: "&amp;IF('Inventory - P13'!A10="","-",'Inventory - P13'!A10)</f>
        <v>Case Manager: -</v>
      </c>
      <c r="E5" s="106"/>
      <c r="F5" s="2"/>
      <c r="G5" s="101" t="str">
        <f>"Doctor: "&amp;IF('Inventory - P13'!F10="","-",'Inventory - P13'!F10)</f>
        <v>Doctor: -</v>
      </c>
      <c r="H5" s="106"/>
      <c r="I5" s="2"/>
      <c r="J5" s="101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P13'!A14="","",'Inventory - P13'!A14+0)</f>
        <v/>
      </c>
      <c r="J8" s="134"/>
      <c r="K8" s="104" t="str">
        <f>IF('Inventory - P13'!A14="","",'Inventory - P13'!A14+1)</f>
        <v/>
      </c>
      <c r="L8" s="134"/>
      <c r="M8" s="104" t="str">
        <f>IF('Inventory - P13'!A14="","",'Inventory - P13'!A14+2)</f>
        <v/>
      </c>
      <c r="N8" s="134"/>
      <c r="O8" s="104" t="str">
        <f>IF('Inventory - P13'!A14="","",'Inventory - P13'!A14+3)</f>
        <v/>
      </c>
      <c r="P8" s="134"/>
      <c r="Q8" s="104" t="str">
        <f>IF('Inventory - P13'!A14="","",'Inventory - P13'!A14+4)</f>
        <v/>
      </c>
      <c r="R8" s="134"/>
      <c r="S8" s="104" t="str">
        <f>IF('Inventory - P13'!A14="","",'Inventory - P13'!A14+5)</f>
        <v/>
      </c>
      <c r="T8" s="134"/>
      <c r="U8" s="104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Manuel Lewis</v>
      </c>
      <c r="B6" s="134"/>
      <c r="C6" s="134"/>
      <c r="D6" s="134"/>
      <c r="E6" s="134"/>
      <c r="F6" s="93">
        <f>'Client Needs Tracker'!A18</f>
        <v>3855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Tracker'!C18="","",'Client Needs Tracker'!C18)</f>
        <v>46205</v>
      </c>
      <c r="B8" s="134"/>
      <c r="C8" s="134"/>
      <c r="D8" s="134"/>
      <c r="E8" s="134"/>
      <c r="F8" s="95" t="str">
        <f>'Client Needs Tracker'!E18</f>
        <v>LOC5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Tracker'!F18="","",'Client Needs Tracker'!F18)</f>
        <v>J. Wilkers</v>
      </c>
      <c r="B10" s="134"/>
      <c r="C10" s="134"/>
      <c r="D10" s="134"/>
      <c r="E10" s="134"/>
      <c r="F10" s="97">
        <f>IF('Client Status Board'!G18="","",'Client Status Board'!G18)</f>
        <v>46238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Board'!L18="","",'Client Status Board'!L18)</f>
        <v>CVS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33" ht="15" customHeight="1">
      <c r="A3" s="99" t="str">
        <f>IF('Inventory - P14'!A6="","(Enter name in Inventory - P14)",'Inventory - P14'!A6)</f>
        <v>Manuel Lewis</v>
      </c>
      <c r="B3" s="145"/>
      <c r="C3" s="145"/>
      <c r="D3" s="145"/>
      <c r="E3" s="145"/>
      <c r="F3" s="100" t="str">
        <f>IF('Inventory - P14'!F6="","(Enter ID in Inventory - P14)","Member ID: "&amp;'Inventory - P14'!F6)</f>
        <v>Member ID: 3855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P14'!F8="","-",'Inventory - P14'!F8)</f>
        <v>LOC: LOC5</v>
      </c>
      <c r="B5" s="106"/>
      <c r="C5" s="2"/>
      <c r="D5" s="101" t="str">
        <f>"Case Manager: "&amp;IF('Inventory - P14'!A10="","-",'Inventory - P14'!A10)</f>
        <v>Case Manager: J. Wilkers</v>
      </c>
      <c r="E5" s="106"/>
      <c r="F5" s="2"/>
      <c r="G5" s="101" t="str">
        <f>"Doctor: "&amp;IF('Inventory - P14'!F10="","-",'Inventory - P14'!F10)</f>
        <v>Doctor: 46238</v>
      </c>
      <c r="H5" s="106"/>
      <c r="I5" s="2"/>
      <c r="J5" s="101" t="str">
        <f>"Pharmacy: "&amp;IF('Inventory - P14'!A12="","-",'Inventory - P14'!A12)</f>
        <v>Pharmacy: CVS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P14'!A14="","",'Inventory - P14'!A14+0)</f>
        <v/>
      </c>
      <c r="J8" s="134"/>
      <c r="K8" s="104" t="str">
        <f>IF('Inventory - P14'!A14="","",'Inventory - P14'!A14+1)</f>
        <v/>
      </c>
      <c r="L8" s="134"/>
      <c r="M8" s="104" t="str">
        <f>IF('Inventory - P14'!A14="","",'Inventory - P14'!A14+2)</f>
        <v/>
      </c>
      <c r="N8" s="134"/>
      <c r="O8" s="104" t="str">
        <f>IF('Inventory - P14'!A14="","",'Inventory - P14'!A14+3)</f>
        <v/>
      </c>
      <c r="P8" s="134"/>
      <c r="Q8" s="104" t="str">
        <f>IF('Inventory - P14'!A14="","",'Inventory - P14'!A14+4)</f>
        <v/>
      </c>
      <c r="R8" s="134"/>
      <c r="S8" s="104" t="str">
        <f>IF('Inventory - P14'!A14="","",'Inventory - P14'!A14+5)</f>
        <v/>
      </c>
      <c r="T8" s="134"/>
      <c r="U8" s="104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/>
      </c>
      <c r="D11" s="7" t="str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P14'!$D$16:$D$27,(INT((X11-1)/4)+1)))</f>
        <v/>
      </c>
      <c r="F11" s="7" t="str">
        <f t="array" ref="F11">IF(X11="","",INDEX('Inventory - P14'!$E$16:$E$27,(INT((X11-1)/4)+1)))</f>
        <v/>
      </c>
      <c r="G11" s="7" t="str">
        <f t="array" ref="G11">IF(X11="","",INDEX('Inventory - P14'!$I$16:$I$27,(INT((X11-1)/4)+1)))</f>
        <v/>
      </c>
      <c r="H11" s="7" t="str">
        <f t="array" ref="H11">IF(X11="","",INDEX('Inventory - P14'!$J$16:$J$27,(INT((X11-1)/4)+1)))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/>
      </c>
      <c r="D50" s="7" t="str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P14'!$D$16:$D$27,(INT((X50-1)/4)+1)))</f>
        <v/>
      </c>
      <c r="F50" s="7" t="str">
        <f t="array" ref="F50">IF(X50="","",INDEX('Inventory - P14'!$E$16:$E$27,(INT((X50-1)/4)+1)))</f>
        <v/>
      </c>
      <c r="G50" s="7" t="str">
        <f t="array" ref="G50">IF(X50="","",INDEX('Inventory - P14'!$I$16:$I$27,(INT((X50-1)/4)+1)))</f>
        <v/>
      </c>
      <c r="H50" s="7" t="str">
        <f t="array" ref="H50">IF(X50="","",INDEX('Inventory - P14'!$J$16:$J$27,(INT((X50-1)/4)+1)))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Tracker'!F19="","",'Client Needs Tracker'!F19)</f>
        <v/>
      </c>
      <c r="B10" s="134"/>
      <c r="C10" s="134"/>
      <c r="D10" s="134"/>
      <c r="E10" s="134"/>
      <c r="F10" s="97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99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0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P15'!F8="","-",'Inventory - P15'!F8)</f>
        <v>LOC: 0</v>
      </c>
      <c r="B5" s="106"/>
      <c r="C5" s="2"/>
      <c r="D5" s="101" t="str">
        <f>"Case Manager: "&amp;IF('Inventory - P15'!A10="","-",'Inventory - P15'!A10)</f>
        <v>Case Manager: -</v>
      </c>
      <c r="E5" s="106"/>
      <c r="F5" s="2"/>
      <c r="G5" s="101" t="str">
        <f>"Doctor: "&amp;IF('Inventory - P15'!F10="","-",'Inventory - P15'!F10)</f>
        <v>Doctor: -</v>
      </c>
      <c r="H5" s="106"/>
      <c r="I5" s="2"/>
      <c r="J5" s="101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P15'!A14="","",'Inventory - P15'!A14+0)</f>
        <v/>
      </c>
      <c r="J8" s="134"/>
      <c r="K8" s="104" t="str">
        <f>IF('Inventory - P15'!A14="","",'Inventory - P15'!A14+1)</f>
        <v/>
      </c>
      <c r="L8" s="134"/>
      <c r="M8" s="104" t="str">
        <f>IF('Inventory - P15'!A14="","",'Inventory - P15'!A14+2)</f>
        <v/>
      </c>
      <c r="N8" s="134"/>
      <c r="O8" s="104" t="str">
        <f>IF('Inventory - P15'!A14="","",'Inventory - P15'!A14+3)</f>
        <v/>
      </c>
      <c r="P8" s="134"/>
      <c r="Q8" s="104" t="str">
        <f>IF('Inventory - P15'!A14="","",'Inventory - P15'!A14+4)</f>
        <v/>
      </c>
      <c r="R8" s="134"/>
      <c r="S8" s="104" t="str">
        <f>IF('Inventory - P15'!A14="","",'Inventory - P15'!A14+5)</f>
        <v/>
      </c>
      <c r="T8" s="134"/>
      <c r="U8" s="104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193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194</v>
      </c>
      <c r="O1" s="2"/>
    </row>
    <row r="2" spans="1:15" ht="21.75" customHeight="1">
      <c r="A2" s="90" t="s">
        <v>195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196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1" t="s">
        <v>197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198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199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Tracker'!F20="","",'Client Needs Tracker'!F20)</f>
        <v/>
      </c>
      <c r="B10" s="134"/>
      <c r="C10" s="134"/>
      <c r="D10" s="134"/>
      <c r="E10" s="134"/>
      <c r="F10" s="97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201</v>
      </c>
      <c r="B15" s="6" t="s">
        <v>202</v>
      </c>
      <c r="C15" s="6" t="s">
        <v>203</v>
      </c>
      <c r="D15" s="6" t="s">
        <v>204</v>
      </c>
      <c r="E15" s="6" t="s">
        <v>205</v>
      </c>
      <c r="F15" s="6" t="s">
        <v>206</v>
      </c>
      <c r="G15" s="6" t="s">
        <v>207</v>
      </c>
      <c r="H15" s="6" t="s">
        <v>208</v>
      </c>
      <c r="I15" s="6" t="s">
        <v>209</v>
      </c>
      <c r="J15" s="6" t="s">
        <v>210</v>
      </c>
      <c r="K15" s="6" t="s">
        <v>211</v>
      </c>
      <c r="L15" s="46" t="s">
        <v>212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215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216</v>
      </c>
      <c r="B31" s="106"/>
      <c r="C31" s="106"/>
      <c r="D31" s="106"/>
      <c r="E31" s="106"/>
      <c r="F31" s="106"/>
      <c r="G31" s="140" t="s">
        <v>217</v>
      </c>
      <c r="H31" s="106"/>
      <c r="I31" s="106"/>
      <c r="J31" s="106"/>
      <c r="K31" s="106"/>
      <c r="L31" s="131"/>
    </row>
    <row r="33" spans="1:12" ht="15" customHeight="1">
      <c r="A33" s="139" t="s">
        <v>218</v>
      </c>
      <c r="B33" s="106"/>
      <c r="C33" s="106"/>
      <c r="D33" s="106"/>
      <c r="E33" s="106"/>
      <c r="F33" s="106"/>
      <c r="G33" s="140" t="s">
        <v>217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219</v>
      </c>
      <c r="B35" s="142"/>
      <c r="C35" s="142"/>
      <c r="D35" s="142"/>
      <c r="E35" s="142"/>
      <c r="F35" s="142"/>
      <c r="G35" s="143" t="s">
        <v>217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220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194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196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99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0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198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P16'!F8="","-",'Inventory - P16'!F8)</f>
        <v>LOC: 0</v>
      </c>
      <c r="B5" s="106"/>
      <c r="C5" s="2"/>
      <c r="D5" s="101" t="str">
        <f>"Case Manager: "&amp;IF('Inventory - P16'!A10="","-",'Inventory - P16'!A10)</f>
        <v>Case Manager: -</v>
      </c>
      <c r="E5" s="106"/>
      <c r="F5" s="2"/>
      <c r="G5" s="101" t="str">
        <f>"Doctor: "&amp;IF('Inventory - P16'!F10="","-",'Inventory - P16'!F10)</f>
        <v>Doctor: -</v>
      </c>
      <c r="H5" s="106"/>
      <c r="I5" s="2"/>
      <c r="J5" s="101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221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222</v>
      </c>
      <c r="B8" s="102" t="s">
        <v>201</v>
      </c>
      <c r="C8" s="102" t="s">
        <v>202</v>
      </c>
      <c r="D8" s="102" t="s">
        <v>212</v>
      </c>
      <c r="E8" s="102" t="s">
        <v>204</v>
      </c>
      <c r="F8" s="102" t="s">
        <v>205</v>
      </c>
      <c r="G8" s="102" t="s">
        <v>209</v>
      </c>
      <c r="H8" s="102" t="s">
        <v>210</v>
      </c>
      <c r="I8" s="104" t="str">
        <f>IF('Inventory - P16'!A14="","",'Inventory - P16'!A14+0)</f>
        <v/>
      </c>
      <c r="J8" s="134"/>
      <c r="K8" s="104" t="str">
        <f>IF('Inventory - P16'!A14="","",'Inventory - P16'!A14+1)</f>
        <v/>
      </c>
      <c r="L8" s="134"/>
      <c r="M8" s="104" t="str">
        <f>IF('Inventory - P16'!A14="","",'Inventory - P16'!A14+2)</f>
        <v/>
      </c>
      <c r="N8" s="134"/>
      <c r="O8" s="104" t="str">
        <f>IF('Inventory - P16'!A14="","",'Inventory - P16'!A14+3)</f>
        <v/>
      </c>
      <c r="P8" s="134"/>
      <c r="Q8" s="104" t="str">
        <f>IF('Inventory - P16'!A14="","",'Inventory - P16'!A14+4)</f>
        <v/>
      </c>
      <c r="R8" s="134"/>
      <c r="S8" s="104" t="str">
        <f>IF('Inventory - P16'!A14="","",'Inventory - P16'!A14+5)</f>
        <v/>
      </c>
      <c r="T8" s="134"/>
      <c r="U8" s="104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223</v>
      </c>
      <c r="J9" s="52" t="s">
        <v>224</v>
      </c>
      <c r="K9" s="52" t="s">
        <v>223</v>
      </c>
      <c r="L9" s="52" t="s">
        <v>224</v>
      </c>
      <c r="M9" s="52" t="s">
        <v>223</v>
      </c>
      <c r="N9" s="52" t="s">
        <v>224</v>
      </c>
      <c r="O9" s="52" t="s">
        <v>223</v>
      </c>
      <c r="P9" s="52" t="s">
        <v>224</v>
      </c>
      <c r="Q9" s="52" t="s">
        <v>223</v>
      </c>
      <c r="R9" s="52" t="s">
        <v>224</v>
      </c>
      <c r="S9" s="52" t="s">
        <v>223</v>
      </c>
      <c r="T9" s="52" t="s">
        <v>224</v>
      </c>
      <c r="U9" s="52" t="s">
        <v>223</v>
      </c>
      <c r="V9" s="52" t="s">
        <v>224</v>
      </c>
    </row>
    <row r="10" spans="1:33" ht="15.75" customHeight="1">
      <c r="A10" s="103" t="s">
        <v>225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226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227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228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231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232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137</v>
      </c>
      <c r="V4" s="4" t="s">
        <v>138</v>
      </c>
      <c r="W4" s="4" t="s">
        <v>139</v>
      </c>
      <c r="X4" s="4" t="s">
        <v>140</v>
      </c>
      <c r="Y4" s="4" t="s">
        <v>141</v>
      </c>
    </row>
    <row r="5" spans="1:25" ht="15" customHeight="1">
      <c r="A5" s="2">
        <v>2001</v>
      </c>
      <c r="B5" s="2" t="s">
        <v>233</v>
      </c>
      <c r="C5" s="54">
        <v>46207</v>
      </c>
      <c r="D5" s="2">
        <v>13</v>
      </c>
      <c r="E5" s="2" t="s">
        <v>130</v>
      </c>
      <c r="F5" s="2" t="s">
        <v>234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91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235</v>
      </c>
      <c r="C6" s="54">
        <v>46034</v>
      </c>
      <c r="D6" s="2">
        <v>6</v>
      </c>
      <c r="E6" s="2" t="s">
        <v>108</v>
      </c>
      <c r="F6" s="2" t="s">
        <v>234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110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236</v>
      </c>
      <c r="C7" s="54">
        <v>46065</v>
      </c>
      <c r="D7" s="2">
        <v>9</v>
      </c>
      <c r="E7" s="2" t="s">
        <v>131</v>
      </c>
      <c r="F7" s="2" t="s">
        <v>237</v>
      </c>
      <c r="G7" s="2" t="s">
        <v>28</v>
      </c>
      <c r="H7" s="2" t="s">
        <v>238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85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239</v>
      </c>
      <c r="C8" s="54">
        <v>46179</v>
      </c>
      <c r="D8" s="2">
        <v>18</v>
      </c>
      <c r="E8" s="2" t="s">
        <v>130</v>
      </c>
      <c r="F8" s="2" t="s">
        <v>234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110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240</v>
      </c>
      <c r="C9" s="54">
        <v>46050</v>
      </c>
      <c r="D9" s="2">
        <v>11</v>
      </c>
      <c r="E9" s="2" t="s">
        <v>131</v>
      </c>
      <c r="F9" s="2" t="s">
        <v>237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85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241</v>
      </c>
      <c r="C10" s="54">
        <v>46102</v>
      </c>
      <c r="D10" s="2">
        <v>21</v>
      </c>
      <c r="E10" s="2" t="s">
        <v>130</v>
      </c>
      <c r="F10" s="2" t="s">
        <v>237</v>
      </c>
      <c r="G10" s="2" t="s">
        <v>34</v>
      </c>
      <c r="H10" s="2" t="s">
        <v>238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102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242</v>
      </c>
      <c r="C11" s="54">
        <v>46126</v>
      </c>
      <c r="D11" s="2">
        <v>5</v>
      </c>
      <c r="E11" s="2" t="s">
        <v>108</v>
      </c>
      <c r="F11" s="2" t="s">
        <v>237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109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243</v>
      </c>
      <c r="C12" s="54">
        <v>46020</v>
      </c>
      <c r="D12" s="2">
        <v>17</v>
      </c>
      <c r="E12" s="2" t="s">
        <v>130</v>
      </c>
      <c r="F12" s="2" t="s">
        <v>244</v>
      </c>
      <c r="G12" s="2" t="s">
        <v>14</v>
      </c>
      <c r="H12" s="2" t="s">
        <v>238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111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245</v>
      </c>
      <c r="C13" s="54">
        <v>46128</v>
      </c>
      <c r="D13" s="2">
        <v>17</v>
      </c>
      <c r="E13" s="2" t="s">
        <v>108</v>
      </c>
      <c r="F13" s="2" t="s">
        <v>237</v>
      </c>
      <c r="G13" s="2" t="s">
        <v>28</v>
      </c>
      <c r="H13" s="2" t="s">
        <v>238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109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246</v>
      </c>
      <c r="C14" s="54">
        <v>46043</v>
      </c>
      <c r="D14" s="2">
        <v>6</v>
      </c>
      <c r="E14" s="2" t="s">
        <v>108</v>
      </c>
      <c r="F14" s="2" t="s">
        <v>234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102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247</v>
      </c>
      <c r="C15" s="54">
        <v>46112</v>
      </c>
      <c r="D15" s="2">
        <v>15</v>
      </c>
      <c r="E15" s="2" t="s">
        <v>108</v>
      </c>
      <c r="F15" s="2" t="s">
        <v>237</v>
      </c>
      <c r="G15" s="2" t="s">
        <v>14</v>
      </c>
      <c r="H15" s="2" t="s">
        <v>238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102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248</v>
      </c>
      <c r="C16" s="54">
        <v>46201</v>
      </c>
      <c r="D16" s="2">
        <v>18</v>
      </c>
      <c r="E16" s="2" t="s">
        <v>130</v>
      </c>
      <c r="F16" s="2" t="s">
        <v>237</v>
      </c>
      <c r="G16" s="2" t="s">
        <v>23</v>
      </c>
      <c r="H16" s="2" t="s">
        <v>238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98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249</v>
      </c>
      <c r="C17" s="54">
        <v>46196</v>
      </c>
      <c r="D17" s="2">
        <v>13</v>
      </c>
      <c r="E17" s="2" t="s">
        <v>131</v>
      </c>
      <c r="F17" s="2" t="s">
        <v>237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111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250</v>
      </c>
      <c r="C18" s="54">
        <v>46092</v>
      </c>
      <c r="D18" s="2">
        <v>5</v>
      </c>
      <c r="E18" s="2" t="s">
        <v>108</v>
      </c>
      <c r="F18" s="2" t="s">
        <v>237</v>
      </c>
      <c r="G18" s="2" t="s">
        <v>20</v>
      </c>
      <c r="H18" s="2" t="s">
        <v>238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104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251</v>
      </c>
      <c r="C19" s="54">
        <v>46212</v>
      </c>
      <c r="D19" s="2">
        <v>12</v>
      </c>
      <c r="E19" s="2" t="s">
        <v>108</v>
      </c>
      <c r="F19" s="2" t="s">
        <v>244</v>
      </c>
      <c r="G19" s="2" t="s">
        <v>23</v>
      </c>
      <c r="H19" s="2" t="s">
        <v>238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91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252</v>
      </c>
      <c r="C20" s="54">
        <v>46189</v>
      </c>
      <c r="D20" s="2">
        <v>5</v>
      </c>
      <c r="E20" s="2" t="s">
        <v>131</v>
      </c>
      <c r="F20" s="2" t="s">
        <v>237</v>
      </c>
      <c r="G20" s="2" t="s">
        <v>34</v>
      </c>
      <c r="H20" s="2" t="s">
        <v>238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111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253</v>
      </c>
      <c r="C21" s="54">
        <v>46216</v>
      </c>
      <c r="D21" s="2">
        <v>7</v>
      </c>
      <c r="E21" s="2" t="s">
        <v>130</v>
      </c>
      <c r="F21" s="2" t="s">
        <v>237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91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254</v>
      </c>
      <c r="C22" s="54">
        <v>46055</v>
      </c>
      <c r="D22" s="2">
        <v>15</v>
      </c>
      <c r="E22" s="2" t="s">
        <v>108</v>
      </c>
      <c r="F22" s="2" t="s">
        <v>244</v>
      </c>
      <c r="G22" s="2" t="s">
        <v>20</v>
      </c>
      <c r="H22" s="2" t="s">
        <v>238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98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255</v>
      </c>
      <c r="C23" s="54">
        <v>46219</v>
      </c>
      <c r="D23" s="2">
        <v>5</v>
      </c>
      <c r="E23" s="2" t="s">
        <v>83</v>
      </c>
      <c r="F23" s="2" t="s">
        <v>234</v>
      </c>
      <c r="G23" s="2" t="s">
        <v>17</v>
      </c>
      <c r="H23" s="2" t="s">
        <v>238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102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256</v>
      </c>
      <c r="C24" s="54">
        <v>46213</v>
      </c>
      <c r="D24" s="2">
        <v>5</v>
      </c>
      <c r="E24" s="2" t="s">
        <v>108</v>
      </c>
      <c r="F24" s="2" t="s">
        <v>237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104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257</v>
      </c>
      <c r="C25" s="54">
        <v>46146</v>
      </c>
      <c r="D25" s="2">
        <v>17</v>
      </c>
      <c r="E25" s="2" t="s">
        <v>108</v>
      </c>
      <c r="F25" s="2" t="s">
        <v>244</v>
      </c>
      <c r="G25" s="2" t="s">
        <v>28</v>
      </c>
      <c r="H25" s="2" t="s">
        <v>238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95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258</v>
      </c>
      <c r="C26" s="54">
        <v>46194</v>
      </c>
      <c r="D26" s="2">
        <v>15</v>
      </c>
      <c r="E26" s="2" t="s">
        <v>131</v>
      </c>
      <c r="F26" s="2" t="s">
        <v>244</v>
      </c>
      <c r="G26" s="2" t="s">
        <v>28</v>
      </c>
      <c r="H26" s="2" t="s">
        <v>238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100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259</v>
      </c>
      <c r="C27" s="54">
        <v>46072</v>
      </c>
      <c r="D27" s="2">
        <v>14</v>
      </c>
      <c r="E27" s="2" t="s">
        <v>130</v>
      </c>
      <c r="F27" s="2" t="s">
        <v>237</v>
      </c>
      <c r="G27" s="2" t="s">
        <v>26</v>
      </c>
      <c r="H27" s="2" t="s">
        <v>238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260</v>
      </c>
      <c r="C28" s="54">
        <v>46034</v>
      </c>
      <c r="D28" s="2">
        <v>10</v>
      </c>
      <c r="E28" s="2" t="s">
        <v>83</v>
      </c>
      <c r="F28" s="2" t="s">
        <v>234</v>
      </c>
      <c r="G28" s="2" t="s">
        <v>31</v>
      </c>
      <c r="H28" s="2" t="s">
        <v>238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100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261</v>
      </c>
      <c r="C29" s="54">
        <v>46123</v>
      </c>
      <c r="D29" s="2">
        <v>20</v>
      </c>
      <c r="E29" s="2" t="s">
        <v>130</v>
      </c>
      <c r="F29" s="2" t="s">
        <v>234</v>
      </c>
      <c r="G29" s="2" t="s">
        <v>20</v>
      </c>
      <c r="H29" s="2" t="s">
        <v>238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100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262</v>
      </c>
      <c r="C30" s="54">
        <v>46221</v>
      </c>
      <c r="D30" s="2">
        <v>3</v>
      </c>
      <c r="E30" s="2" t="s">
        <v>131</v>
      </c>
      <c r="F30" s="2" t="s">
        <v>244</v>
      </c>
      <c r="G30" s="2" t="s">
        <v>14</v>
      </c>
      <c r="H30" s="2" t="s">
        <v>238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263</v>
      </c>
      <c r="C31" s="54">
        <v>46054</v>
      </c>
      <c r="D31" s="2">
        <v>19</v>
      </c>
      <c r="E31" s="2" t="s">
        <v>130</v>
      </c>
      <c r="F31" s="2" t="s">
        <v>244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98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264</v>
      </c>
      <c r="C32" s="54">
        <v>46028</v>
      </c>
      <c r="D32" s="2">
        <v>14</v>
      </c>
      <c r="E32" s="2" t="s">
        <v>131</v>
      </c>
      <c r="F32" s="2" t="s">
        <v>234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95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265</v>
      </c>
      <c r="C33" s="54">
        <v>46196</v>
      </c>
      <c r="D33" s="2">
        <v>11</v>
      </c>
      <c r="E33" s="2" t="s">
        <v>83</v>
      </c>
      <c r="F33" s="2" t="s">
        <v>234</v>
      </c>
      <c r="G33" s="2" t="s">
        <v>14</v>
      </c>
      <c r="H33" s="2" t="s">
        <v>238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98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266</v>
      </c>
      <c r="C34" s="54">
        <v>46018</v>
      </c>
      <c r="D34" s="2">
        <v>6</v>
      </c>
      <c r="E34" s="2" t="s">
        <v>108</v>
      </c>
      <c r="F34" s="2" t="s">
        <v>244</v>
      </c>
      <c r="G34" s="2" t="s">
        <v>23</v>
      </c>
      <c r="H34" s="2" t="s">
        <v>238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85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267</v>
      </c>
      <c r="C35" s="55">
        <v>46204</v>
      </c>
      <c r="D35" s="2">
        <v>24</v>
      </c>
      <c r="E35" s="2" t="s">
        <v>131</v>
      </c>
      <c r="F35" s="2" t="s">
        <v>237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268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269</v>
      </c>
      <c r="C36" s="55">
        <v>46208</v>
      </c>
      <c r="D36" s="2">
        <v>20</v>
      </c>
      <c r="E36" s="2" t="s">
        <v>130</v>
      </c>
      <c r="F36" s="2" t="s">
        <v>234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268</v>
      </c>
      <c r="S36" s="2" t="s">
        <v>85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270</v>
      </c>
      <c r="C37" s="55">
        <v>46201</v>
      </c>
      <c r="D37" s="2">
        <v>27</v>
      </c>
      <c r="E37" s="2" t="s">
        <v>83</v>
      </c>
      <c r="F37" s="2" t="s">
        <v>244</v>
      </c>
      <c r="G37" s="2" t="s">
        <v>20</v>
      </c>
      <c r="H37" s="2" t="s">
        <v>238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268</v>
      </c>
      <c r="S37" s="2" t="s">
        <v>87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271</v>
      </c>
      <c r="C38" s="55">
        <v>46224</v>
      </c>
      <c r="D38" s="2">
        <v>4</v>
      </c>
      <c r="E38" s="2" t="s">
        <v>108</v>
      </c>
      <c r="F38" s="2" t="s">
        <v>244</v>
      </c>
      <c r="G38" s="2" t="s">
        <v>17</v>
      </c>
      <c r="H38" s="2" t="s">
        <v>238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89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272</v>
      </c>
      <c r="C39" s="55">
        <v>46221</v>
      </c>
      <c r="D39" s="2">
        <v>7</v>
      </c>
      <c r="E39" s="2" t="s">
        <v>83</v>
      </c>
      <c r="F39" s="2" t="s">
        <v>237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91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273</v>
      </c>
      <c r="C40" s="55">
        <v>46214</v>
      </c>
      <c r="D40" s="2">
        <v>14</v>
      </c>
      <c r="E40" s="2" t="s">
        <v>83</v>
      </c>
      <c r="F40" s="2" t="s">
        <v>244</v>
      </c>
      <c r="G40" s="2" t="s">
        <v>17</v>
      </c>
      <c r="H40" s="2" t="s">
        <v>238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93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274</v>
      </c>
      <c r="C41" s="55">
        <v>46216</v>
      </c>
      <c r="D41" s="2">
        <v>12</v>
      </c>
      <c r="E41" s="2" t="s">
        <v>131</v>
      </c>
      <c r="F41" s="2" t="s">
        <v>244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95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275</v>
      </c>
      <c r="C42" s="55">
        <v>46215</v>
      </c>
      <c r="D42" s="2">
        <v>13</v>
      </c>
      <c r="E42" s="2" t="s">
        <v>83</v>
      </c>
      <c r="F42" s="2" t="s">
        <v>237</v>
      </c>
      <c r="G42" s="2" t="s">
        <v>34</v>
      </c>
      <c r="H42" s="2" t="s">
        <v>238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96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276</v>
      </c>
      <c r="C43" s="55">
        <v>46215</v>
      </c>
      <c r="D43" s="2">
        <v>13</v>
      </c>
      <c r="E43" s="2" t="s">
        <v>108</v>
      </c>
      <c r="F43" s="2" t="s">
        <v>234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98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277</v>
      </c>
      <c r="C44" s="55">
        <v>46218</v>
      </c>
      <c r="D44" s="2">
        <v>10</v>
      </c>
      <c r="E44" s="2" t="s">
        <v>108</v>
      </c>
      <c r="F44" s="2" t="s">
        <v>244</v>
      </c>
      <c r="G44" s="2" t="s">
        <v>34</v>
      </c>
      <c r="H44" s="2" t="s">
        <v>238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100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278</v>
      </c>
      <c r="C45" s="55">
        <v>46218</v>
      </c>
      <c r="D45" s="2">
        <v>10</v>
      </c>
      <c r="E45" s="2" t="s">
        <v>131</v>
      </c>
      <c r="F45" s="2" t="s">
        <v>234</v>
      </c>
      <c r="G45" s="2" t="s">
        <v>14</v>
      </c>
      <c r="H45" s="2" t="s">
        <v>238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102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279</v>
      </c>
      <c r="C46" s="55">
        <v>46222</v>
      </c>
      <c r="D46" s="2">
        <v>6</v>
      </c>
      <c r="E46" s="2" t="s">
        <v>130</v>
      </c>
      <c r="F46" s="2" t="s">
        <v>244</v>
      </c>
      <c r="G46" s="2" t="s">
        <v>28</v>
      </c>
      <c r="H46" s="2" t="s">
        <v>238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104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280</v>
      </c>
      <c r="C47" s="55">
        <v>46215</v>
      </c>
      <c r="D47" s="2">
        <v>13</v>
      </c>
      <c r="E47" s="2" t="s">
        <v>130</v>
      </c>
      <c r="F47" s="2" t="s">
        <v>237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106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281</v>
      </c>
      <c r="C48" s="55">
        <v>46216</v>
      </c>
      <c r="D48" s="2">
        <v>12</v>
      </c>
      <c r="E48" s="2" t="s">
        <v>131</v>
      </c>
      <c r="F48" s="2" t="s">
        <v>244</v>
      </c>
      <c r="G48" s="2" t="s">
        <v>26</v>
      </c>
      <c r="H48" s="2" t="s">
        <v>238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109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282</v>
      </c>
      <c r="C49" s="55">
        <v>46219</v>
      </c>
      <c r="D49" s="2">
        <v>9</v>
      </c>
      <c r="E49" s="2" t="s">
        <v>130</v>
      </c>
      <c r="F49" s="2" t="s">
        <v>244</v>
      </c>
      <c r="G49" s="2" t="s">
        <v>23</v>
      </c>
      <c r="H49" s="2" t="s">
        <v>238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110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283</v>
      </c>
      <c r="C50" s="55">
        <v>46219</v>
      </c>
      <c r="D50" s="2">
        <v>9</v>
      </c>
      <c r="E50" s="2" t="s">
        <v>130</v>
      </c>
      <c r="F50" s="2" t="s">
        <v>244</v>
      </c>
      <c r="G50" s="2" t="s">
        <v>23</v>
      </c>
      <c r="H50" s="2" t="s">
        <v>238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111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284</v>
      </c>
      <c r="C51" s="55">
        <v>46224</v>
      </c>
      <c r="D51" s="2">
        <v>5</v>
      </c>
      <c r="E51" s="2" t="s">
        <v>130</v>
      </c>
      <c r="F51" s="2" t="s">
        <v>285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162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130</v>
      </c>
      <c r="F52" s="2" t="s">
        <v>286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130</v>
      </c>
      <c r="F53" s="2" t="s">
        <v>287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288</v>
      </c>
      <c r="C54" s="55">
        <v>46223</v>
      </c>
      <c r="D54" s="2">
        <v>10</v>
      </c>
      <c r="E54" s="2" t="s">
        <v>131</v>
      </c>
      <c r="F54" s="2" t="s">
        <v>289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85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290</v>
      </c>
      <c r="C55" s="55">
        <v>46204</v>
      </c>
      <c r="D55" s="2">
        <v>32</v>
      </c>
      <c r="E55" s="2" t="s">
        <v>108</v>
      </c>
      <c r="F55" s="2" t="s">
        <v>291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292</v>
      </c>
      <c r="P55" s="2" t="s">
        <v>293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294</v>
      </c>
      <c r="C56" s="55">
        <v>46228</v>
      </c>
      <c r="D56" s="2">
        <v>8</v>
      </c>
      <c r="E56" s="2" t="s">
        <v>131</v>
      </c>
      <c r="F56" s="2" t="s">
        <v>290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85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295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87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296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98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96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98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100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102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104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106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109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110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111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137</v>
      </c>
      <c r="V4" s="4" t="s">
        <v>138</v>
      </c>
      <c r="W4" s="4" t="s">
        <v>139</v>
      </c>
      <c r="X4" s="4" t="s">
        <v>140</v>
      </c>
      <c r="Y4" s="4" t="s">
        <v>141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2026-08-07T23:17:58Z</dcterms:modified>
  <cp:category/>
  <cp:contentStatus/>
</cp:coreProperties>
</file>